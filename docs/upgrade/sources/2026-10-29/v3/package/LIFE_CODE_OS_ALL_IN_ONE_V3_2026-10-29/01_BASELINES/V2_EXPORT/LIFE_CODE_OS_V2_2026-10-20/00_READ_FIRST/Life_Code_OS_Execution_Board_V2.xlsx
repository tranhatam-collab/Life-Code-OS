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302c67f3542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_TRUOC" sheetId="1" r:id="R290341ee837646a7"/>
    <x:sheet xmlns:r="http://schemas.openxmlformats.org/officeDocument/2006/relationships" name="Backlog" sheetId="2" r:id="Rf895b9ae25a64074"/>
    <x:sheet xmlns:r="http://schemas.openxmlformats.org/officeDocument/2006/relationships" name="Gates" sheetId="3" r:id="Rd394b4b2f23b4315"/>
    <x:sheet xmlns:r="http://schemas.openxmlformats.org/officeDocument/2006/relationships" name="Decisions" sheetId="4" r:id="R2bd5a56cfc7c4b21"/>
    <x:sheet xmlns:r="http://schemas.openxmlformats.org/officeDocument/2006/relationships" name="Products" sheetId="5" r:id="Rc2231e070cf341df"/>
    <x:sheet xmlns:r="http://schemas.openxmlformats.org/officeDocument/2006/relationships" name="SourceMap" sheetId="6" r:id="Ra9f0efdc337b4753"/>
    <x:sheet xmlns:r="http://schemas.openxmlformats.org/officeDocument/2006/relationships" name="Sources" sheetId="7" r:id="R7130944a0bee42dd"/>
    <x:sheet xmlns:r="http://schemas.openxmlformats.org/officeDocument/2006/relationships" name="Screens" sheetId="8" r:id="Rff5559047b314794"/>
    <x:sheet xmlns:r="http://schemas.openxmlformats.org/officeDocument/2006/relationships" name="Countries" sheetId="9" r:id="R48330fb422614cd4"/>
    <x:sheet xmlns:r="http://schemas.openxmlformats.org/officeDocument/2006/relationships" name="Costs" sheetId="10" r:id="R62f76613e7914632"/>
    <x:sheet xmlns:r="http://schemas.openxmlformats.org/officeDocument/2006/relationships" name="Dashboard" sheetId="11" r:id="R8a483c6fcf3949e1"/>
    <x:sheet xmlns:r="http://schemas.openxmlformats.org/officeDocument/2006/relationships" name="V2_Tasks" sheetId="12" r:id="R41bf973b34414ea0"/>
    <x:sheet xmlns:r="http://schemas.openxmlformats.org/officeDocument/2006/relationships" name="V2_Formulas" sheetId="13" r:id="Rf02d86c170644554"/>
    <x:sheet xmlns:r="http://schemas.openxmlformats.org/officeDocument/2006/relationships" name="V2_Demos" sheetId="14" r:id="Rc044c5e026db4c9f"/>
    <x:sheet xmlns:r="http://schemas.openxmlformats.org/officeDocument/2006/relationships" name="V2_Decisions" sheetId="15" r:id="R41acc4e479094d31"/>
    <x:sheet xmlns:r="http://schemas.openxmlformats.org/officeDocument/2006/relationships" name="V2_FileSync" sheetId="16" r:id="R74f422d945ec4baa"/>
    <x:sheet xmlns:r="http://schemas.openxmlformats.org/officeDocument/2006/relationships" name="V2_Sources" sheetId="17" r:id="Rc7d8184bca4142a7"/>
    <x:sheet xmlns:r="http://schemas.openxmlformats.org/officeDocument/2006/relationships" name="V2_API" sheetId="18" r:id="R5e408a06d520469b"/>
    <x:sheet xmlns:r="http://schemas.openxmlformats.org/officeDocument/2006/relationships" name="V2_UI" sheetId="19" r:id="R845d4d35ebe54716"/>
    <x:sheet xmlns:r="http://schemas.openxmlformats.org/officeDocument/2006/relationships" name="V2_Overview" sheetId="20" r:id="R57c72841f0ee40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%"/>
    <x:numFmt numFmtId="202" formatCode="#,##0;[Red](#,##0);&quot;—&quot;"/>
  </x:numFmts>
  <x:fonts count="13">
    <x:font>
      <x:sz val="11"/>
      <x:name val="Carlito"/>
    </x:font>
    <x:font>
      <x:b/>
      <x:sz val="18"/>
      <x:color rgb="FFFFFFFF"/>
      <x:name val="Carlito"/>
    </x:font>
    <x:font>
      <x:sz val="10"/>
      <x:color rgb="FF596B74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color rgb="FF245CA6"/>
      <x:name val="Carlito"/>
    </x:font>
    <x:font>
      <x:sz val="11"/>
      <x:color rgb="FF596B74"/>
      <x:name val="Carlito"/>
    </x:font>
    <x:font>
      <x:sz val="11"/>
      <x:color rgb="FF245CA6"/>
      <x:name val="Carlito"/>
    </x:font>
    <x:font>
      <x:b/>
      <x:sz val="26"/>
      <x:color rgb="FF173E46"/>
      <x:name val="Carlito"/>
    </x:font>
    <x:font>
      <x:b/>
      <x:sz val="11"/>
      <x:name val="Carlito"/>
    </x:font>
    <x:font>
      <x:sz val="11"/>
      <x:color rgb="FF173E46"/>
      <x:name val="Carlito"/>
    </x:font>
    <x:font>
      <x:sz val="10"/>
      <x:color rgb="FF586B70"/>
      <x:name val="Carlito"/>
    </x:font>
    <x:font>
      <x:sz val="10"/>
      <x:color rgb="FF17323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E46"/>
      </x:patternFill>
    </x:fill>
    <x:fill>
      <x:patternFill patternType="solid">
        <x:fgColor rgb="FF176A61"/>
      </x:patternFill>
    </x:fill>
    <x:fill>
      <x:patternFill patternType="solid">
        <x:fgColor rgb="FFE9F1F0"/>
      </x:patternFill>
    </x:fill>
    <x:fill>
      <x:patternFill patternType="solid">
        <x:fgColor rgb="FF163B43"/>
      </x:patternFill>
    </x:fill>
    <x:fill>
      <x:patternFill patternType="solid">
        <x:fgColor rgb="FF16776D"/>
      </x:patternFill>
    </x:fill>
    <x:fill>
      <x:patternFill patternType="solid">
        <x:fgColor rgb="FFEFF5F3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7" fillId="0" borderId="1" xfId="0" applyNumberFormat="1" applyFont="1" applyFill="1" applyBorder="1"/>
    <x:xf numFmtId="201" fontId="7" fillId="0" borderId="1" xfId="0" applyNumberFormat="1" applyFont="1" applyFill="1" applyBorder="1"/>
    <x:xf numFmtId="202" fontId="7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7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10" fillId="4" borderId="0" xfId="0" applyNumberFormat="1" applyFont="1" applyFill="1" applyBorder="1"/>
    <x:xf numFmtId="0" fontId="10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5c1f17e7534f0c" /><Relationship Type="http://schemas.openxmlformats.org/officeDocument/2006/relationships/theme" Target="/xl/theme/theme1.xml" Id="R14dea8d4c6b64ee4" /><Relationship Type="http://schemas.openxmlformats.org/officeDocument/2006/relationships/sharedStrings" Target="/xl/sharedStrings.xml" Id="Ra1dc673b54da462a" /><Relationship Type="http://schemas.openxmlformats.org/officeDocument/2006/relationships/worksheet" Target="/xl/worksheets/sheet1.xml" Id="R290341ee837646a7" /><Relationship Type="http://schemas.openxmlformats.org/officeDocument/2006/relationships/worksheet" Target="/xl/worksheets/sheet2.xml" Id="Rf895b9ae25a64074" /><Relationship Type="http://schemas.openxmlformats.org/officeDocument/2006/relationships/worksheet" Target="/xl/worksheets/sheet3.xml" Id="Rd394b4b2f23b4315" /><Relationship Type="http://schemas.openxmlformats.org/officeDocument/2006/relationships/worksheet" Target="/xl/worksheets/sheet4.xml" Id="R2bd5a56cfc7c4b21" /><Relationship Type="http://schemas.openxmlformats.org/officeDocument/2006/relationships/worksheet" Target="/xl/worksheets/sheet5.xml" Id="Rc2231e070cf341df" /><Relationship Type="http://schemas.openxmlformats.org/officeDocument/2006/relationships/worksheet" Target="/xl/worksheets/sheet6.xml" Id="Ra9f0efdc337b4753" /><Relationship Type="http://schemas.openxmlformats.org/officeDocument/2006/relationships/worksheet" Target="/xl/worksheets/sheet7.xml" Id="R7130944a0bee42dd" /><Relationship Type="http://schemas.openxmlformats.org/officeDocument/2006/relationships/worksheet" Target="/xl/worksheets/sheet8.xml" Id="Rff5559047b314794" /><Relationship Type="http://schemas.openxmlformats.org/officeDocument/2006/relationships/worksheet" Target="/xl/worksheets/sheet9.xml" Id="R48330fb422614cd4" /><Relationship Type="http://schemas.openxmlformats.org/officeDocument/2006/relationships/worksheet" Target="/xl/worksheets/sheet10.xml" Id="R62f76613e7914632" /><Relationship Type="http://schemas.openxmlformats.org/officeDocument/2006/relationships/worksheet" Target="/xl/worksheets/sheet11.xml" Id="R8a483c6fcf3949e1" /><Relationship Type="http://schemas.openxmlformats.org/officeDocument/2006/relationships/worksheet" Target="/xl/worksheets/sheet12.xml" Id="R41bf973b34414ea0" /><Relationship Type="http://schemas.openxmlformats.org/officeDocument/2006/relationships/worksheet" Target="/xl/worksheets/sheet13.xml" Id="Rf02d86c170644554" /><Relationship Type="http://schemas.openxmlformats.org/officeDocument/2006/relationships/worksheet" Target="/xl/worksheets/sheet14.xml" Id="Rc044c5e026db4c9f" /><Relationship Type="http://schemas.openxmlformats.org/officeDocument/2006/relationships/worksheet" Target="/xl/worksheets/sheet15.xml" Id="R41acc4e479094d31" /><Relationship Type="http://schemas.openxmlformats.org/officeDocument/2006/relationships/worksheet" Target="/xl/worksheets/sheet16.xml" Id="R74f422d945ec4baa" /><Relationship Type="http://schemas.openxmlformats.org/officeDocument/2006/relationships/worksheet" Target="/xl/worksheets/sheet17.xml" Id="Rc7d8184bca4142a7" /><Relationship Type="http://schemas.openxmlformats.org/officeDocument/2006/relationships/worksheet" Target="/xl/worksheets/sheet18.xml" Id="R5e408a06d520469b" /><Relationship Type="http://schemas.openxmlformats.org/officeDocument/2006/relationships/worksheet" Target="/xl/worksheets/sheet19.xml" Id="R845d4d35ebe54716" /><Relationship Type="http://schemas.openxmlformats.org/officeDocument/2006/relationships/worksheet" Target="/xl/worksheets/sheet20.xml" Id="R57c72841f0ee4020" /></Relationships>
</file>

<file path=xl/tables/table1.xml><?xml version="1.0" encoding="utf-8"?>
<x:table xmlns:x="http://schemas.openxmlformats.org/spreadsheetml/2006/main" id="1" name="BacklogTable" displayName="BacklogTable" ref="A4:L144" headerRowCount="1" totalsRowCount="0" totalsRowShown="0">
  <x:tableColumns count="12">
    <x:tableColumn id="1" name="ID"/>
    <x:tableColumn id="2" name="Phase"/>
    <x:tableColumn id="3" name="Công việc"/>
    <x:tableColumn id="4" name="Chủ trì"/>
    <x:tableColumn id="5" name="Ưu tiên"/>
    <x:tableColumn id="6" name="Status"/>
    <x:tableColumn id="7" name="Ngày công thấp"/>
    <x:tableColumn id="8" name="Ngày công cao"/>
    <x:tableColumn id="9" name="Phụ thuộc"/>
    <x:tableColumn id="10" name="Gate"/>
    <x:tableColumn id="11" name="Nghiệm thu"/>
    <x:tableColumn id="12" name="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atesTable" displayName="GatesTable" ref="A4:F16" headerRowCount="1" totalsRowCount="0" totalsRowShown="0">
  <x:tableColumns count="6">
    <x:tableColumn id="1" name="Gate"/>
    <x:tableColumn id="2" name="Tên"/>
    <x:tableColumn id="3" name="Chủ trì"/>
    <x:tableColumn id="4" name="Status"/>
    <x:tableColumn id="5" name="Tiêu chí"/>
    <x:tableColumn id="6" name="Ev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cisionsTable" displayName="DecisionsTable" ref="A4:E24" headerRowCount="1" totalsRowCount="0" totalsRowShown="0">
  <x:tableColumns count="5">
    <x:tableColumn id="1" name="Mã"/>
    <x:tableColumn id="2" name="Quyết định"/>
    <x:tableColumn id="3" name="Status"/>
    <x:tableColumn id="4" name="Người duyệt"/>
    <x:tableColumn id="5" name="Điều kiện / bằng chứ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sTable" displayName="ProductsTable" ref="A4:G27" headerRowCount="1" totalsRowCount="0" totalsRowShown="0">
  <x:tableColumns count="7">
    <x:tableColumn id="1" name="SKU"/>
    <x:tableColumn id="2" name="Sản phẩm"/>
    <x:tableColumn id="3" name="Cấp"/>
    <x:tableColumn id="4" name="Phase"/>
    <x:tableColumn id="5" name="Dòng"/>
    <x:tableColumn id="6" name="Đầu ra"/>
    <x:tableColumn id="7" name="Giới hạ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MapTable" displayName="SourceMapTable" ref="A4:G34" headerRowCount="1" totalsRowCount="0" totalsRowShown="0">
  <x:tableColumns count="7">
    <x:tableColumn id="1" name="Mã"/>
    <x:tableColumn id="2" name="Bề mặt"/>
    <x:tableColumn id="3" name="Tệp nguồn"/>
    <x:tableColumn id="4" name="Xử lý"/>
    <x:tableColumn id="5" name="Đích"/>
    <x:tableColumn id="6" name="Task"/>
    <x:tableColumn id="7" name="Tiêu chí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sTable" displayName="SourcesTable" ref="A4:E57" headerRowCount="1" totalsRowCount="0" totalsRowShown="0">
  <x:tableColumns count="5">
    <x:tableColumn id="1" name="ID"/>
    <x:tableColumn id="2" name="Tên"/>
    <x:tableColumn id="3" name="URL"/>
    <x:tableColumn id="4" name="Phạm vi đã tiếp cận"/>
    <x:tableColumn id="5" name="Giới hạ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creensTable" displayName="ScreensTable" ref="A4:G49" headerRowCount="1" totalsRowCount="0" totalsRowShown="0">
  <x:tableColumns count="7">
    <x:tableColumn id="1" name="ID"/>
    <x:tableColumn id="2" name="Màn hình"/>
    <x:tableColumn id="3" name="Route đích"/>
    <x:tableColumn id="4" name="Principal"/>
    <x:tableColumn id="5" name="API"/>
    <x:tableColumn id="6" name="Trạng thái cần thử"/>
    <x:tableColumn id="7" name="Task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ountriesTable" displayName="CountriesTable" ref="A4:E9" headerRowCount="1" totalsRowCount="0" totalsRowShown="0">
  <x:tableColumns count="5">
    <x:tableColumn id="1" name="Mã"/>
    <x:tableColumn id="2" name="Quốc gia"/>
    <x:tableColumn id="3" name="Locale"/>
    <x:tableColumn id="4" name="Status"/>
    <x:tableColumn id="5" name="Ghi chú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V2_Tasks" displayName="T_V2_Tasks" ref="A4:J72" headerRowCount="1" totalsRowCount="0" totalsRowShown="0">
  <x:tableColumns count="10">
    <x:tableColumn id="1" name="ID"/>
    <x:tableColumn id="2" name="Việc gốc"/>
    <x:tableColumn id="3" name="Công việc"/>
    <x:tableColumn id="4" name="Chủ trì"/>
    <x:tableColumn id="5" name="Phụ thuộc"/>
    <x:tableColumn id="6" name="Trạng thái"/>
    <x:tableColumn id="7" name="Ngày công thấp"/>
    <x:tableColumn id="8" name="Ngày công cao"/>
    <x:tableColumn id="9" name="Nghiệm thu"/>
    <x:tableColumn id="10" name="Bằng chứng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V2_Formulas" displayName="T_V2_Formulas" ref="A4:H36" headerRowCount="1" totalsRowCount="0" totalsRowShown="0">
  <x:tableColumns count="8">
    <x:tableColumn id="1" name="ID"/>
    <x:tableColumn id="2" name="Tên"/>
    <x:tableColumn id="3" name="Trạng thái"/>
    <x:tableColumn id="4" name="Công thức"/>
    <x:tableColumn id="5" name="Đầu vào"/>
    <x:tableColumn id="6" name="Biên / thiếu dữ liệu"/>
    <x:tableColumn id="7" name="Demo"/>
    <x:tableColumn id="8" name="Mã tham chiếu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V2_Demos" displayName="T_V2_Demos" ref="A4:G94" headerRowCount="1" totalsRowCount="0" totalsRowShown="0">
  <x:tableColumns count="7">
    <x:tableColumn id="1" name="Mã"/>
    <x:tableColumn id="2" name="Nhóm"/>
    <x:tableColumn id="3" name="Tình huống"/>
    <x:tableColumn id="4" name="Công cụ"/>
    <x:tableColumn id="5" name="Kết quả kỳ vọng"/>
    <x:tableColumn id="6" name="Giải thích"/>
    <x:tableColumn id="7" name="Dữ liệu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V2_Decisions" displayName="T_V2_Decisions" ref="A4:C14" headerRowCount="1" totalsRowCount="0" totalsRowShown="0">
  <x:tableColumns count="3">
    <x:tableColumn id="1" name="Mã"/>
    <x:tableColumn id="2" name="Đề xuất"/>
    <x:tableColumn id="3" name="Trạng thái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V2_FileSync" displayName="T_V2_FileSync" ref="A4:E153" headerRowCount="1" totalsRowCount="0" totalsRowShown="0">
  <x:tableColumns count="5">
    <x:tableColumn id="1" name="Tệp gốc"/>
    <x:tableColumn id="2" name="Định dạng"/>
    <x:tableColumn id="3" name="Byte"/>
    <x:tableColumn id="4" name="SHA-256"/>
    <x:tableColumn id="5" name="Trạng thái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V2_Sources" displayName="T_V2_Sources" ref="A4:E22" headerRowCount="1" totalsRowCount="0" totalsRowShown="0">
  <x:tableColumns count="5">
    <x:tableColumn id="1" name="Mã"/>
    <x:tableColumn id="2" name="Nguồn"/>
    <x:tableColumn id="3" name="Trạng thái đọc"/>
    <x:tableColumn id="4" name="Phạm vi"/>
    <x:tableColumn id="5" name="Địa chỉ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V2_API" displayName="T_V2_API" ref="A4:E87" headerRowCount="1" totalsRowCount="0" totalsRowShown="0">
  <x:tableColumns count="5">
    <x:tableColumn id="1" name="HTTP"/>
    <x:tableColumn id="2" name="Đường dẫn"/>
    <x:tableColumn id="3" name="Operation ID"/>
    <x:tableColumn id="4" name="Trạng thái"/>
    <x:tableColumn id="5" name="Chính sách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V2_UI" displayName="T_V2_UI" ref="A4:E16" headerRowCount="1" totalsRowCount="0" totalsRowShown="0">
  <x:tableColumns count="5">
    <x:tableColumn id="1" name="Mã"/>
    <x:tableColumn id="2" name="Màn hình"/>
    <x:tableColumn id="3" name="Route dự kiến"/>
    <x:tableColumn id="4" name="Mục tiêu"/>
    <x:tableColumn id="5" name="Trạng thái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V2_Overview" displayName="T_V2_Overview" ref="A4:C17" headerRowCount="1" totalsRowCount="0" totalsRowShown="0">
  <x:tableColumns count="3">
    <x:tableColumn id="1" name="Hạng mục"/>
    <x:tableColumn id="2" name="Giá trị / trạng thái"/>
    <x:tableColumn id="3" name="Cách hiểu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f0810fb2e446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75e813d26c49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9ab198ae744e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5bd51cd30546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8a76a3c1274a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d6ff6962854ce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78e0dc3c1424e9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c3809c3be2420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1843da5326494ef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ffca8d3725471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3db94fdc7e52423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8fec43ddfb2b484b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3.xml" Id="Rcba74c8a815c4107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4.xml" Id="R86b7f26dd278435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5.xml" Id="R879b3fd501dc46f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6.xml" Id="R82288b9aad0a456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7.xml" Id="Rd0f37e78205642ed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1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LIFE CODE OS | Bảng điều hành nâng cấp</x:v>
      </x:c>
      <x:c r="B1" s="3"/>
      <x:c r="C1" s="3"/>
      <x:c r="D1" s="3"/>
      <x:c r="E1" s="3"/>
      <x:c r="F1" s="3"/>
      <x:c r="G1" s="3"/>
      <x:c r="H1" s="3"/>
    </x:row>
    <x:row r="2" ht="33" customHeight="1">
      <x:c r="A2" s="7" t="str">
        <x:v>Bản bàn giao 11/10/2026 • Đề xuất, chưa triển khai • Không có dữ liệu người dùng thật.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MỤC</x:v>
      </x:c>
      <x:c r="B4" s="11" t="str">
        <x:v>CÁCH DÙNG</x:v>
      </x:c>
    </x:row>
    <x:row r="5" ht="48" customHeight="1">
      <x:c r="A5" s="14" t="str">
        <x:v>Trạng thái</x:v>
      </x:c>
      <x:c r="B5" s="14" t="str">
        <x:v>Backlog = NOT_STARTED; Gates = NOT_CHECKED. Không phải điểm hoàn thiện sản phẩm.</x:v>
      </x:c>
    </x:row>
    <x:row r="6" ht="48" customHeight="1">
      <x:c r="A6" s="14" t="str">
        <x:v>Chỉnh tiến độ</x:v>
      </x:c>
      <x:c r="B6" s="14" t="str">
        <x:v>Cột Status và Evidence trong Backlog/Gates dành cho đội triển khai cập nhật sau khi có bằng chứng.</x:v>
      </x:c>
    </x:row>
    <x:row r="7" ht="48" customHeight="1">
      <x:c r="A7" s="14" t="str">
        <x:v>Ước lượng</x:v>
      </x:c>
      <x:c r="B7" s="14" t="str">
        <x:v>Ngày công là khoảng dự kiến, không phải thời hạn calendar hoặc báo giá.</x:v>
      </x:c>
    </x:row>
    <x:row r="8" ht="48" customHeight="1">
      <x:c r="A8" s="14" t="str">
        <x:v>Ngân sách</x:v>
      </x:c>
      <x:c r="B8" s="14" t="str">
        <x:v>Costs có FTE và tháng đề xuất. Nhập đơn giá đã được duyệt; hệ không tự điền giá thị trường.</x:v>
      </x:c>
    </x:row>
    <x:row r="9" ht="48" customHeight="1">
      <x:c r="A9" s="14" t="str">
        <x:v>Quyền dữ liệu</x:v>
      </x:c>
      <x:c r="B9" s="14" t="str">
        <x:v>Export/correction/delete luôn có luồng miễn phí. Không dùng số hoặc ảnh để xếp hạng con người.</x:v>
      </x:c>
    </x:row>
    <x:row r="10" ht="48" customHeight="1">
      <x:c r="A10" s="14" t="str">
        <x:v>Nguồn</x:v>
      </x:c>
      <x:c r="B10" s="14" t="str">
        <x:v>Sources và SourceMap liên kết nguồn theo SHA hoặc URL. Deployed SHA chưa xác minh.</x:v>
      </x:c>
    </x:row>
    <x:row r="11" ht="48" customHeight="1">
      <x:c r="A11" s="14" t="str">
        <x:v>Bản chuẩn</x:v>
      </x:c>
      <x:c r="B11" s="14" t="str">
        <x:v>Chi tiết đọc trong MASTER PDF/DOCX và các tệp Markdown/JSON. Workbook là bảng quản trị.</x:v>
      </x:c>
    </x:row>
    <x:row r="12" ht="48" customHeight="1">
      <x:c r="A12" s="14" t="str">
        <x:v>Màu chữ</x:v>
      </x:c>
      <x:c r="B12" s="14" t="str">
        <x:v>Xanh lam: ô cần nhập/cập nhật; xanh đậm: tiêu đề; không mã màu giá trị con người.</x:v>
      </x:c>
    </x:row>
    <x:row r="13" ht="48" customHeight="1">
      <x:c r="A13" s="14" t="str">
        <x:v>Khả năng vận hành</x:v>
      </x:c>
      <x:c r="B13" s="14" t="str">
        <x:v>Mã tham chiếu và schema được thử cục bộ; không thay integration/security/production E2E.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" hidden="0" customWidth="1"/>
    <x:col min="3" max="3" width="47" hidden="0" customWidth="1"/>
    <x:col min="4" max="4" width="28" hidden="0" customWidth="1"/>
    <x:col min="5" max="5" width="10" hidden="0" customWidth="1"/>
    <x:col min="6" max="6" width="20" hidden="0" customWidth="1"/>
    <x:col min="7" max="7" width="14" hidden="0" customWidth="1"/>
    <x:col min="8" max="8" width="14" hidden="0" customWidth="1"/>
    <x:col min="9" max="9" width="25" hidden="0" customWidth="1"/>
    <x:col min="10" max="10" width="19" hidden="0" customWidth="1"/>
    <x:col min="11" max="11" width="74" hidden="0" customWidth="1"/>
    <x:col min="12" max="12" width="34" hidden="0" customWidth="1"/>
  </x:cols>
  <x:sheetData>
    <x:row r="1" ht="34" customHeight="1">
      <x:c r="A1" s="3" t="str">
        <x:v>140 công việc | Phụ thuộc và nghiệm thu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3" customHeight="1">
      <x:c r="A2" s="7" t="str">
        <x:v>Mọi dòng là việc triển khai cần làm; số ngày công là estimate thiết kế, chưa phải cam kết.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16" t="str">
        <x:v>ID</x:v>
      </x:c>
      <x:c r="B4" s="16" t="str">
        <x:v>Phase</x:v>
      </x:c>
      <x:c r="C4" s="16" t="str">
        <x:v>Công việc</x:v>
      </x:c>
      <x:c r="D4" s="16" t="str">
        <x:v>Chủ trì</x:v>
      </x:c>
      <x:c r="E4" s="16" t="str">
        <x:v>Ưu tiên</x:v>
      </x:c>
      <x:c r="F4" s="16" t="str">
        <x:v>Status</x:v>
      </x:c>
      <x:c r="G4" s="16" t="str">
        <x:v>Ngày công thấp</x:v>
      </x:c>
      <x:c r="H4" s="16" t="str">
        <x:v>Ngày công cao</x:v>
      </x:c>
      <x:c r="I4" s="16" t="str">
        <x:v>Phụ thuộc</x:v>
      </x:c>
      <x:c r="J4" s="16" t="str">
        <x:v>Gate</x:v>
      </x:c>
      <x:c r="K4" s="16" t="str">
        <x:v>Nghiệm thu</x:v>
      </x:c>
      <x:c r="L4" s="16" t="str">
        <x:v>Evidence</x:v>
      </x:c>
    </x:row>
    <x:row r="5" ht="46" customHeight="1">
      <x:c r="A5" s="20" t="str">
        <x:v>P0-01</x:v>
      </x:c>
      <x:c r="B5" s="20" t="str">
        <x:v>P0</x:v>
      </x:c>
      <x:c r="C5" s="20" t="str">
        <x:v>Chốt scope containment và người chỉ huy</x:v>
      </x:c>
      <x:c r="D5" s="20" t="str">
        <x:v>Security + Platform</x:v>
      </x:c>
      <x:c r="E5" s="20" t="str">
        <x:v>P0</x:v>
      </x:c>
      <x:c r="F5" s="24" t="str">
        <x:v>NOT_STARTED</x:v>
      </x:c>
      <x:c r="G5" s="26" t="n">
        <x:v>1</x:v>
      </x:c>
      <x:c r="H5" s="26" t="n">
        <x:v>2</x:v>
      </x:c>
      <x:c r="I5" s="20" t="str"/>
      <x:c r="J5" s="20" t="str">
        <x:v>G01;G02;G03</x:v>
      </x:c>
      <x:c r="K5" s="20" t="str">
        <x:v>Scope/domain/role được ký; không có quyền deploy ngầm</x:v>
      </x:c>
      <x:c r="L5" s="24" t="str"/>
    </x:row>
    <x:row r="6" ht="46" customHeight="1">
      <x:c r="A6" s="20" t="str">
        <x:v>P0-02</x:v>
      </x:c>
      <x:c r="B6" s="20" t="str">
        <x:v>P0</x:v>
      </x:c>
      <x:c r="C6" s="20" t="str">
        <x:v>Lập surface inventory và lưu evidence riêng tư</x:v>
      </x:c>
      <x:c r="D6" s="20" t="str">
        <x:v>Security + Platform</x:v>
      </x:c>
      <x:c r="E6" s="20" t="str">
        <x:v>P0</x:v>
      </x:c>
      <x:c r="F6" s="24" t="str">
        <x:v>NOT_STARTED</x:v>
      </x:c>
      <x:c r="G6" s="26" t="n">
        <x:v>1</x:v>
      </x:c>
      <x:c r="H6" s="26" t="n">
        <x:v>2</x:v>
      </x:c>
      <x:c r="I6" s="20" t="str">
        <x:v>P0-01</x:v>
      </x:c>
      <x:c r="J6" s="20" t="str">
        <x:v>G01;G02;G03</x:v>
      </x:c>
      <x:c r="K6" s="20" t="str">
        <x:v>Liệt kê custom/worker/preview/jobs; không xuất PII</x:v>
      </x:c>
      <x:c r="L6" s="24" t="str"/>
    </x:row>
    <x:row r="7" ht="46" customHeight="1">
      <x:c r="A7" s="20" t="str">
        <x:v>P0-03</x:v>
      </x:c>
      <x:c r="B7" s="20" t="str">
        <x:v>P0</x:v>
      </x:c>
      <x:c r="C7" s="20" t="str">
        <x:v>Khóa intake/profile/report/session legacy server-side</x:v>
      </x:c>
      <x:c r="D7" s="20" t="str">
        <x:v>Security + Platform</x:v>
      </x:c>
      <x:c r="E7" s="20" t="str">
        <x:v>P0</x:v>
      </x:c>
      <x:c r="F7" s="24" t="str">
        <x:v>NOT_STARTED</x:v>
      </x:c>
      <x:c r="G7" s="26" t="n">
        <x:v>1</x:v>
      </x:c>
      <x:c r="H7" s="26" t="n">
        <x:v>2</x:v>
      </x:c>
      <x:c r="I7" s="20" t="str">
        <x:v>P0-02</x:v>
      </x:c>
      <x:c r="J7" s="20" t="str">
        <x:v>G01;G02;G03</x:v>
      </x:c>
      <x:c r="K7" s="20" t="str">
        <x:v>Mọi đường vòng được kiểm tra từ bên ngoài với dữ liệu giả</x:v>
      </x:c>
      <x:c r="L7" s="24" t="str"/>
    </x:row>
    <x:row r="8" ht="46" customHeight="1">
      <x:c r="A8" s="20" t="str">
        <x:v>P0-04</x:v>
      </x:c>
      <x:c r="B8" s="20" t="str">
        <x:v>P0</x:v>
      </x:c>
      <x:c r="C8" s="20" t="str">
        <x:v>Thu hồi token legacy và chặn cấp theo client ID</x:v>
      </x:c>
      <x:c r="D8" s="20" t="str">
        <x:v>Security + Platform</x:v>
      </x:c>
      <x:c r="E8" s="20" t="str">
        <x:v>P0</x:v>
      </x:c>
      <x:c r="F8" s="24" t="str">
        <x:v>NOT_STARTED</x:v>
      </x:c>
      <x:c r="G8" s="26" t="n">
        <x:v>1</x:v>
      </x:c>
      <x:c r="H8" s="26" t="n">
        <x:v>2</x:v>
      </x:c>
      <x:c r="I8" s="20" t="str">
        <x:v>P0-03</x:v>
      </x:c>
      <x:c r="J8" s="20" t="str">
        <x:v>G01;G02;G03</x:v>
      </x:c>
      <x:c r="K8" s="20" t="str">
        <x:v>Token cũ401; payload user_id không cấp quyền</x:v>
      </x:c>
      <x:c r="L8" s="24" t="str"/>
    </x:row>
    <x:row r="9" ht="46" customHeight="1">
      <x:c r="A9" s="20" t="str">
        <x:v>P0-05</x:v>
      </x:c>
      <x:c r="B9" s="20" t="str">
        <x:v>P0</x:v>
      </x:c>
      <x:c r="C9" s="20" t="str">
        <x:v>Ẩn và khóa Engine Lab mọi môi trường public</x:v>
      </x:c>
      <x:c r="D9" s="20" t="str">
        <x:v>Security + Platform</x:v>
      </x:c>
      <x:c r="E9" s="20" t="str">
        <x:v>P0</x:v>
      </x:c>
      <x:c r="F9" s="24" t="str">
        <x:v>NOT_STARTED</x:v>
      </x:c>
      <x:c r="G9" s="26" t="n">
        <x:v>1</x:v>
      </x:c>
      <x:c r="H9" s="26" t="n">
        <x:v>2</x:v>
      </x:c>
      <x:c r="I9" s="20" t="str">
        <x:v>P0-04</x:v>
      </x:c>
      <x:c r="J9" s="20" t="str">
        <x:v>G01;G02;G03</x:v>
      </x:c>
      <x:c r="K9" s="20" t="str">
        <x:v>Direct URL và API vẫn bị chặn, không chỉ noindex</x:v>
      </x:c>
      <x:c r="L9" s="24" t="str"/>
    </x:row>
    <x:row r="10" ht="46" customHeight="1">
      <x:c r="A10" s="20" t="str">
        <x:v>P0-06</x:v>
      </x:c>
      <x:c r="B10" s="20" t="str">
        <x:v>P0</x:v>
      </x:c>
      <x:c r="C10" s="20" t="str">
        <x:v>Cách ly LCI/timeline/risk legacy</x:v>
      </x:c>
      <x:c r="D10" s="20" t="str">
        <x:v>Security + Platform</x:v>
      </x:c>
      <x:c r="E10" s="20" t="str">
        <x:v>P0</x:v>
      </x:c>
      <x:c r="F10" s="24" t="str">
        <x:v>NOT_STARTED</x:v>
      </x:c>
      <x:c r="G10" s="26" t="n">
        <x:v>1</x:v>
      </x:c>
      <x:c r="H10" s="26" t="n">
        <x:v>2</x:v>
      </x:c>
      <x:c r="I10" s="20" t="str">
        <x:v>P0-05</x:v>
      </x:c>
      <x:c r="J10" s="20" t="str">
        <x:v>G01;G02;G03</x:v>
      </x:c>
      <x:c r="K10" s="20" t="str">
        <x:v>Không có seeded risk/mission trong output người dùng</x:v>
      </x:c>
      <x:c r="L10" s="24" t="str"/>
    </x:row>
    <x:row r="11" ht="46" customHeight="1">
      <x:c r="A11" s="20" t="str">
        <x:v>P0-07</x:v>
      </x:c>
      <x:c r="B11" s="20" t="str">
        <x:v>P0</x:v>
      </x:c>
      <x:c r="C11" s="20" t="str">
        <x:v>Bảo toàn và phân loại hồ sơ legacy</x:v>
      </x:c>
      <x:c r="D11" s="20" t="str">
        <x:v>Security + Platform</x:v>
      </x:c>
      <x:c r="E11" s="20" t="str">
        <x:v>P0</x:v>
      </x:c>
      <x:c r="F11" s="24" t="str">
        <x:v>NOT_STARTED</x:v>
      </x:c>
      <x:c r="G11" s="26" t="n">
        <x:v>1</x:v>
      </x:c>
      <x:c r="H11" s="26" t="n">
        <x:v>2</x:v>
      </x:c>
      <x:c r="I11" s="20" t="str">
        <x:v>P0-06</x:v>
      </x:c>
      <x:c r="J11" s="20" t="str">
        <x:v>G01;G02;G03</x:v>
      </x:c>
      <x:c r="K11" s="20" t="str">
        <x:v>Phân biệt raw input/quyền chưa rõ/output giả</x:v>
      </x:c>
      <x:c r="L11" s="24" t="str"/>
    </x:row>
    <x:row r="12" ht="46" customHeight="1">
      <x:c r="A12" s="20" t="str">
        <x:v>P0-08</x:v>
      </x:c>
      <x:c r="B12" s="20" t="str">
        <x:v>P0</x:v>
      </x:c>
      <x:c r="C12" s="20" t="str">
        <x:v>Xác minh clean clone ngoài thư mục iCloud</x:v>
      </x:c>
      <x:c r="D12" s="20" t="str">
        <x:v>Security + Platform</x:v>
      </x:c>
      <x:c r="E12" s="20" t="str">
        <x:v>P0</x:v>
      </x:c>
      <x:c r="F12" s="24" t="str">
        <x:v>NOT_STARTED</x:v>
      </x:c>
      <x:c r="G12" s="26" t="n">
        <x:v>1</x:v>
      </x:c>
      <x:c r="H12" s="26" t="n">
        <x:v>2</x:v>
      </x:c>
      <x:c r="I12" s="20" t="str">
        <x:v>P0-07</x:v>
      </x:c>
      <x:c r="J12" s="20" t="str">
        <x:v>G01;G02;G03</x:v>
      </x:c>
      <x:c r="K12" s="20" t="str">
        <x:v>Có snapshot không phá dữ liệu và diff exact HEAD</x:v>
      </x:c>
      <x:c r="L12" s="24" t="str"/>
    </x:row>
    <x:row r="13" ht="46" customHeight="1">
      <x:c r="A13" s="20" t="str">
        <x:v>P0-09</x:v>
      </x:c>
      <x:c r="B13" s="20" t="str">
        <x:v>P0</x:v>
      </x:c>
      <x:c r="C13" s="20" t="str">
        <x:v>Build allowlist và quét artifact tĩnh</x:v>
      </x:c>
      <x:c r="D13" s="20" t="str">
        <x:v>Security + Platform</x:v>
      </x:c>
      <x:c r="E13" s="20" t="str">
        <x:v>P0</x:v>
      </x:c>
      <x:c r="F13" s="24" t="str">
        <x:v>NOT_STARTED</x:v>
      </x:c>
      <x:c r="G13" s="26" t="n">
        <x:v>1</x:v>
      </x:c>
      <x:c r="H13" s="26" t="n">
        <x:v>2</x:v>
      </x:c>
      <x:c r="I13" s="20" t="str">
        <x:v>P0-08</x:v>
      </x:c>
      <x:c r="J13" s="20" t="str">
        <x:v>G01;G02;G03</x:v>
      </x:c>
      <x:c r="K13" s="20" t="str">
        <x:v>Không .env/workers/api/docs nội bộ ngoài allowlist</x:v>
      </x:c>
      <x:c r="L13" s="24" t="str"/>
    </x:row>
    <x:row r="14" ht="46" customHeight="1">
      <x:c r="A14" s="20" t="str">
        <x:v>P0-10</x:v>
      </x:c>
      <x:c r="B14" s="20" t="str">
        <x:v>P0</x:v>
      </x:c>
      <x:c r="C14" s="20" t="str">
        <x:v>Deploy containment có approval và receipt</x:v>
      </x:c>
      <x:c r="D14" s="20" t="str">
        <x:v>Security + Platform</x:v>
      </x:c>
      <x:c r="E14" s="20" t="str">
        <x:v>P0</x:v>
      </x:c>
      <x:c r="F14" s="24" t="str">
        <x:v>NOT_STARTED</x:v>
      </x:c>
      <x:c r="G14" s="26" t="n">
        <x:v>1</x:v>
      </x:c>
      <x:c r="H14" s="26" t="n">
        <x:v>2</x:v>
      </x:c>
      <x:c r="I14" s="20" t="str">
        <x:v>P0-09</x:v>
      </x:c>
      <x:c r="J14" s="20" t="str">
        <x:v>G01;G02;G03</x:v>
      </x:c>
      <x:c r="K14" s="20" t="str">
        <x:v>SHA/artifact/deploy ID/rollback safe liên kết</x:v>
      </x:c>
      <x:c r="L14" s="24" t="str"/>
    </x:row>
    <x:row r="15" ht="46" customHeight="1">
      <x:c r="A15" s="20" t="str">
        <x:v>GOV-01</x:v>
      </x:c>
      <x:c r="B15" s="20" t="str">
        <x:v>A</x:v>
      </x:c>
      <x:c r="C15" s="20" t="str">
        <x:v>Khóa Q1–Q12 và Q13–Q20</x:v>
      </x:c>
      <x:c r="D15" s="20" t="str">
        <x:v>Founder + Product + Legal</x:v>
      </x:c>
      <x:c r="E15" s="20" t="str">
        <x:v>P1</x:v>
      </x:c>
      <x:c r="F15" s="24" t="str">
        <x:v>NOT_STARTED</x:v>
      </x:c>
      <x:c r="G15" s="26" t="n">
        <x:v>2</x:v>
      </x:c>
      <x:c r="H15" s="26" t="n">
        <x:v>5</x:v>
      </x:c>
      <x:c r="I15" s="20" t="str">
        <x:v>P0-02</x:v>
      </x:c>
      <x:c r="J15" s="20" t="str">
        <x:v>G04;G06</x:v>
      </x:c>
      <x:c r="K15" s="20" t="str">
        <x:v>Từng quyết định có điều kiện, approver và phạm vi</x:v>
      </x:c>
      <x:c r="L15" s="24" t="str"/>
    </x:row>
    <x:row r="16" ht="46" customHeight="1">
      <x:c r="A16" s="20" t="str">
        <x:v>GOV-02</x:v>
      </x:c>
      <x:c r="B16" s="20" t="str">
        <x:v>A</x:v>
      </x:c>
      <x:c r="C16" s="20" t="str">
        <x:v>Chốt thuật ngữ VI/EN và claim taxonomy</x:v>
      </x:c>
      <x:c r="D16" s="20" t="str">
        <x:v>Founder + Product + Legal</x:v>
      </x:c>
      <x:c r="E16" s="20" t="str">
        <x:v>P1</x:v>
      </x:c>
      <x:c r="F16" s="24" t="str">
        <x:v>NOT_STARTED</x:v>
      </x:c>
      <x:c r="G16" s="26" t="n">
        <x:v>2</x:v>
      </x:c>
      <x:c r="H16" s="26" t="n">
        <x:v>5</x:v>
      </x:c>
      <x:c r="I16" s="20" t="str">
        <x:v>GOV-01</x:v>
      </x:c>
      <x:c r="J16" s="20" t="str">
        <x:v>G04;G06</x:v>
      </x:c>
      <x:c r="K16" s="20" t="str">
        <x:v>Sáu claim types, không ngôn ngữ phán quyết ẩn</x:v>
      </x:c>
      <x:c r="L16" s="24" t="str"/>
    </x:row>
    <x:row r="17" ht="46" customHeight="1">
      <x:c r="A17" s="20" t="str">
        <x:v>GOV-03</x:v>
      </x:c>
      <x:c r="B17" s="20" t="str">
        <x:v>A</x:v>
      </x:c>
      <x:c r="C17" s="20" t="str">
        <x:v>Chọn pháp nhân dịch vụ và data roles</x:v>
      </x:c>
      <x:c r="D17" s="20" t="str">
        <x:v>Founder + Product + Legal</x:v>
      </x:c>
      <x:c r="E17" s="20" t="str">
        <x:v>P1</x:v>
      </x:c>
      <x:c r="F17" s="24" t="str">
        <x:v>NOT_STARTED</x:v>
      </x:c>
      <x:c r="G17" s="26" t="n">
        <x:v>3</x:v>
      </x:c>
      <x:c r="H17" s="26" t="n">
        <x:v>7</x:v>
      </x:c>
      <x:c r="I17" s="20" t="str">
        <x:v>GOV-02</x:v>
      </x:c>
      <x:c r="J17" s="20" t="str">
        <x:v>G04;G06</x:v>
      </x:c>
      <x:c r="K17" s="20" t="str">
        <x:v>Merchant/controller/processor không mơ hồ</x:v>
      </x:c>
      <x:c r="L17" s="24" t="str"/>
    </x:row>
    <x:row r="18" ht="46" customHeight="1">
      <x:c r="A18" s="20" t="str">
        <x:v>GOV-04</x:v>
      </x:c>
      <x:c r="B18" s="20" t="str">
        <x:v>A</x:v>
      </x:c>
      <x:c r="C18" s="20" t="str">
        <x:v>Phê duyệt privacy purposes và notices</x:v>
      </x:c>
      <x:c r="D18" s="20" t="str">
        <x:v>Founder + Product + Legal</x:v>
      </x:c>
      <x:c r="E18" s="20" t="str">
        <x:v>P1</x:v>
      </x:c>
      <x:c r="F18" s="24" t="str">
        <x:v>NOT_STARTED</x:v>
      </x:c>
      <x:c r="G18" s="26" t="n">
        <x:v>3</x:v>
      </x:c>
      <x:c r="H18" s="26" t="n">
        <x:v>7</x:v>
      </x:c>
      <x:c r="I18" s="20" t="str">
        <x:v>GOV-03</x:v>
      </x:c>
      <x:c r="J18" s="20" t="str">
        <x:v>G04;G06</x:v>
      </x:c>
      <x:c r="K18" s="20" t="str">
        <x:v>Mục đích dịch vụ/research/marketing tách biệt</x:v>
      </x:c>
      <x:c r="L18" s="24" t="str"/>
    </x:row>
    <x:row r="19" ht="46" customHeight="1">
      <x:c r="A19" s="20" t="str">
        <x:v>GOV-05</x:v>
      </x:c>
      <x:c r="B19" s="20" t="str">
        <x:v>A</x:v>
      </x:c>
      <x:c r="C19" s="20" t="str">
        <x:v>Rà soát luật Việt Nam2026 theo chức năng</x:v>
      </x:c>
      <x:c r="D19" s="20" t="str">
        <x:v>Founder + Product + Legal</x:v>
      </x:c>
      <x:c r="E19" s="20" t="str">
        <x:v>P1</x:v>
      </x:c>
      <x:c r="F19" s="24" t="str">
        <x:v>NOT_STARTED</x:v>
      </x:c>
      <x:c r="G19" s="26" t="n">
        <x:v>3</x:v>
      </x:c>
      <x:c r="H19" s="26" t="n">
        <x:v>7</x:v>
      </x:c>
      <x:c r="I19" s="20" t="str">
        <x:v>GOV-04</x:v>
      </x:c>
      <x:c r="J19" s="20" t="str">
        <x:v>G04;G06</x:v>
      </x:c>
      <x:c r="K19" s="20" t="str">
        <x:v>Ý kiến áp dụng dữ liệu/AI/TMĐT và chuyển tiếp</x:v>
      </x:c>
      <x:c r="L19" s="24" t="str"/>
    </x:row>
    <x:row r="20" ht="46" customHeight="1">
      <x:c r="A20" s="20" t="str">
        <x:v>GOV-06</x:v>
      </x:c>
      <x:c r="B20" s="20" t="str">
        <x:v>A</x:v>
      </x:c>
      <x:c r="C20" s="20" t="str">
        <x:v>Đánh giá IdP/DB/payment/AI vendors</x:v>
      </x:c>
      <x:c r="D20" s="20" t="str">
        <x:v>Founder + Product + Legal</x:v>
      </x:c>
      <x:c r="E20" s="20" t="str">
        <x:v>P1</x:v>
      </x:c>
      <x:c r="F20" s="24" t="str">
        <x:v>NOT_STARTED</x:v>
      </x:c>
      <x:c r="G20" s="26" t="n">
        <x:v>3</x:v>
      </x:c>
      <x:c r="H20" s="26" t="n">
        <x:v>7</x:v>
      </x:c>
      <x:c r="I20" s="20" t="str">
        <x:v>GOV-05</x:v>
      </x:c>
      <x:c r="J20" s="20" t="str">
        <x:v>G04;G06</x:v>
      </x:c>
      <x:c r="K20" s="20" t="str">
        <x:v>Data regions/subprocessors/cost/exit được xem</x:v>
      </x:c>
      <x:c r="L20" s="24" t="str"/>
    </x:row>
    <x:row r="21" ht="46" customHeight="1">
      <x:c r="A21" s="20" t="str">
        <x:v>GOV-07</x:v>
      </x:c>
      <x:c r="B21" s="20" t="str">
        <x:v>A</x:v>
      </x:c>
      <x:c r="C21" s="20" t="str">
        <x:v>Thiết kế quyền nguồn và học liệu</x:v>
      </x:c>
      <x:c r="D21" s="20" t="str">
        <x:v>Founder + Product + Legal</x:v>
      </x:c>
      <x:c r="E21" s="20" t="str">
        <x:v>P1</x:v>
      </x:c>
      <x:c r="F21" s="24" t="str">
        <x:v>NOT_STARTED</x:v>
      </x:c>
      <x:c r="G21" s="26" t="n">
        <x:v>3</x:v>
      </x:c>
      <x:c r="H21" s="26" t="n">
        <x:v>7</x:v>
      </x:c>
      <x:c r="I21" s="20" t="str">
        <x:v>GOV-06</x:v>
      </x:c>
      <x:c r="J21" s="20" t="str">
        <x:v>G04;G06</x:v>
      </x:c>
      <x:c r="K21" s="20" t="str">
        <x:v>Sources/edition/license dùng được có record</x:v>
      </x:c>
      <x:c r="L21" s="24" t="str"/>
    </x:row>
    <x:row r="22" ht="46" customHeight="1">
      <x:c r="A22" s="20" t="str">
        <x:v>GOV-08</x:v>
      </x:c>
      <x:c r="B22" s="20" t="str">
        <x:v>A</x:v>
      </x:c>
      <x:c r="C22" s="20" t="str">
        <x:v>Lập release policy và change authority</x:v>
      </x:c>
      <x:c r="D22" s="20" t="str">
        <x:v>Founder + Product + Legal</x:v>
      </x:c>
      <x:c r="E22" s="20" t="str">
        <x:v>P1</x:v>
      </x:c>
      <x:c r="F22" s="24" t="str">
        <x:v>NOT_STARTED</x:v>
      </x:c>
      <x:c r="G22" s="26" t="n">
        <x:v>3</x:v>
      </x:c>
      <x:c r="H22" s="26" t="n">
        <x:v>7</x:v>
      </x:c>
      <x:c r="I22" s="20" t="str">
        <x:v>GOV-07</x:v>
      </x:c>
      <x:c r="J22" s="20" t="str">
        <x:v>G04;G06</x:v>
      </x:c>
      <x:c r="K22" s="20" t="str">
        <x:v>Người viết không tự duyệt mọi ranh giới</x:v>
      </x:c>
      <x:c r="L22" s="24" t="str"/>
    </x:row>
    <x:row r="23" ht="46" customHeight="1">
      <x:c r="A23" s="20" t="str">
        <x:v>GOV-09</x:v>
      </x:c>
      <x:c r="B23" s="20" t="str">
        <x:v>A</x:v>
      </x:c>
      <x:c r="C23" s="20" t="str">
        <x:v>Chốt first pilot adults/self và scope loại trừ</x:v>
      </x:c>
      <x:c r="D23" s="20" t="str">
        <x:v>Founder + Product + Legal</x:v>
      </x:c>
      <x:c r="E23" s="20" t="str">
        <x:v>P1</x:v>
      </x:c>
      <x:c r="F23" s="24" t="str">
        <x:v>NOT_STARTED</x:v>
      </x:c>
      <x:c r="G23" s="26" t="n">
        <x:v>3</x:v>
      </x:c>
      <x:c r="H23" s="26" t="n">
        <x:v>7</x:v>
      </x:c>
      <x:c r="I23" s="20" t="str">
        <x:v>GOV-08</x:v>
      </x:c>
      <x:c r="J23" s="20" t="str">
        <x:v>G04;G06</x:v>
      </x:c>
      <x:c r="K23" s="20" t="str">
        <x:v>Không ảnh/trẻ/sức khỏe sâu ở beta đầu</x:v>
      </x:c>
      <x:c r="L23" s="24" t="str"/>
    </x:row>
    <x:row r="24" ht="46" customHeight="1">
      <x:c r="A24" s="20" t="str">
        <x:v>GOV-10</x:v>
      </x:c>
      <x:c r="B24" s="20" t="str">
        <x:v>A</x:v>
      </x:c>
      <x:c r="C24" s="20" t="str">
        <x:v>Chốt phương án xử lý báo cáo sai legacy</x:v>
      </x:c>
      <x:c r="D24" s="20" t="str">
        <x:v>Founder + Product + Legal</x:v>
      </x:c>
      <x:c r="E24" s="20" t="str">
        <x:v>P1</x:v>
      </x:c>
      <x:c r="F24" s="24" t="str">
        <x:v>NOT_STARTED</x:v>
      </x:c>
      <x:c r="G24" s="26" t="n">
        <x:v>2</x:v>
      </x:c>
      <x:c r="H24" s="26" t="n">
        <x:v>5</x:v>
      </x:c>
      <x:c r="I24" s="20" t="str">
        <x:v>GOV-09</x:v>
      </x:c>
      <x:c r="J24" s="20" t="str">
        <x:v>G04;G06</x:v>
      </x:c>
      <x:c r="K24" s="20" t="str">
        <x:v>Correction/withdraw/user rights có decision</x:v>
      </x:c>
      <x:c r="L24" s="24" t="str"/>
    </x:row>
    <x:row r="25" ht="46" customHeight="1">
      <x:c r="A25" s="20" t="str">
        <x:v>TRUST-01</x:v>
      </x:c>
      <x:c r="B25" s="20" t="str">
        <x:v>B</x:v>
      </x:c>
      <x:c r="C25" s="20" t="str">
        <x:v>Tích hợp OIDC/BFF session chuẩn</x:v>
      </x:c>
      <x:c r="D25" s="20" t="str">
        <x:v>Backend + Security</x:v>
      </x:c>
      <x:c r="E25" s="20" t="str">
        <x:v>P1</x:v>
      </x:c>
      <x:c r="F25" s="24" t="str">
        <x:v>NOT_STARTED</x:v>
      </x:c>
      <x:c r="G25" s="26" t="n">
        <x:v>2</x:v>
      </x:c>
      <x:c r="H25" s="26" t="n">
        <x:v>5</x:v>
      </x:c>
      <x:c r="I25" s="20" t="str">
        <x:v>P0-10;GOV-04</x:v>
      </x:c>
      <x:c r="J25" s="20" t="str">
        <x:v>G02;G03;G05</x:v>
      </x:c>
      <x:c r="K25" s="20" t="str">
        <x:v>Không nhận authority từ client; tests login/logout</x:v>
      </x:c>
      <x:c r="L25" s="24" t="str"/>
    </x:row>
    <x:row r="26" ht="46" customHeight="1">
      <x:c r="A26" s="20" t="str">
        <x:v>TRUST-02</x:v>
      </x:c>
      <x:c r="B26" s="20" t="str">
        <x:v>B</x:v>
      </x:c>
      <x:c r="C26" s="20" t="str">
        <x:v>Session digest, expiry, rotation, recovery</x:v>
      </x:c>
      <x:c r="D26" s="20" t="str">
        <x:v>Backend + Security</x:v>
      </x:c>
      <x:c r="E26" s="20" t="str">
        <x:v>P1</x:v>
      </x:c>
      <x:c r="F26" s="24" t="str">
        <x:v>NOT_STARTED</x:v>
      </x:c>
      <x:c r="G26" s="26" t="n">
        <x:v>2</x:v>
      </x:c>
      <x:c r="H26" s="26" t="n">
        <x:v>5</x:v>
      </x:c>
      <x:c r="I26" s="20" t="str">
        <x:v>TRUST-01</x:v>
      </x:c>
      <x:c r="J26" s="20" t="str">
        <x:v>G02;G03;G05</x:v>
      </x:c>
      <x:c r="K26" s="20" t="str">
        <x:v>Không bearer raw DB; recovery không dựa DOB</x:v>
      </x:c>
      <x:c r="L26" s="24" t="str"/>
    </x:row>
    <x:row r="27" ht="46" customHeight="1">
      <x:c r="A27" s="20" t="str">
        <x:v>TRUST-03</x:v>
      </x:c>
      <x:c r="B27" s="20" t="str">
        <x:v>B</x:v>
      </x:c>
      <x:c r="C27" s="20" t="str">
        <x:v>Schema account/subject/grant/purpose</x:v>
      </x:c>
      <x:c r="D27" s="20" t="str">
        <x:v>Backend + Security</x:v>
      </x:c>
      <x:c r="E27" s="20" t="str">
        <x:v>P1</x:v>
      </x:c>
      <x:c r="F27" s="24" t="str">
        <x:v>NOT_STARTED</x:v>
      </x:c>
      <x:c r="G27" s="26" t="n">
        <x:v>3</x:v>
      </x:c>
      <x:c r="H27" s="26" t="n">
        <x:v>7</x:v>
      </x:c>
      <x:c r="I27" s="20" t="str">
        <x:v>TRUST-02</x:v>
      </x:c>
      <x:c r="J27" s="20" t="str">
        <x:v>G02;G03;G05</x:v>
      </x:c>
      <x:c r="K27" s="20" t="str">
        <x:v>FK và scope version rõ, defaults deny</x:v>
      </x:c>
      <x:c r="L27" s="24" t="str"/>
    </x:row>
    <x:row r="28" ht="46" customHeight="1">
      <x:c r="A28" s="20" t="str">
        <x:v>TRUST-04</x:v>
      </x:c>
      <x:c r="B28" s="20" t="str">
        <x:v>B</x:v>
      </x:c>
      <x:c r="C28" s="20" t="str">
        <x:v>Owner/object authorization middleware</x:v>
      </x:c>
      <x:c r="D28" s="20" t="str">
        <x:v>Backend + Security</x:v>
      </x:c>
      <x:c r="E28" s="20" t="str">
        <x:v>P1</x:v>
      </x:c>
      <x:c r="F28" s="24" t="str">
        <x:v>NOT_STARTED</x:v>
      </x:c>
      <x:c r="G28" s="26" t="n">
        <x:v>3</x:v>
      </x:c>
      <x:c r="H28" s="26" t="n">
        <x:v>7</x:v>
      </x:c>
      <x:c r="I28" s="20" t="str">
        <x:v>TRUST-03</x:v>
      </x:c>
      <x:c r="J28" s="20" t="str">
        <x:v>G02;G03;G05</x:v>
      </x:c>
      <x:c r="K28" s="20" t="str">
        <x:v>Hai account thử read/write/list/download chéo đều deny</x:v>
      </x:c>
      <x:c r="L28" s="24" t="str"/>
    </x:row>
    <x:row r="29" ht="46" customHeight="1">
      <x:c r="A29" s="20" t="str">
        <x:v>TRUST-05</x:v>
      </x:c>
      <x:c r="B29" s="20" t="str">
        <x:v>B</x:v>
      </x:c>
      <x:c r="C29" s="20" t="str">
        <x:v>RLS tenant/subject với trusted context</x:v>
      </x:c>
      <x:c r="D29" s="20" t="str">
        <x:v>Backend + Security</x:v>
      </x:c>
      <x:c r="E29" s="20" t="str">
        <x:v>P1</x:v>
      </x:c>
      <x:c r="F29" s="24" t="str">
        <x:v>NOT_STARTED</x:v>
      </x:c>
      <x:c r="G29" s="26" t="n">
        <x:v>3</x:v>
      </x:c>
      <x:c r="H29" s="26" t="n">
        <x:v>7</x:v>
      </x:c>
      <x:c r="I29" s="20" t="str">
        <x:v>TRUST-04</x:v>
      </x:c>
      <x:c r="J29" s="20" t="str">
        <x:v>G02;G03;G05</x:v>
      </x:c>
      <x:c r="K29" s="20" t="str">
        <x:v>Role không bypass; transaction pool không lẫn</x:v>
      </x:c>
      <x:c r="L29" s="24" t="str"/>
    </x:row>
    <x:row r="30" ht="46" customHeight="1">
      <x:c r="A30" s="20" t="str">
        <x:v>TRUST-06</x:v>
      </x:c>
      <x:c r="B30" s="20" t="str">
        <x:v>B</x:v>
      </x:c>
      <x:c r="C30" s="20" t="str">
        <x:v>CSRF, Origin và CORS đúng vai trò</x:v>
      </x:c>
      <x:c r="D30" s="20" t="str">
        <x:v>Backend + Security</x:v>
      </x:c>
      <x:c r="E30" s="20" t="str">
        <x:v>P1</x:v>
      </x:c>
      <x:c r="F30" s="24" t="str">
        <x:v>NOT_STARTED</x:v>
      </x:c>
      <x:c r="G30" s="26" t="n">
        <x:v>3</x:v>
      </x:c>
      <x:c r="H30" s="26" t="n">
        <x:v>7</x:v>
      </x:c>
      <x:c r="I30" s="20" t="str">
        <x:v>TRUST-05</x:v>
      </x:c>
      <x:c r="J30" s="20" t="str">
        <x:v>G02;G03;G05</x:v>
      </x:c>
      <x:c r="K30" s="20" t="str">
        <x:v>Mutating request không CSRF bị chặn</x:v>
      </x:c>
      <x:c r="L30" s="24" t="str"/>
    </x:row>
    <x:row r="31" ht="46" customHeight="1">
      <x:c r="A31" s="20" t="str">
        <x:v>TRUST-07</x:v>
      </x:c>
      <x:c r="B31" s="20" t="str">
        <x:v>B</x:v>
      </x:c>
      <x:c r="C31" s="20" t="str">
        <x:v>Field/section sharing và grant expiry</x:v>
      </x:c>
      <x:c r="D31" s="20" t="str">
        <x:v>Backend + Security</x:v>
      </x:c>
      <x:c r="E31" s="20" t="str">
        <x:v>P1</x:v>
      </x:c>
      <x:c r="F31" s="24" t="str">
        <x:v>NOT_STARTED</x:v>
      </x:c>
      <x:c r="G31" s="26" t="n">
        <x:v>3</x:v>
      </x:c>
      <x:c r="H31" s="26" t="n">
        <x:v>7</x:v>
      </x:c>
      <x:c r="I31" s="20" t="str">
        <x:v>TRUST-06</x:v>
      </x:c>
      <x:c r="J31" s="20" t="str">
        <x:v>G02;G03;G05</x:v>
      </x:c>
      <x:c r="K31" s="20" t="str">
        <x:v>Quyền thay đổi áp dụng list/export/background</x:v>
      </x:c>
      <x:c r="L31" s="24" t="str"/>
    </x:row>
    <x:row r="32" ht="46" customHeight="1">
      <x:c r="A32" s="20" t="str">
        <x:v>TRUST-08</x:v>
      </x:c>
      <x:c r="B32" s="20" t="str">
        <x:v>B</x:v>
      </x:c>
      <x:c r="C32" s="20" t="str">
        <x:v>Intake consent và purpose versioning</x:v>
      </x:c>
      <x:c r="D32" s="20" t="str">
        <x:v>Backend + Security</x:v>
      </x:c>
      <x:c r="E32" s="20" t="str">
        <x:v>P1</x:v>
      </x:c>
      <x:c r="F32" s="24" t="str">
        <x:v>NOT_STARTED</x:v>
      </x:c>
      <x:c r="G32" s="26" t="n">
        <x:v>3</x:v>
      </x:c>
      <x:c r="H32" s="26" t="n">
        <x:v>7</x:v>
      </x:c>
      <x:c r="I32" s="20" t="str">
        <x:v>TRUST-07</x:v>
      </x:c>
      <x:c r="J32" s="20" t="str">
        <x:v>G02;G03;G05</x:v>
      </x:c>
      <x:c r="K32" s="20" t="str">
        <x:v>Client hiểu dữ liệu/retention; rút consent có hiệu lực</x:v>
      </x:c>
      <x:c r="L32" s="24" t="str"/>
    </x:row>
    <x:row r="33" ht="46" customHeight="1">
      <x:c r="A33" s="20" t="str">
        <x:v>TRUST-09</x:v>
      </x:c>
      <x:c r="B33" s="20" t="str">
        <x:v>B</x:v>
      </x:c>
      <x:c r="C33" s="20" t="str">
        <x:v>Private media staging và authorized download</x:v>
      </x:c>
      <x:c r="D33" s="20" t="str">
        <x:v>Backend + Security</x:v>
      </x:c>
      <x:c r="E33" s="20" t="str">
        <x:v>P1</x:v>
      </x:c>
      <x:c r="F33" s="24" t="str">
        <x:v>NOT_STARTED</x:v>
      </x:c>
      <x:c r="G33" s="26" t="n">
        <x:v>3</x:v>
      </x:c>
      <x:c r="H33" s="26" t="n">
        <x:v>7</x:v>
      </x:c>
      <x:c r="I33" s="20" t="str">
        <x:v>TRUST-08</x:v>
      </x:c>
      <x:c r="J33" s="20" t="str">
        <x:v>G02;G03;G05</x:v>
      </x:c>
      <x:c r="K33" s="20" t="str">
        <x:v>MIME/size/path checks; URL không trong log</x:v>
      </x:c>
      <x:c r="L33" s="24" t="str"/>
    </x:row>
    <x:row r="34" ht="46" customHeight="1">
      <x:c r="A34" s="20" t="str">
        <x:v>TRUST-10</x:v>
      </x:c>
      <x:c r="B34" s="20" t="str">
        <x:v>B</x:v>
      </x:c>
      <x:c r="C34" s="20" t="str">
        <x:v>Break-glass có dual review và expiry</x:v>
      </x:c>
      <x:c r="D34" s="20" t="str">
        <x:v>Backend + Security</x:v>
      </x:c>
      <x:c r="E34" s="20" t="str">
        <x:v>P1</x:v>
      </x:c>
      <x:c r="F34" s="24" t="str">
        <x:v>NOT_STARTED</x:v>
      </x:c>
      <x:c r="G34" s="26" t="n">
        <x:v>2</x:v>
      </x:c>
      <x:c r="H34" s="26" t="n">
        <x:v>5</x:v>
      </x:c>
      <x:c r="I34" s="20" t="str">
        <x:v>TRUST-09</x:v>
      </x:c>
      <x:c r="J34" s="20" t="str">
        <x:v>G02;G03;G05</x:v>
      </x:c>
      <x:c r="K34" s="20" t="str">
        <x:v>Không admin đọc mọi hồ sơ mặc định</x:v>
      </x:c>
      <x:c r="L34" s="24" t="str"/>
    </x:row>
    <x:row r="35" ht="46" customHeight="1">
      <x:c r="A35" s="20" t="str">
        <x:v>DATA-01</x:v>
      </x:c>
      <x:c r="B35" s="20" t="str">
        <x:v>B</x:v>
      </x:c>
      <x:c r="C35" s="20" t="str">
        <x:v>Triển khai profile version và hypotheses</x:v>
      </x:c>
      <x:c r="D35" s="20" t="str">
        <x:v>Data Lead + QA</x:v>
      </x:c>
      <x:c r="E35" s="20" t="str">
        <x:v>P1</x:v>
      </x:c>
      <x:c r="F35" s="24" t="str">
        <x:v>NOT_STARTED</x:v>
      </x:c>
      <x:c r="G35" s="26" t="n">
        <x:v>2</x:v>
      </x:c>
      <x:c r="H35" s="26" t="n">
        <x:v>5</x:v>
      </x:c>
      <x:c r="I35" s="20" t="str">
        <x:v>TRUST-03</x:v>
      </x:c>
      <x:c r="J35" s="20" t="str">
        <x:v>G05;G07;G10</x:v>
      </x:c>
      <x:c r="K35" s="20" t="str">
        <x:v>Không ghi đè DOB mâu thuẫn, giữ raw name</x:v>
      </x:c>
      <x:c r="L35" s="24" t="str"/>
    </x:row>
    <x:row r="36" ht="46" customHeight="1">
      <x:c r="A36" s="20" t="str">
        <x:v>DATA-02</x:v>
      </x:c>
      <x:c r="B36" s="20" t="str">
        <x:v>B</x:v>
      </x:c>
      <x:c r="C36" s="20" t="str">
        <x:v>Định nghĩa120field và mức cần thu</x:v>
      </x:c>
      <x:c r="D36" s="20" t="str">
        <x:v>Data Lead + QA</x:v>
      </x:c>
      <x:c r="E36" s="20" t="str">
        <x:v>P1</x:v>
      </x:c>
      <x:c r="F36" s="24" t="str">
        <x:v>NOT_STARTED</x:v>
      </x:c>
      <x:c r="G36" s="26" t="n">
        <x:v>2</x:v>
      </x:c>
      <x:c r="H36" s="26" t="n">
        <x:v>5</x:v>
      </x:c>
      <x:c r="I36" s="20" t="str">
        <x:v>DATA-01</x:v>
      </x:c>
      <x:c r="J36" s="20" t="str">
        <x:v>G05;G07;G10</x:v>
      </x:c>
      <x:c r="K36" s="20" t="str">
        <x:v>Mọi field có purpose/sensitivity/phase</x:v>
      </x:c>
      <x:c r="L36" s="24" t="str"/>
    </x:row>
    <x:row r="37" ht="46" customHeight="1">
      <x:c r="A37" s="20" t="str">
        <x:v>DATA-03</x:v>
      </x:c>
      <x:c r="B37" s="20" t="str">
        <x:v>B</x:v>
      </x:c>
      <x:c r="C37" s="20" t="str">
        <x:v>D1 inventory và ownership quarantine</x:v>
      </x:c>
      <x:c r="D37" s="20" t="str">
        <x:v>Data Lead + QA</x:v>
      </x:c>
      <x:c r="E37" s="20" t="str">
        <x:v>P1</x:v>
      </x:c>
      <x:c r="F37" s="24" t="str">
        <x:v>NOT_STARTED</x:v>
      </x:c>
      <x:c r="G37" s="26" t="n">
        <x:v>3</x:v>
      </x:c>
      <x:c r="H37" s="26" t="n">
        <x:v>7</x:v>
      </x:c>
      <x:c r="I37" s="20" t="str">
        <x:v>DATA-02</x:v>
      </x:c>
      <x:c r="J37" s="20" t="str">
        <x:v>G05;G07;G10</x:v>
      </x:c>
      <x:c r="K37" s="20" t="str">
        <x:v>Hồ sơ chưa rõ không tự map vào account</x:v>
      </x:c>
      <x:c r="L37" s="24" t="str"/>
    </x:row>
    <x:row r="38" ht="46" customHeight="1">
      <x:c r="A38" s="20" t="str">
        <x:v>DATA-04</x:v>
      </x:c>
      <x:c r="B38" s="20" t="str">
        <x:v>B</x:v>
      </x:c>
      <x:c r="C38" s="20" t="str">
        <x:v>Dry-run D1→PostgreSQL bằng synthetic</x:v>
      </x:c>
      <x:c r="D38" s="20" t="str">
        <x:v>Data Lead + QA</x:v>
      </x:c>
      <x:c r="E38" s="20" t="str">
        <x:v>P1</x:v>
      </x:c>
      <x:c r="F38" s="24" t="str">
        <x:v>NOT_STARTED</x:v>
      </x:c>
      <x:c r="G38" s="26" t="n">
        <x:v>3</x:v>
      </x:c>
      <x:c r="H38" s="26" t="n">
        <x:v>7</x:v>
      </x:c>
      <x:c r="I38" s="20" t="str">
        <x:v>DATA-03</x:v>
      </x:c>
      <x:c r="J38" s="20" t="str">
        <x:v>G05;G07;G10</x:v>
      </x:c>
      <x:c r="K38" s="20" t="str">
        <x:v>Counts/checksums/FKs đối soát và rollback</x:v>
      </x:c>
      <x:c r="L38" s="24" t="str"/>
    </x:row>
    <x:row r="39" ht="46" customHeight="1">
      <x:c r="A39" s="20" t="str">
        <x:v>DATA-05</x:v>
      </x:c>
      <x:c r="B39" s="20" t="str">
        <x:v>B</x:v>
      </x:c>
      <x:c r="C39" s="20" t="str">
        <x:v>Migration rehearsal với quyền được cấp riêng</x:v>
      </x:c>
      <x:c r="D39" s="20" t="str">
        <x:v>Data Lead + QA</x:v>
      </x:c>
      <x:c r="E39" s="20" t="str">
        <x:v>P1</x:v>
      </x:c>
      <x:c r="F39" s="24" t="str">
        <x:v>NOT_STARTED</x:v>
      </x:c>
      <x:c r="G39" s="26" t="n">
        <x:v>3</x:v>
      </x:c>
      <x:c r="H39" s="26" t="n">
        <x:v>7</x:v>
      </x:c>
      <x:c r="I39" s="20" t="str">
        <x:v>DATA-04</x:v>
      </x:c>
      <x:c r="J39" s="20" t="str">
        <x:v>G05;G07;G10</x:v>
      </x:c>
      <x:c r="K39" s="20" t="str">
        <x:v>Không lấy production PI trong scope mặc định</x:v>
      </x:c>
      <x:c r="L39" s="24" t="str"/>
    </x:row>
    <x:row r="40" ht="46" customHeight="1">
      <x:c r="A40" s="20" t="str">
        <x:v>DATA-06</x:v>
      </x:c>
      <x:c r="B40" s="20" t="str">
        <x:v>B</x:v>
      </x:c>
      <x:c r="C40" s="20" t="str">
        <x:v>Outbox và job receipt schema</x:v>
      </x:c>
      <x:c r="D40" s="20" t="str">
        <x:v>Data Lead + QA</x:v>
      </x:c>
      <x:c r="E40" s="20" t="str">
        <x:v>P1</x:v>
      </x:c>
      <x:c r="F40" s="24" t="str">
        <x:v>NOT_STARTED</x:v>
      </x:c>
      <x:c r="G40" s="26" t="n">
        <x:v>3</x:v>
      </x:c>
      <x:c r="H40" s="26" t="n">
        <x:v>7</x:v>
      </x:c>
      <x:c r="I40" s="20" t="str">
        <x:v>DATA-05</x:v>
      </x:c>
      <x:c r="J40" s="20" t="str">
        <x:v>G05;G07;G10</x:v>
      </x:c>
      <x:c r="K40" s="20" t="str">
        <x:v>Commit dữ liệu+outbox atomically</x:v>
      </x:c>
      <x:c r="L40" s="24" t="str"/>
    </x:row>
    <x:row r="41" ht="46" customHeight="1">
      <x:c r="A41" s="20" t="str">
        <x:v>DATA-07</x:v>
      </x:c>
      <x:c r="B41" s="20" t="str">
        <x:v>B</x:v>
      </x:c>
      <x:c r="C41" s="20" t="str">
        <x:v>Deletion orchestrator xuyên hệ</x:v>
      </x:c>
      <x:c r="D41" s="20" t="str">
        <x:v>Data Lead + QA</x:v>
      </x:c>
      <x:c r="E41" s="20" t="str">
        <x:v>P1</x:v>
      </x:c>
      <x:c r="F41" s="24" t="str">
        <x:v>NOT_STARTED</x:v>
      </x:c>
      <x:c r="G41" s="26" t="n">
        <x:v>3</x:v>
      </x:c>
      <x:c r="H41" s="26" t="n">
        <x:v>7</x:v>
      </x:c>
      <x:c r="I41" s="20" t="str">
        <x:v>DATA-06</x:v>
      </x:c>
      <x:c r="J41" s="20" t="str">
        <x:v>G05;G07;G10</x:v>
      </x:c>
      <x:c r="K41" s="20" t="str">
        <x:v>DB/R2/index/cache/queue/provider có receipt</x:v>
      </x:c>
      <x:c r="L41" s="24" t="str"/>
    </x:row>
    <x:row r="42" ht="46" customHeight="1">
      <x:c r="A42" s="20" t="str">
        <x:v>DATA-08</x:v>
      </x:c>
      <x:c r="B42" s="20" t="str">
        <x:v>B</x:v>
      </x:c>
      <x:c r="C42" s="20" t="str">
        <x:v>Legal hold và backup tombstones</x:v>
      </x:c>
      <x:c r="D42" s="20" t="str">
        <x:v>Data Lead + QA</x:v>
      </x:c>
      <x:c r="E42" s="20" t="str">
        <x:v>P1</x:v>
      </x:c>
      <x:c r="F42" s="24" t="str">
        <x:v>NOT_STARTED</x:v>
      </x:c>
      <x:c r="G42" s="26" t="n">
        <x:v>3</x:v>
      </x:c>
      <x:c r="H42" s="26" t="n">
        <x:v>7</x:v>
      </x:c>
      <x:c r="I42" s="20" t="str">
        <x:v>DATA-07</x:v>
      </x:c>
      <x:c r="J42" s="20" t="str">
        <x:v>G05;G07;G10</x:v>
      </x:c>
      <x:c r="K42" s="20" t="str">
        <x:v>Restore không tái xuất dữ liệu đã xóa</x:v>
      </x:c>
      <x:c r="L42" s="24" t="str"/>
    </x:row>
    <x:row r="43" ht="46" customHeight="1">
      <x:c r="A43" s="20" t="str">
        <x:v>DATA-09</x:v>
      </x:c>
      <x:c r="B43" s="20" t="str">
        <x:v>B</x:v>
      </x:c>
      <x:c r="C43" s="20" t="str">
        <x:v>Export/correction self-service</x:v>
      </x:c>
      <x:c r="D43" s="20" t="str">
        <x:v>Data Lead + QA</x:v>
      </x:c>
      <x:c r="E43" s="20" t="str">
        <x:v>P1</x:v>
      </x:c>
      <x:c r="F43" s="24" t="str">
        <x:v>NOT_STARTED</x:v>
      </x:c>
      <x:c r="G43" s="26" t="n">
        <x:v>3</x:v>
      </x:c>
      <x:c r="H43" s="26" t="n">
        <x:v>7</x:v>
      </x:c>
      <x:c r="I43" s="20" t="str">
        <x:v>DATA-08</x:v>
      </x:c>
      <x:c r="J43" s="20" t="str">
        <x:v>G05;G07;G10</x:v>
      </x:c>
      <x:c r="K43" s="20" t="str">
        <x:v>Quyền dữ liệu miễn phí và không lẫn subject</x:v>
      </x:c>
      <x:c r="L43" s="24" t="str"/>
    </x:row>
    <x:row r="44" ht="46" customHeight="1">
      <x:c r="A44" s="20" t="str">
        <x:v>DATA-10</x:v>
      </x:c>
      <x:c r="B44" s="20" t="str">
        <x:v>B</x:v>
      </x:c>
      <x:c r="C44" s="20" t="str">
        <x:v>Cutover single writer và revert plan</x:v>
      </x:c>
      <x:c r="D44" s="20" t="str">
        <x:v>Data Lead + QA</x:v>
      </x:c>
      <x:c r="E44" s="20" t="str">
        <x:v>P1</x:v>
      </x:c>
      <x:c r="F44" s="24" t="str">
        <x:v>NOT_STARTED</x:v>
      </x:c>
      <x:c r="G44" s="26" t="n">
        <x:v>2</x:v>
      </x:c>
      <x:c r="H44" s="26" t="n">
        <x:v>5</x:v>
      </x:c>
      <x:c r="I44" s="20" t="str">
        <x:v>DATA-09</x:v>
      </x:c>
      <x:c r="J44" s="20" t="str">
        <x:v>G05;G07;G10</x:v>
      </x:c>
      <x:c r="K44" s="20" t="str">
        <x:v>Không dualwrite tùy tiện; revert giữ quyền</x:v>
      </x:c>
      <x:c r="L44" s="24" t="str"/>
    </x:row>
    <x:row r="45" ht="46" customHeight="1">
      <x:c r="A45" s="20" t="str">
        <x:v>METHOD-01</x:v>
      </x:c>
      <x:c r="B45" s="20" t="str">
        <x:v>C</x:v>
      </x:c>
      <x:c r="C45" s="20" t="str">
        <x:v>NFC/transliteration/name-cycle passport</x:v>
      </x:c>
      <x:c r="D45" s="20" t="str">
        <x:v>Method Council + Engineer</x:v>
      </x:c>
      <x:c r="E45" s="20" t="str">
        <x:v>P1</x:v>
      </x:c>
      <x:c r="F45" s="24" t="str">
        <x:v>NOT_STARTED</x:v>
      </x:c>
      <x:c r="G45" s="26" t="n">
        <x:v>2</x:v>
      </x:c>
      <x:c r="H45" s="26" t="n">
        <x:v>5</x:v>
      </x:c>
      <x:c r="I45" s="20" t="str">
        <x:v>GOV-07</x:v>
      </x:c>
      <x:c r="J45" s="20" t="str">
        <x:v>G06</x:v>
      </x:c>
      <x:c r="K45" s="20" t="str">
        <x:v>Đúng tên gốc; unsupported scripts không bị tự đoán</x:v>
      </x:c>
      <x:c r="L45" s="24" t="str"/>
    </x:row>
    <x:row r="46" ht="46" customHeight="1">
      <x:c r="A46" s="20" t="str">
        <x:v>METHOD-02</x:v>
      </x:c>
      <x:c r="B46" s="20" t="str">
        <x:v>C</x:v>
      </x:c>
      <x:c r="C46" s="20" t="str">
        <x:v>Birth sums và calendar-year policy</x:v>
      </x:c>
      <x:c r="D46" s="20" t="str">
        <x:v>Method Council + Engineer</x:v>
      </x:c>
      <x:c r="E46" s="20" t="str">
        <x:v>P1</x:v>
      </x:c>
      <x:c r="F46" s="24" t="str">
        <x:v>NOT_STARTED</x:v>
      </x:c>
      <x:c r="G46" s="26" t="n">
        <x:v>2</x:v>
      </x:c>
      <x:c r="H46" s="26" t="n">
        <x:v>5</x:v>
      </x:c>
      <x:c r="I46" s="20" t="str">
        <x:v>METHOD-01</x:v>
      </x:c>
      <x:c r="J46" s="20" t="str">
        <x:v>G06</x:v>
      </x:c>
      <x:c r="K46" s="20" t="str">
        <x:v>Rule giữ11/22/33 có version riêng</x:v>
      </x:c>
      <x:c r="L46" s="24" t="str"/>
    </x:row>
    <x:row r="47" ht="46" customHeight="1">
      <x:c r="A47" s="20" t="str">
        <x:v>METHOD-03</x:v>
      </x:c>
      <x:c r="B47" s="20" t="str">
        <x:v>C</x:v>
      </x:c>
      <x:c r="C47" s="20" t="str">
        <x:v>Timezone/date precision và leap rules</x:v>
      </x:c>
      <x:c r="D47" s="20" t="str">
        <x:v>Method Council + Engineer</x:v>
      </x:c>
      <x:c r="E47" s="20" t="str">
        <x:v>P1</x:v>
      </x:c>
      <x:c r="F47" s="24" t="str">
        <x:v>NOT_STARTED</x:v>
      </x:c>
      <x:c r="G47" s="26" t="n">
        <x:v>3</x:v>
      </x:c>
      <x:c r="H47" s="26" t="n">
        <x:v>7</x:v>
      </x:c>
      <x:c r="I47" s="20" t="str">
        <x:v>METHOD-02</x:v>
      </x:c>
      <x:c r="J47" s="20" t="str">
        <x:v>G06</x:v>
      </x:c>
      <x:c r="K47" s="20" t="str">
        <x:v>Unknown không thành00:00; ranh giới lịch có fixture</x:v>
      </x:c>
      <x:c r="L47" s="24" t="str"/>
    </x:row>
    <x:row r="48" ht="46" customHeight="1">
      <x:c r="A48" s="20" t="str">
        <x:v>METHOD-04</x:v>
      </x:c>
      <x:c r="B48" s="20" t="str">
        <x:v>C</x:v>
      </x:c>
      <x:c r="C48" s="20" t="str">
        <x:v>Mã đuôi80 với zero policy</x:v>
      </x:c>
      <x:c r="D48" s="20" t="str">
        <x:v>Method Council + Engineer</x:v>
      </x:c>
      <x:c r="E48" s="20" t="str">
        <x:v>P1</x:v>
      </x:c>
      <x:c r="F48" s="24" t="str">
        <x:v>NOT_STARTED</x:v>
      </x:c>
      <x:c r="G48" s="26" t="n">
        <x:v>3</x:v>
      </x:c>
      <x:c r="H48" s="26" t="n">
        <x:v>7</x:v>
      </x:c>
      <x:c r="I48" s="20" t="str">
        <x:v>METHOD-03</x:v>
      </x:c>
      <x:c r="J48" s="20" t="str">
        <x:v>G06</x:v>
      </x:c>
      <x:c r="K48" s="20" t="str">
        <x:v>10.000suffix đối chiếu; unmapped mặc định</x:v>
      </x:c>
      <x:c r="L48" s="24" t="str"/>
    </x:row>
    <x:row r="49" ht="46" customHeight="1">
      <x:c r="A49" s="20" t="str">
        <x:v>METHOD-05</x:v>
      </x:c>
      <x:c r="B49" s="20" t="str">
        <x:v>C</x:v>
      </x:c>
      <x:c r="C49" s="20" t="str">
        <x:v>Registry80 label/source/editorial riêng</x:v>
      </x:c>
      <x:c r="D49" s="20" t="str">
        <x:v>Method Council + Engineer</x:v>
      </x:c>
      <x:c r="E49" s="20" t="str">
        <x:v>P1</x:v>
      </x:c>
      <x:c r="F49" s="24" t="str">
        <x:v>NOT_STARTED</x:v>
      </x:c>
      <x:c r="G49" s="26" t="n">
        <x:v>3</x:v>
      </x:c>
      <x:c r="H49" s="26" t="n">
        <x:v>7</x:v>
      </x:c>
      <x:c r="I49" s="20" t="str">
        <x:v>METHOD-04</x:v>
      </x:c>
      <x:c r="J49" s="20" t="str">
        <x:v>G06</x:v>
      </x:c>
      <x:c r="K49" s="20" t="str">
        <x:v>Mục34/55 còn note; nhãn không tự đổi</x:v>
      </x:c>
      <x:c r="L49" s="24" t="str"/>
    </x:row>
    <x:row r="50" ht="46" customHeight="1">
      <x:c r="A50" s="20" t="str">
        <x:v>METHOD-06</x:v>
      </x:c>
      <x:c r="B50" s="20" t="str">
        <x:v>C</x:v>
      </x:c>
      <x:c r="C50" s="20" t="str">
        <x:v>64cặp số và unresolved0/5</x:v>
      </x:c>
      <x:c r="D50" s="20" t="str">
        <x:v>Method Council + Engineer</x:v>
      </x:c>
      <x:c r="E50" s="20" t="str">
        <x:v>P1</x:v>
      </x:c>
      <x:c r="F50" s="24" t="str">
        <x:v>NOT_STARTED</x:v>
      </x:c>
      <x:c r="G50" s="26" t="n">
        <x:v>3</x:v>
      </x:c>
      <x:c r="H50" s="26" t="n">
        <x:v>7</x:v>
      </x:c>
      <x:c r="I50" s="20" t="str">
        <x:v>METHOD-05</x:v>
      </x:c>
      <x:c r="J50" s="20" t="str">
        <x:v>G06</x:v>
      </x:c>
      <x:c r="K50" s="20" t="str">
        <x:v>Overlapping pair, đủ64không trùng; không tự hóa giải</x:v>
      </x:c>
      <x:c r="L50" s="24" t="str"/>
    </x:row>
    <x:row r="51" ht="46" customHeight="1">
      <x:c r="A51" s="20" t="str">
        <x:v>METHOD-07</x:v>
      </x:c>
      <x:c r="B51" s="20" t="str">
        <x:v>C</x:v>
      </x:c>
      <x:c r="C51" s="20" t="str">
        <x:v>Server-required coverage và nullable metrics</x:v>
      </x:c>
      <x:c r="D51" s="20" t="str">
        <x:v>Method Council + Engineer</x:v>
      </x:c>
      <x:c r="E51" s="20" t="str">
        <x:v>P1</x:v>
      </x:c>
      <x:c r="F51" s="24" t="str">
        <x:v>NOT_STARTED</x:v>
      </x:c>
      <x:c r="G51" s="26" t="n">
        <x:v>3</x:v>
      </x:c>
      <x:c r="H51" s="26" t="n">
        <x:v>7</x:v>
      </x:c>
      <x:c r="I51" s="20" t="str">
        <x:v>METHOD-06</x:v>
      </x:c>
      <x:c r="J51" s="20" t="str">
        <x:v>G06</x:v>
      </x:c>
      <x:c r="K51" s="20" t="str">
        <x:v>Client không chọn denominator; không score mặc định</x:v>
      </x:c>
      <x:c r="L51" s="24" t="str"/>
    </x:row>
    <x:row r="52" ht="46" customHeight="1">
      <x:c r="A52" s="20" t="str">
        <x:v>METHOD-08</x:v>
      </x:c>
      <x:c r="B52" s="20" t="str">
        <x:v>C</x:v>
      </x:c>
      <x:c r="C52" s="20" t="str">
        <x:v>Age intervals0–99 và4timeline tracks</x:v>
      </x:c>
      <x:c r="D52" s="20" t="str">
        <x:v>Method Council + Engineer</x:v>
      </x:c>
      <x:c r="E52" s="20" t="str">
        <x:v>P1</x:v>
      </x:c>
      <x:c r="F52" s="24" t="str">
        <x:v>NOT_STARTED</x:v>
      </x:c>
      <x:c r="G52" s="26" t="n">
        <x:v>3</x:v>
      </x:c>
      <x:c r="H52" s="26" t="n">
        <x:v>7</x:v>
      </x:c>
      <x:c r="I52" s="20" t="str">
        <x:v>METHOD-07</x:v>
      </x:c>
      <x:c r="J52" s="20" t="str">
        <x:v>G06</x:v>
      </x:c>
      <x:c r="K52" s="20" t="str">
        <x:v>Không seeded risk; zero-data không tạo biography</x:v>
      </x:c>
      <x:c r="L52" s="24" t="str"/>
    </x:row>
    <x:row r="53" ht="46" customHeight="1">
      <x:c r="A53" s="20" t="str">
        <x:v>METHOD-09</x:v>
      </x:c>
      <x:c r="B53" s="20" t="str">
        <x:v>C</x:v>
      </x:c>
      <x:c r="C53" s="20" t="str">
        <x:v>Goal progress metric từ observation</x:v>
      </x:c>
      <x:c r="D53" s="20" t="str">
        <x:v>Method Council + Engineer</x:v>
      </x:c>
      <x:c r="E53" s="20" t="str">
        <x:v>P1</x:v>
      </x:c>
      <x:c r="F53" s="24" t="str">
        <x:v>NOT_STARTED</x:v>
      </x:c>
      <x:c r="G53" s="26" t="n">
        <x:v>3</x:v>
      </x:c>
      <x:c r="H53" s="26" t="n">
        <x:v>7</x:v>
      </x:c>
      <x:c r="I53" s="20" t="str">
        <x:v>METHOD-08</x:v>
      </x:c>
      <x:c r="J53" s="20" t="str">
        <x:v>G06</x:v>
      </x:c>
      <x:c r="K53" s="20" t="str">
        <x:v>Có denominator/timewindow/source; không chẩn đoán</x:v>
      </x:c>
      <x:c r="L53" s="24" t="str"/>
    </x:row>
    <x:row r="54" ht="46" customHeight="1">
      <x:c r="A54" s="20" t="str">
        <x:v>METHOD-10</x:v>
      </x:c>
      <x:c r="B54" s="20" t="str">
        <x:v>C</x:v>
      </x:c>
      <x:c r="C54" s="20" t="str">
        <x:v>Method release registry và revoke impact</x:v>
      </x:c>
      <x:c r="D54" s="20" t="str">
        <x:v>Method Council + Engineer</x:v>
      </x:c>
      <x:c r="E54" s="20" t="str">
        <x:v>P1</x:v>
      </x:c>
      <x:c r="F54" s="24" t="str">
        <x:v>NOT_STARTED</x:v>
      </x:c>
      <x:c r="G54" s="26" t="n">
        <x:v>2</x:v>
      </x:c>
      <x:c r="H54" s="26" t="n">
        <x:v>5</x:v>
      </x:c>
      <x:c r="I54" s="20" t="str">
        <x:v>METHOD-09</x:v>
      </x:c>
      <x:c r="J54" s="20" t="str">
        <x:v>G06</x:v>
      </x:c>
      <x:c r="K54" s="20" t="str">
        <x:v>Method revoked chặn chạy/publish mới đúng scope</x:v>
      </x:c>
      <x:c r="L54" s="24" t="str"/>
    </x:row>
    <x:row r="55" ht="46" customHeight="1">
      <x:c r="A55" s="20" t="str">
        <x:v>WEB-01</x:v>
      </x:c>
      <x:c r="B55" s="20" t="str">
        <x:v>C</x:v>
      </x:c>
      <x:c r="C55" s="20" t="str">
        <x:v>Chỉnh home/levels claims và giữ URL</x:v>
      </x:c>
      <x:c r="D55" s="20" t="str">
        <x:v>Frontend + UX</x:v>
      </x:c>
      <x:c r="E55" s="20" t="str">
        <x:v>P1</x:v>
      </x:c>
      <x:c r="F55" s="24" t="str">
        <x:v>NOT_STARTED</x:v>
      </x:c>
      <x:c r="G55" s="26" t="n">
        <x:v>2</x:v>
      </x:c>
      <x:c r="H55" s="26" t="n">
        <x:v>5</x:v>
      </x:c>
      <x:c r="I55" s="20" t="str">
        <x:v>GOV-02;TRUST-03</x:v>
      </x:c>
      <x:c r="J55" s="20" t="str">
        <x:v>G03;G08;G12</x:v>
      </x:c>
      <x:c r="K55" s="20" t="str">
        <x:v>Không hứa tiên tri; redirects/canonical kiểm tra</x:v>
      </x:c>
      <x:c r="L55" s="24" t="str"/>
    </x:row>
    <x:row r="56" ht="46" customHeight="1">
      <x:c r="A56" s="20" t="str">
        <x:v>WEB-02</x:v>
      </x:c>
      <x:c r="B56" s="20" t="str">
        <x:v>C</x:v>
      </x:c>
      <x:c r="C56" s="20" t="str">
        <x:v>Guest deterministic tools không tài khoản</x:v>
      </x:c>
      <x:c r="D56" s="20" t="str">
        <x:v>Frontend + UX</x:v>
      </x:c>
      <x:c r="E56" s="20" t="str">
        <x:v>P1</x:v>
      </x:c>
      <x:c r="F56" s="24" t="str">
        <x:v>NOT_STARTED</x:v>
      </x:c>
      <x:c r="G56" s="26" t="n">
        <x:v>2</x:v>
      </x:c>
      <x:c r="H56" s="26" t="n">
        <x:v>5</x:v>
      </x:c>
      <x:c r="I56" s="20" t="str">
        <x:v>WEB-01</x:v>
      </x:c>
      <x:c r="J56" s="20" t="str">
        <x:v>G03;G08;G12</x:v>
      </x:c>
      <x:c r="K56" s="20" t="str">
        <x:v>Không raw input analytics; có unknown/tableversion</x:v>
      </x:c>
      <x:c r="L56" s="24" t="str"/>
    </x:row>
    <x:row r="57" ht="46" customHeight="1">
      <x:c r="A57" s="20" t="str">
        <x:v>WEB-03</x:v>
      </x:c>
      <x:c r="B57" s="20" t="str">
        <x:v>C</x:v>
      </x:c>
      <x:c r="C57" s="20" t="str">
        <x:v>Needs-first onboarding và save-draft</x:v>
      </x:c>
      <x:c r="D57" s="20" t="str">
        <x:v>Frontend + UX</x:v>
      </x:c>
      <x:c r="E57" s="20" t="str">
        <x:v>P1</x:v>
      </x:c>
      <x:c r="F57" s="24" t="str">
        <x:v>NOT_STARTED</x:v>
      </x:c>
      <x:c r="G57" s="26" t="n">
        <x:v>3</x:v>
      </x:c>
      <x:c r="H57" s="26" t="n">
        <x:v>7</x:v>
      </x:c>
      <x:c r="I57" s="20" t="str">
        <x:v>WEB-02</x:v>
      </x:c>
      <x:c r="J57" s="20" t="str">
        <x:v>G03;G08;G12</x:v>
      </x:c>
      <x:c r="K57" s="20" t="str">
        <x:v>Form ít trường, nêu purpose và lỗi rõ</x:v>
      </x:c>
      <x:c r="L57" s="24" t="str"/>
    </x:row>
    <x:row r="58" ht="46" customHeight="1">
      <x:c r="A58" s="20" t="str">
        <x:v>WEB-04</x:v>
      </x:c>
      <x:c r="B58" s="20" t="str">
        <x:v>C</x:v>
      </x:c>
      <x:c r="C58" s="20" t="str">
        <x:v>Profile/hypothesis editor</x:v>
      </x:c>
      <x:c r="D58" s="20" t="str">
        <x:v>Frontend + UX</x:v>
      </x:c>
      <x:c r="E58" s="20" t="str">
        <x:v>P1</x:v>
      </x:c>
      <x:c r="F58" s="24" t="str">
        <x:v>NOT_STARTED</x:v>
      </x:c>
      <x:c r="G58" s="26" t="n">
        <x:v>3</x:v>
      </x:c>
      <x:c r="H58" s="26" t="n">
        <x:v>7</x:v>
      </x:c>
      <x:c r="I58" s="20" t="str">
        <x:v>WEB-03</x:v>
      </x:c>
      <x:c r="J58" s="20" t="str">
        <x:v>G03;G08;G12</x:v>
      </x:c>
      <x:c r="K58" s="20" t="str">
        <x:v>Ngày thiếu và mâu thuẫn hiển thị đúng</x:v>
      </x:c>
      <x:c r="L58" s="24" t="str"/>
    </x:row>
    <x:row r="59" ht="46" customHeight="1">
      <x:c r="A59" s="20" t="str">
        <x:v>WEB-05</x:v>
      </x:c>
      <x:c r="B59" s="20" t="str">
        <x:v>C</x:v>
      </x:c>
      <x:c r="C59" s="20" t="str">
        <x:v>Consent center/access grants UI</x:v>
      </x:c>
      <x:c r="D59" s="20" t="str">
        <x:v>Frontend + UX</x:v>
      </x:c>
      <x:c r="E59" s="20" t="str">
        <x:v>P1</x:v>
      </x:c>
      <x:c r="F59" s="24" t="str">
        <x:v>NOT_STARTED</x:v>
      </x:c>
      <x:c r="G59" s="26" t="n">
        <x:v>3</x:v>
      </x:c>
      <x:c r="H59" s="26" t="n">
        <x:v>7</x:v>
      </x:c>
      <x:c r="I59" s="20" t="str">
        <x:v>WEB-04</x:v>
      </x:c>
      <x:c r="J59" s="20" t="str">
        <x:v>G03;G08;G12</x:v>
      </x:c>
      <x:c r="K59" s="20" t="str">
        <x:v>Ai thấy gì/thời hạn/revoke có feedback</x:v>
      </x:c>
      <x:c r="L59" s="24" t="str"/>
    </x:row>
    <x:row r="60" ht="46" customHeight="1">
      <x:c r="A60" s="20" t="str">
        <x:v>WEB-06</x:v>
      </x:c>
      <x:c r="B60" s="20" t="str">
        <x:v>C</x:v>
      </x:c>
      <x:c r="C60" s="20" t="str">
        <x:v>Dashboard goals/actions/data completeness</x:v>
      </x:c>
      <x:c r="D60" s="20" t="str">
        <x:v>Frontend + UX</x:v>
      </x:c>
      <x:c r="E60" s="20" t="str">
        <x:v>P1</x:v>
      </x:c>
      <x:c r="F60" s="24" t="str">
        <x:v>NOT_STARTED</x:v>
      </x:c>
      <x:c r="G60" s="26" t="n">
        <x:v>3</x:v>
      </x:c>
      <x:c r="H60" s="26" t="n">
        <x:v>7</x:v>
      </x:c>
      <x:c r="I60" s="20" t="str">
        <x:v>WEB-05</x:v>
      </x:c>
      <x:c r="J60" s="20" t="str">
        <x:v>G03;G08;G12</x:v>
      </x:c>
      <x:c r="K60" s="20" t="str">
        <x:v>Không đồng hồ nguy cơ giả, null không thành0</x:v>
      </x:c>
      <x:c r="L60" s="24" t="str"/>
    </x:row>
    <x:row r="61" ht="46" customHeight="1">
      <x:c r="A61" s="20" t="str">
        <x:v>WEB-07</x:v>
      </x:c>
      <x:c r="B61" s="20" t="str">
        <x:v>C</x:v>
      </x:c>
      <x:c r="C61" s="20" t="str">
        <x:v>Journal/resonance check-in</x:v>
      </x:c>
      <x:c r="D61" s="20" t="str">
        <x:v>Frontend + UX</x:v>
      </x:c>
      <x:c r="E61" s="20" t="str">
        <x:v>P1</x:v>
      </x:c>
      <x:c r="F61" s="24" t="str">
        <x:v>NOT_STARTED</x:v>
      </x:c>
      <x:c r="G61" s="26" t="n">
        <x:v>3</x:v>
      </x:c>
      <x:c r="H61" s="26" t="n">
        <x:v>7</x:v>
      </x:c>
      <x:c r="I61" s="20" t="str">
        <x:v>WEB-06</x:v>
      </x:c>
      <x:c r="J61" s="20" t="str">
        <x:v>G03;G08;G12</x:v>
      </x:c>
      <x:c r="K61" s="20" t="str">
        <x:v>Lưu tự thuật, optional fields và unit/source</x:v>
      </x:c>
      <x:c r="L61" s="24" t="str"/>
    </x:row>
    <x:row r="62" ht="46" customHeight="1">
      <x:c r="A62" s="20" t="str">
        <x:v>WEB-08</x:v>
      </x:c>
      <x:c r="B62" s="20" t="str">
        <x:v>C</x:v>
      </x:c>
      <x:c r="C62" s="20" t="str">
        <x:v>Report reader/diff/revision/withdrawn</x:v>
      </x:c>
      <x:c r="D62" s="20" t="str">
        <x:v>Frontend + UX</x:v>
      </x:c>
      <x:c r="E62" s="20" t="str">
        <x:v>P1</x:v>
      </x:c>
      <x:c r="F62" s="24" t="str">
        <x:v>NOT_STARTED</x:v>
      </x:c>
      <x:c r="G62" s="26" t="n">
        <x:v>3</x:v>
      </x:c>
      <x:c r="H62" s="26" t="n">
        <x:v>7</x:v>
      </x:c>
      <x:c r="I62" s="20" t="str">
        <x:v>WEB-07</x:v>
      </x:c>
      <x:c r="J62" s="20" t="str">
        <x:v>G03;G08;G12</x:v>
      </x:c>
      <x:c r="K62" s="20" t="str">
        <x:v>Chỉ đúng subject; label/common vs personalized</x:v>
      </x:c>
      <x:c r="L62" s="24" t="str"/>
    </x:row>
    <x:row r="63" ht="46" customHeight="1">
      <x:c r="A63" s="20" t="str">
        <x:v>WEB-09</x:v>
      </x:c>
      <x:c r="B63" s="20" t="str">
        <x:v>C</x:v>
      </x:c>
      <x:c r="C63" s="20" t="str">
        <x:v>Responsive/i18n/date/RTL foundation</x:v>
      </x:c>
      <x:c r="D63" s="20" t="str">
        <x:v>Frontend + UX</x:v>
      </x:c>
      <x:c r="E63" s="20" t="str">
        <x:v>P1</x:v>
      </x:c>
      <x:c r="F63" s="24" t="str">
        <x:v>NOT_STARTED</x:v>
      </x:c>
      <x:c r="G63" s="26" t="n">
        <x:v>3</x:v>
      </x:c>
      <x:c r="H63" s="26" t="n">
        <x:v>7</x:v>
      </x:c>
      <x:c r="I63" s="20" t="str">
        <x:v>WEB-08</x:v>
      </x:c>
      <x:c r="J63" s="20" t="str">
        <x:v>G03;G08;G12</x:v>
      </x:c>
      <x:c r="K63" s="20" t="str">
        <x:v>VI glossary, locale switch bằng tên ngôn ngữ</x:v>
      </x:c>
      <x:c r="L63" s="24" t="str"/>
    </x:row>
    <x:row r="64" ht="46" customHeight="1">
      <x:c r="A64" s="20" t="str">
        <x:v>WEB-10</x:v>
      </x:c>
      <x:c r="B64" s="20" t="str">
        <x:v>C</x:v>
      </x:c>
      <x:c r="C64" s="20" t="str">
        <x:v>WCAG2.2AA kiểm thử flow chính</x:v>
      </x:c>
      <x:c r="D64" s="20" t="str">
        <x:v>Frontend + UX</x:v>
      </x:c>
      <x:c r="E64" s="20" t="str">
        <x:v>P1</x:v>
      </x:c>
      <x:c r="F64" s="24" t="str">
        <x:v>NOT_STARTED</x:v>
      </x:c>
      <x:c r="G64" s="26" t="n">
        <x:v>2</x:v>
      </x:c>
      <x:c r="H64" s="26" t="n">
        <x:v>5</x:v>
      </x:c>
      <x:c r="I64" s="20" t="str">
        <x:v>WEB-09</x:v>
      </x:c>
      <x:c r="J64" s="20" t="str">
        <x:v>G03;G08;G12</x:v>
      </x:c>
      <x:c r="K64" s="20" t="str">
        <x:v>Keyboard/focus/errors/reducedmotion/screenreader</x:v>
      </x:c>
      <x:c r="L64" s="24" t="str"/>
    </x:row>
    <x:row r="65" ht="46" customHeight="1">
      <x:c r="A65" s="20" t="str">
        <x:v>API-01</x:v>
      </x:c>
      <x:c r="B65" s="20" t="str">
        <x:v>C</x:v>
      </x:c>
      <x:c r="C65" s="20" t="str">
        <x:v>OpenAPI3.1 contract generation</x:v>
      </x:c>
      <x:c r="D65" s="20" t="str">
        <x:v>Backend + QA</x:v>
      </x:c>
      <x:c r="E65" s="20" t="str">
        <x:v>P1</x:v>
      </x:c>
      <x:c r="F65" s="24" t="str">
        <x:v>NOT_STARTED</x:v>
      </x:c>
      <x:c r="G65" s="26" t="n">
        <x:v>2</x:v>
      </x:c>
      <x:c r="H65" s="26" t="n">
        <x:v>5</x:v>
      </x:c>
      <x:c r="I65" s="20" t="str">
        <x:v>TRUST-04;DATA-01</x:v>
      </x:c>
      <x:c r="J65" s="20" t="str">
        <x:v>G03;G06;G09</x:v>
      </x:c>
      <x:c r="K65" s="20" t="str">
        <x:v>Request/response/error refs validate</x:v>
      </x:c>
      <x:c r="L65" s="24" t="str"/>
    </x:row>
    <x:row r="66" ht="46" customHeight="1">
      <x:c r="A66" s="20" t="str">
        <x:v>API-02</x:v>
      </x:c>
      <x:c r="B66" s="20" t="str">
        <x:v>C</x:v>
      </x:c>
      <x:c r="C66" s="20" t="str">
        <x:v>Subject/profile/observation CRUD</x:v>
      </x:c>
      <x:c r="D66" s="20" t="str">
        <x:v>Backend + QA</x:v>
      </x:c>
      <x:c r="E66" s="20" t="str">
        <x:v>P1</x:v>
      </x:c>
      <x:c r="F66" s="24" t="str">
        <x:v>NOT_STARTED</x:v>
      </x:c>
      <x:c r="G66" s="26" t="n">
        <x:v>2</x:v>
      </x:c>
      <x:c r="H66" s="26" t="n">
        <x:v>5</x:v>
      </x:c>
      <x:c r="I66" s="20" t="str">
        <x:v>API-01</x:v>
      </x:c>
      <x:c r="J66" s="20" t="str">
        <x:v>G03;G06;G09</x:v>
      </x:c>
      <x:c r="K66" s="20" t="str">
        <x:v>IfMatch conflict, pagination và object permissions</x:v>
      </x:c>
      <x:c r="L66" s="24" t="str"/>
    </x:row>
    <x:row r="67" ht="46" customHeight="1">
      <x:c r="A67" s="20" t="str">
        <x:v>API-03</x:v>
      </x:c>
      <x:c r="B67" s="20" t="str">
        <x:v>C</x:v>
      </x:c>
      <x:c r="C67" s="20" t="str">
        <x:v>Analysis run create/status/cancel</x:v>
      </x:c>
      <x:c r="D67" s="20" t="str">
        <x:v>Backend + QA</x:v>
      </x:c>
      <x:c r="E67" s="20" t="str">
        <x:v>P1</x:v>
      </x:c>
      <x:c r="F67" s="24" t="str">
        <x:v>NOT_STARTED</x:v>
      </x:c>
      <x:c r="G67" s="26" t="n">
        <x:v>3</x:v>
      </x:c>
      <x:c r="H67" s="26" t="n">
        <x:v>7</x:v>
      </x:c>
      <x:c r="I67" s="20" t="str">
        <x:v>API-02</x:v>
      </x:c>
      <x:c r="J67" s="20" t="str">
        <x:v>G03;G06;G09</x:v>
      </x:c>
      <x:c r="K67" s="20" t="str">
        <x:v>202idempotent; product/input/method policy</x:v>
      </x:c>
      <x:c r="L67" s="24" t="str"/>
    </x:row>
    <x:row r="68" ht="46" customHeight="1">
      <x:c r="A68" s="20" t="str">
        <x:v>API-04</x:v>
      </x:c>
      <x:c r="B68" s="20" t="str">
        <x:v>C</x:v>
      </x:c>
      <x:c r="C68" s="20" t="str">
        <x:v>Claim/result scoped retrieval</x:v>
      </x:c>
      <x:c r="D68" s="20" t="str">
        <x:v>Backend + QA</x:v>
      </x:c>
      <x:c r="E68" s="20" t="str">
        <x:v>P1</x:v>
      </x:c>
      <x:c r="F68" s="24" t="str">
        <x:v>NOT_STARTED</x:v>
      </x:c>
      <x:c r="G68" s="26" t="n">
        <x:v>3</x:v>
      </x:c>
      <x:c r="H68" s="26" t="n">
        <x:v>7</x:v>
      </x:c>
      <x:c r="I68" s="20" t="str">
        <x:v>API-03</x:v>
      </x:c>
      <x:c r="J68" s="20" t="str">
        <x:v>G03;G06;G09</x:v>
      </x:c>
      <x:c r="K68" s="20" t="str">
        <x:v>Lineage và no-data semantics trả đúng</x:v>
      </x:c>
      <x:c r="L68" s="24" t="str"/>
    </x:row>
    <x:row r="69" ht="46" customHeight="1">
      <x:c r="A69" s="20" t="str">
        <x:v>API-05</x:v>
      </x:c>
      <x:c r="B69" s="20" t="str">
        <x:v>C</x:v>
      </x:c>
      <x:c r="C69" s="20" t="str">
        <x:v>Plan/action/check-in APIs</x:v>
      </x:c>
      <x:c r="D69" s="20" t="str">
        <x:v>Backend + QA</x:v>
      </x:c>
      <x:c r="E69" s="20" t="str">
        <x:v>P1</x:v>
      </x:c>
      <x:c r="F69" s="24" t="str">
        <x:v>NOT_STARTED</x:v>
      </x:c>
      <x:c r="G69" s="26" t="n">
        <x:v>3</x:v>
      </x:c>
      <x:c r="H69" s="26" t="n">
        <x:v>7</x:v>
      </x:c>
      <x:c r="I69" s="20" t="str">
        <x:v>API-04</x:v>
      </x:c>
      <x:c r="J69" s="20" t="str">
        <x:v>G03;G06;G09</x:v>
      </x:c>
      <x:c r="K69" s="20" t="str">
        <x:v>Scope/timezone/goals, không arbitrary owner</x:v>
      </x:c>
      <x:c r="L69" s="24" t="str"/>
    </x:row>
    <x:row r="70" ht="46" customHeight="1">
      <x:c r="A70" s="20" t="str">
        <x:v>API-06</x:v>
      </x:c>
      <x:c r="B70" s="20" t="str">
        <x:v>C</x:v>
      </x:c>
      <x:c r="C70" s="20" t="str">
        <x:v>Report snapshot/review/export/download</x:v>
      </x:c>
      <x:c r="D70" s="20" t="str">
        <x:v>Backend + QA</x:v>
      </x:c>
      <x:c r="E70" s="20" t="str">
        <x:v>P1</x:v>
      </x:c>
      <x:c r="F70" s="24" t="str">
        <x:v>NOT_STARTED</x:v>
      </x:c>
      <x:c r="G70" s="26" t="n">
        <x:v>3</x:v>
      </x:c>
      <x:c r="H70" s="26" t="n">
        <x:v>7</x:v>
      </x:c>
      <x:c r="I70" s="20" t="str">
        <x:v>API-05</x:v>
      </x:c>
      <x:c r="J70" s="20" t="str">
        <x:v>G03;G06;G09</x:v>
      </x:c>
      <x:c r="K70" s="20" t="str">
        <x:v>Approval server không queryID tùy ý</x:v>
      </x:c>
      <x:c r="L70" s="24" t="str"/>
    </x:row>
    <x:row r="71" ht="46" customHeight="1">
      <x:c r="A71" s="20" t="str">
        <x:v>API-07</x:v>
      </x:c>
      <x:c r="B71" s="20" t="str">
        <x:v>C</x:v>
      </x:c>
      <x:c r="C71" s="20" t="str">
        <x:v>Catalog/order/entitlement APIs</x:v>
      </x:c>
      <x:c r="D71" s="20" t="str">
        <x:v>Backend + QA</x:v>
      </x:c>
      <x:c r="E71" s="20" t="str">
        <x:v>P1</x:v>
      </x:c>
      <x:c r="F71" s="24" t="str">
        <x:v>NOT_STARTED</x:v>
      </x:c>
      <x:c r="G71" s="26" t="n">
        <x:v>3</x:v>
      </x:c>
      <x:c r="H71" s="26" t="n">
        <x:v>7</x:v>
      </x:c>
      <x:c r="I71" s="20" t="str">
        <x:v>API-06</x:v>
      </x:c>
      <x:c r="J71" s="20" t="str">
        <x:v>G03;G06;G09</x:v>
      </x:c>
      <x:c r="K71" s="20" t="str">
        <x:v>Price từ server, no client amount authority</x:v>
      </x:c>
      <x:c r="L71" s="24" t="str"/>
    </x:row>
    <x:row r="72" ht="46" customHeight="1">
      <x:c r="A72" s="20" t="str">
        <x:v>API-08</x:v>
      </x:c>
      <x:c r="B72" s="20" t="str">
        <x:v>C</x:v>
      </x:c>
      <x:c r="C72" s="20" t="str">
        <x:v>Practice case/sharing APIs</x:v>
      </x:c>
      <x:c r="D72" s="20" t="str">
        <x:v>Backend + QA</x:v>
      </x:c>
      <x:c r="E72" s="20" t="str">
        <x:v>P1</x:v>
      </x:c>
      <x:c r="F72" s="24" t="str">
        <x:v>NOT_STARTED</x:v>
      </x:c>
      <x:c r="G72" s="26" t="n">
        <x:v>3</x:v>
      </x:c>
      <x:c r="H72" s="26" t="n">
        <x:v>7</x:v>
      </x:c>
      <x:c r="I72" s="20" t="str">
        <x:v>API-07</x:v>
      </x:c>
      <x:c r="J72" s="20" t="str">
        <x:v>G03;G06;G09</x:v>
      </x:c>
      <x:c r="K72" s="20" t="str">
        <x:v>Only granted sections, offboard revokes</x:v>
      </x:c>
      <x:c r="L72" s="24" t="str"/>
    </x:row>
    <x:row r="73" ht="46" customHeight="1">
      <x:c r="A73" s="20" t="str">
        <x:v>API-09</x:v>
      </x:c>
      <x:c r="B73" s="20" t="str">
        <x:v>C</x:v>
      </x:c>
      <x:c r="C73" s="20" t="str">
        <x:v>Legacy route410/adapter migration</x:v>
      </x:c>
      <x:c r="D73" s="20" t="str">
        <x:v>Backend + QA</x:v>
      </x:c>
      <x:c r="E73" s="20" t="str">
        <x:v>P1</x:v>
      </x:c>
      <x:c r="F73" s="24" t="str">
        <x:v>NOT_STARTED</x:v>
      </x:c>
      <x:c r="G73" s="26" t="n">
        <x:v>3</x:v>
      </x:c>
      <x:c r="H73" s="26" t="n">
        <x:v>7</x:v>
      </x:c>
      <x:c r="I73" s="20" t="str">
        <x:v>API-08</x:v>
      </x:c>
      <x:c r="J73" s="20" t="str">
        <x:v>G03;G06;G09</x:v>
      </x:c>
      <x:c r="K73" s="20" t="str">
        <x:v>Không fallback bypass khi v2auth fail</x:v>
      </x:c>
      <x:c r="L73" s="24" t="str"/>
    </x:row>
    <x:row r="74" ht="46" customHeight="1">
      <x:c r="A74" s="20" t="str">
        <x:v>API-10</x:v>
      </x:c>
      <x:c r="B74" s="20" t="str">
        <x:v>C</x:v>
      </x:c>
      <x:c r="C74" s="20" t="str">
        <x:v>Contract-to-E2E negative suite</x:v>
      </x:c>
      <x:c r="D74" s="20" t="str">
        <x:v>Backend + QA</x:v>
      </x:c>
      <x:c r="E74" s="20" t="str">
        <x:v>P1</x:v>
      </x:c>
      <x:c r="F74" s="24" t="str">
        <x:v>NOT_STARTED</x:v>
      </x:c>
      <x:c r="G74" s="26" t="n">
        <x:v>2</x:v>
      </x:c>
      <x:c r="H74" s="26" t="n">
        <x:v>5</x:v>
      </x:c>
      <x:c r="I74" s="20" t="str">
        <x:v>API-09</x:v>
      </x:c>
      <x:c r="J74" s="20" t="str">
        <x:v>G03;G06;G09</x:v>
      </x:c>
      <x:c r="K74" s="20" t="str">
        <x:v>Mọi protected operation có ID cross test</x:v>
      </x:c>
      <x:c r="L74" s="24" t="str"/>
    </x:row>
    <x:row r="75" ht="46" customHeight="1">
      <x:c r="A75" s="20" t="str">
        <x:v>AI-01</x:v>
      </x:c>
      <x:c r="B75" s="20" t="str">
        <x:v>C</x:v>
      </x:c>
      <x:c r="C75" s="20" t="str">
        <x:v>Provider gateway và per-purpose policy</x:v>
      </x:c>
      <x:c r="D75" s="20" t="str">
        <x:v>AI Lead + Editorial</x:v>
      </x:c>
      <x:c r="E75" s="20" t="str">
        <x:v>P1</x:v>
      </x:c>
      <x:c r="F75" s="24" t="str">
        <x:v>NOT_STARTED</x:v>
      </x:c>
      <x:c r="G75" s="26" t="n">
        <x:v>2</x:v>
      </x:c>
      <x:c r="H75" s="26" t="n">
        <x:v>5</x:v>
      </x:c>
      <x:c r="I75" s="20" t="str">
        <x:v>GOV-06;METHOD-10</x:v>
      </x:c>
      <x:c r="J75" s="20" t="str">
        <x:v>G06;G08</x:v>
      </x:c>
      <x:c r="K75" s="20" t="str">
        <x:v>Không tự fallback vendor chưa legal review</x:v>
      </x:c>
      <x:c r="L75" s="24" t="str"/>
    </x:row>
    <x:row r="76" ht="46" customHeight="1">
      <x:c r="A76" s="20" t="str">
        <x:v>AI-02</x:v>
      </x:c>
      <x:c r="B76" s="20" t="str">
        <x:v>C</x:v>
      </x:c>
      <x:c r="C76" s="20" t="str">
        <x:v>Source ingestion với ACL và rights</x:v>
      </x:c>
      <x:c r="D76" s="20" t="str">
        <x:v>AI Lead + Editorial</x:v>
      </x:c>
      <x:c r="E76" s="20" t="str">
        <x:v>P1</x:v>
      </x:c>
      <x:c r="F76" s="24" t="str">
        <x:v>NOT_STARTED</x:v>
      </x:c>
      <x:c r="G76" s="26" t="n">
        <x:v>2</x:v>
      </x:c>
      <x:c r="H76" s="26" t="n">
        <x:v>5</x:v>
      </x:c>
      <x:c r="I76" s="20" t="str">
        <x:v>AI-01</x:v>
      </x:c>
      <x:c r="J76" s="20" t="str">
        <x:v>G06;G08</x:v>
      </x:c>
      <x:c r="K76" s="20" t="str">
        <x:v>Chunk metadata edition/page/locale/rights</x:v>
      </x:c>
      <x:c r="L76" s="24" t="str"/>
    </x:row>
    <x:row r="77" ht="46" customHeight="1">
      <x:c r="A77" s="20" t="str">
        <x:v>AI-03</x:v>
      </x:c>
      <x:c r="B77" s="20" t="str">
        <x:v>C</x:v>
      </x:c>
      <x:c r="C77" s="20" t="str">
        <x:v>Retriever subject/tenant trước và sau search</x:v>
      </x:c>
      <x:c r="D77" s="20" t="str">
        <x:v>AI Lead + Editorial</x:v>
      </x:c>
      <x:c r="E77" s="20" t="str">
        <x:v>P1</x:v>
      </x:c>
      <x:c r="F77" s="24" t="str">
        <x:v>NOT_STARTED</x:v>
      </x:c>
      <x:c r="G77" s="26" t="n">
        <x:v>3</x:v>
      </x:c>
      <x:c r="H77" s="26" t="n">
        <x:v>7</x:v>
      </x:c>
      <x:c r="I77" s="20" t="str">
        <x:v>AI-02</x:v>
      </x:c>
      <x:c r="J77" s="20" t="str">
        <x:v>G06;G08</x:v>
      </x:c>
      <x:c r="K77" s="20" t="str">
        <x:v>Canary dữ liệu tenant khác không được trả</x:v>
      </x:c>
      <x:c r="L77" s="24" t="str"/>
    </x:row>
    <x:row r="78" ht="46" customHeight="1">
      <x:c r="A78" s="20" t="str">
        <x:v>AI-04</x:v>
      </x:c>
      <x:c r="B78" s="20" t="str">
        <x:v>C</x:v>
      </x:c>
      <x:c r="C78" s="20" t="str">
        <x:v>Claim-driven synthesis tool contract</x:v>
      </x:c>
      <x:c r="D78" s="20" t="str">
        <x:v>AI Lead + Editorial</x:v>
      </x:c>
      <x:c r="E78" s="20" t="str">
        <x:v>P1</x:v>
      </x:c>
      <x:c r="F78" s="24" t="str">
        <x:v>NOT_STARTED</x:v>
      </x:c>
      <x:c r="G78" s="26" t="n">
        <x:v>3</x:v>
      </x:c>
      <x:c r="H78" s="26" t="n">
        <x:v>7</x:v>
      </x:c>
      <x:c r="I78" s="20" t="str">
        <x:v>AI-03</x:v>
      </x:c>
      <x:c r="J78" s="20" t="str">
        <x:v>G06;G08</x:v>
      </x:c>
      <x:c r="K78" s="20" t="str">
        <x:v>No unsupported personal claims, no score invention</x:v>
      </x:c>
      <x:c r="L78" s="24" t="str"/>
    </x:row>
    <x:row r="79" ht="46" customHeight="1">
      <x:c r="A79" s="20" t="str">
        <x:v>AI-05</x:v>
      </x:c>
      <x:c r="B79" s="20" t="str">
        <x:v>C</x:v>
      </x:c>
      <x:c r="C79" s="20" t="str">
        <x:v>Writer VI và glossary</x:v>
      </x:c>
      <x:c r="D79" s="20" t="str">
        <x:v>AI Lead + Editorial</x:v>
      </x:c>
      <x:c r="E79" s="20" t="str">
        <x:v>P1</x:v>
      </x:c>
      <x:c r="F79" s="24" t="str">
        <x:v>NOT_STARTED</x:v>
      </x:c>
      <x:c r="G79" s="26" t="n">
        <x:v>3</x:v>
      </x:c>
      <x:c r="H79" s="26" t="n">
        <x:v>7</x:v>
      </x:c>
      <x:c r="I79" s="20" t="str">
        <x:v>AI-04</x:v>
      </x:c>
      <x:c r="J79" s="20" t="str">
        <x:v>G06;G08</x:v>
      </x:c>
      <x:c r="K79" s="20" t="str">
        <x:v>Names/digits/dates từ results immutable</x:v>
      </x:c>
      <x:c r="L79" s="24" t="str"/>
    </x:row>
    <x:row r="80" ht="46" customHeight="1">
      <x:c r="A80" s="20" t="str">
        <x:v>AI-06</x:v>
      </x:c>
      <x:c r="B80" s="20" t="str">
        <x:v>C</x:v>
      </x:c>
      <x:c r="C80" s="20" t="str">
        <x:v>Reviewer deterministic số liệu và sources</x:v>
      </x:c>
      <x:c r="D80" s="20" t="str">
        <x:v>AI Lead + Editorial</x:v>
      </x:c>
      <x:c r="E80" s="20" t="str">
        <x:v>P1</x:v>
      </x:c>
      <x:c r="F80" s="24" t="str">
        <x:v>NOT_STARTED</x:v>
      </x:c>
      <x:c r="G80" s="26" t="n">
        <x:v>3</x:v>
      </x:c>
      <x:c r="H80" s="26" t="n">
        <x:v>7</x:v>
      </x:c>
      <x:c r="I80" s="20" t="str">
        <x:v>AI-05</x:v>
      </x:c>
      <x:c r="J80" s="20" t="str">
        <x:v>G06;G08</x:v>
      </x:c>
      <x:c r="K80" s="20" t="str">
        <x:v>No unmatched IDs, no fake citations</x:v>
      </x:c>
      <x:c r="L80" s="24" t="str"/>
    </x:row>
    <x:row r="81" ht="46" customHeight="1">
      <x:c r="A81" s="20" t="str">
        <x:v>AI-07</x:v>
      </x:c>
      <x:c r="B81" s="20" t="str">
        <x:v>C</x:v>
      </x:c>
      <x:c r="C81" s="20" t="str">
        <x:v>Prompt injection regression multilang</x:v>
      </x:c>
      <x:c r="D81" s="20" t="str">
        <x:v>AI Lead + Editorial</x:v>
      </x:c>
      <x:c r="E81" s="20" t="str">
        <x:v>P1</x:v>
      </x:c>
      <x:c r="F81" s="24" t="str">
        <x:v>NOT_STARTED</x:v>
      </x:c>
      <x:c r="G81" s="26" t="n">
        <x:v>3</x:v>
      </x:c>
      <x:c r="H81" s="26" t="n">
        <x:v>7</x:v>
      </x:c>
      <x:c r="I81" s="20" t="str">
        <x:v>AI-06</x:v>
      </x:c>
      <x:c r="J81" s="20" t="str">
        <x:v>G06;G08</x:v>
      </x:c>
      <x:c r="K81" s="20" t="str">
        <x:v>Tài liệu không override policies/tools</x:v>
      </x:c>
      <x:c r="L81" s="24" t="str"/>
    </x:row>
    <x:row r="82" ht="46" customHeight="1">
      <x:c r="A82" s="20" t="str">
        <x:v>AI-08</x:v>
      </x:c>
      <x:c r="B82" s="20" t="str">
        <x:v>C</x:v>
      </x:c>
      <x:c r="C82" s="20" t="str">
        <x:v>Budget/quota/circuitbreaker/degrade</x:v>
      </x:c>
      <x:c r="D82" s="20" t="str">
        <x:v>AI Lead + Editorial</x:v>
      </x:c>
      <x:c r="E82" s="20" t="str">
        <x:v>P1</x:v>
      </x:c>
      <x:c r="F82" s="24" t="str">
        <x:v>NOT_STARTED</x:v>
      </x:c>
      <x:c r="G82" s="26" t="n">
        <x:v>3</x:v>
      </x:c>
      <x:c r="H82" s="26" t="n">
        <x:v>7</x:v>
      </x:c>
      <x:c r="I82" s="20" t="str">
        <x:v>AI-07</x:v>
      </x:c>
      <x:c r="J82" s="20" t="str">
        <x:v>G06;G08</x:v>
      </x:c>
      <x:c r="K82" s="20" t="str">
        <x:v>Cost cap stops generation; deterministic still works</x:v>
      </x:c>
      <x:c r="L82" s="24" t="str"/>
    </x:row>
    <x:row r="83" ht="46" customHeight="1">
      <x:c r="A83" s="20" t="str">
        <x:v>AI-09</x:v>
      </x:c>
      <x:c r="B83" s="20" t="str">
        <x:v>C</x:v>
      </x:c>
      <x:c r="C83" s="20" t="str">
        <x:v>AI tutor/support scope tools</x:v>
      </x:c>
      <x:c r="D83" s="20" t="str">
        <x:v>AI Lead + Editorial</x:v>
      </x:c>
      <x:c r="E83" s="20" t="str">
        <x:v>P1</x:v>
      </x:c>
      <x:c r="F83" s="24" t="str">
        <x:v>NOT_STARTED</x:v>
      </x:c>
      <x:c r="G83" s="26" t="n">
        <x:v>3</x:v>
      </x:c>
      <x:c r="H83" s="26" t="n">
        <x:v>7</x:v>
      </x:c>
      <x:c r="I83" s="20" t="str">
        <x:v>AI-08</x:v>
      </x:c>
      <x:c r="J83" s="20" t="str">
        <x:v>G06;G08</x:v>
      </x:c>
      <x:c r="K83" s="20" t="str">
        <x:v>Status/refund từ server; no invented completion</x:v>
      </x:c>
      <x:c r="L83" s="24" t="str"/>
    </x:row>
    <x:row r="84" ht="46" customHeight="1">
      <x:c r="A84" s="20" t="str">
        <x:v>AI-10</x:v>
      </x:c>
      <x:c r="B84" s="20" t="str">
        <x:v>C</x:v>
      </x:c>
      <x:c r="C84" s="20" t="str">
        <x:v>Autonomy center và opt-in reminders</x:v>
      </x:c>
      <x:c r="D84" s="20" t="str">
        <x:v>AI Lead + Editorial</x:v>
      </x:c>
      <x:c r="E84" s="20" t="str">
        <x:v>P1</x:v>
      </x:c>
      <x:c r="F84" s="24" t="str">
        <x:v>NOT_STARTED</x:v>
      </x:c>
      <x:c r="G84" s="26" t="n">
        <x:v>2</x:v>
      </x:c>
      <x:c r="H84" s="26" t="n">
        <x:v>5</x:v>
      </x:c>
      <x:c r="I84" s="20" t="str">
        <x:v>AI-09</x:v>
      </x:c>
      <x:c r="J84" s="20" t="str">
        <x:v>G06;G08</x:v>
      </x:c>
      <x:c r="K84" s="20" t="str">
        <x:v>A0–A3 enforcement, quiet hours và kill switch</x:v>
      </x:c>
      <x:c r="L84" s="24" t="str"/>
    </x:row>
    <x:row r="85" ht="46" customHeight="1">
      <x:c r="A85" s="20" t="str">
        <x:v>REPORT-01</x:v>
      </x:c>
      <x:c r="B85" s="20" t="str">
        <x:v>D</x:v>
      </x:c>
      <x:c r="C85" s="20" t="str">
        <x:v>Structured content tree và snapshot schema</x:v>
      </x:c>
      <x:c r="D85" s="20" t="str">
        <x:v>Report Lead + Editorial</x:v>
      </x:c>
      <x:c r="E85" s="20" t="str">
        <x:v>P1</x:v>
      </x:c>
      <x:c r="F85" s="24" t="str">
        <x:v>NOT_STARTED</x:v>
      </x:c>
      <x:c r="G85" s="26" t="n">
        <x:v>2</x:v>
      </x:c>
      <x:c r="H85" s="26" t="n">
        <x:v>5</x:v>
      </x:c>
      <x:c r="I85" s="20" t="str">
        <x:v>AI-05;API-06</x:v>
      </x:c>
      <x:c r="J85" s="20" t="str">
        <x:v>G08</x:v>
      </x:c>
      <x:c r="K85" s="20" t="str">
        <x:v>Câu nguồn/claim có link; personal/common khác nhãn</x:v>
      </x:c>
      <x:c r="L85" s="24" t="str"/>
    </x:row>
    <x:row r="86" ht="46" customHeight="1">
      <x:c r="A86" s="20" t="str">
        <x:v>REPORT-02</x:v>
      </x:c>
      <x:c r="B86" s="20" t="str">
        <x:v>D</x:v>
      </x:c>
      <x:c r="C86" s="20" t="str">
        <x:v>Template L1 chuẩn đọc và30dayactions</x:v>
      </x:c>
      <x:c r="D86" s="20" t="str">
        <x:v>Report Lead + Editorial</x:v>
      </x:c>
      <x:c r="E86" s="20" t="str">
        <x:v>P1</x:v>
      </x:c>
      <x:c r="F86" s="24" t="str">
        <x:v>NOT_STARTED</x:v>
      </x:c>
      <x:c r="G86" s="26" t="n">
        <x:v>2</x:v>
      </x:c>
      <x:c r="H86" s="26" t="n">
        <x:v>5</x:v>
      </x:c>
      <x:c r="I86" s="20" t="str">
        <x:v>REPORT-01</x:v>
      </x:c>
      <x:c r="J86" s="20" t="str">
        <x:v>G08</x:v>
      </x:c>
      <x:c r="K86" s="20" t="str">
        <x:v>Không filler/inborn certainty/hidden score</x:v>
      </x:c>
      <x:c r="L86" s="24" t="str"/>
    </x:row>
    <x:row r="87" ht="46" customHeight="1">
      <x:c r="A87" s="20" t="str">
        <x:v>REPORT-03</x:v>
      </x:c>
      <x:c r="B87" s="20" t="str">
        <x:v>D</x:v>
      </x:c>
      <x:c r="C87" s="20" t="str">
        <x:v>Templates L2–L5 dữ liệu thực</x:v>
      </x:c>
      <x:c r="D87" s="20" t="str">
        <x:v>Report Lead + Editorial</x:v>
      </x:c>
      <x:c r="E87" s="20" t="str">
        <x:v>P1</x:v>
      </x:c>
      <x:c r="F87" s="24" t="str">
        <x:v>NOT_STARTED</x:v>
      </x:c>
      <x:c r="G87" s="26" t="n">
        <x:v>3</x:v>
      </x:c>
      <x:c r="H87" s="26" t="n">
        <x:v>7</x:v>
      </x:c>
      <x:c r="I87" s="20" t="str">
        <x:v>REPORT-02</x:v>
      </x:c>
      <x:c r="J87" s="20" t="str">
        <x:v>G08</x:v>
      </x:c>
      <x:c r="K87" s="20" t="str">
        <x:v>Missing input không thay bằng số</x:v>
      </x:c>
      <x:c r="L87" s="24" t="str"/>
    </x:row>
    <x:row r="88" ht="46" customHeight="1">
      <x:c r="A88" s="20" t="str">
        <x:v>REPORT-04</x:v>
      </x:c>
      <x:c r="B88" s="20" t="str">
        <x:v>D</x:v>
      </x:c>
      <x:c r="C88" s="20" t="str">
        <x:v>Templates L6–L9 và dedup book</x:v>
      </x:c>
      <x:c r="D88" s="20" t="str">
        <x:v>Report Lead + Editorial</x:v>
      </x:c>
      <x:c r="E88" s="20" t="str">
        <x:v>P1</x:v>
      </x:c>
      <x:c r="F88" s="24" t="str">
        <x:v>NOT_STARTED</x:v>
      </x:c>
      <x:c r="G88" s="26" t="n">
        <x:v>3</x:v>
      </x:c>
      <x:c r="H88" s="26" t="n">
        <x:v>7</x:v>
      </x:c>
      <x:c r="I88" s="20" t="str">
        <x:v>REPORT-03</x:v>
      </x:c>
      <x:c r="J88" s="20" t="str">
        <x:v>G08</x:v>
      </x:c>
      <x:c r="K88" s="20" t="str">
        <x:v>Các timeline riêng, L9không nối bản lặp</x:v>
      </x:c>
      <x:c r="L88" s="24" t="str"/>
    </x:row>
    <x:row r="89" ht="46" customHeight="1">
      <x:c r="A89" s="20" t="str">
        <x:v>REPORT-05</x:v>
      </x:c>
      <x:c r="B89" s="20" t="str">
        <x:v>D</x:v>
      </x:c>
      <x:c r="C89" s="20" t="str">
        <x:v>HTML/Web renderer accessible</x:v>
      </x:c>
      <x:c r="D89" s="20" t="str">
        <x:v>Report Lead + Editorial</x:v>
      </x:c>
      <x:c r="E89" s="20" t="str">
        <x:v>P1</x:v>
      </x:c>
      <x:c r="F89" s="24" t="str">
        <x:v>NOT_STARTED</x:v>
      </x:c>
      <x:c r="G89" s="26" t="n">
        <x:v>3</x:v>
      </x:c>
      <x:c r="H89" s="26" t="n">
        <x:v>7</x:v>
      </x:c>
      <x:c r="I89" s="20" t="str">
        <x:v>REPORT-04</x:v>
      </x:c>
      <x:c r="J89" s="20" t="str">
        <x:v>G08</x:v>
      </x:c>
      <x:c r="K89" s="20" t="str">
        <x:v>Sanitize, private noindex, stable section anchors</x:v>
      </x:c>
      <x:c r="L89" s="24" t="str"/>
    </x:row>
    <x:row r="90" ht="46" customHeight="1">
      <x:c r="A90" s="20" t="str">
        <x:v>REPORT-06</x:v>
      </x:c>
      <x:c r="B90" s="20" t="str">
        <x:v>D</x:v>
      </x:c>
      <x:c r="C90" s="20" t="str">
        <x:v>PDF render sandbox font/link/bookmark</x:v>
      </x:c>
      <x:c r="D90" s="20" t="str">
        <x:v>Report Lead + Editorial</x:v>
      </x:c>
      <x:c r="E90" s="20" t="str">
        <x:v>P1</x:v>
      </x:c>
      <x:c r="F90" s="24" t="str">
        <x:v>NOT_STARTED</x:v>
      </x:c>
      <x:c r="G90" s="26" t="n">
        <x:v>3</x:v>
      </x:c>
      <x:c r="H90" s="26" t="n">
        <x:v>7</x:v>
      </x:c>
      <x:c r="I90" s="20" t="str">
        <x:v>REPORT-05</x:v>
      </x:c>
      <x:c r="J90" s="20" t="str">
        <x:v>G08</x:v>
      </x:c>
      <x:c r="K90" s="20" t="str">
        <x:v>Selectable VI, no remote arbitrary assets</x:v>
      </x:c>
      <x:c r="L90" s="24" t="str"/>
    </x:row>
    <x:row r="91" ht="46" customHeight="1">
      <x:c r="A91" s="20" t="str">
        <x:v>REPORT-07</x:v>
      </x:c>
      <x:c r="B91" s="20" t="str">
        <x:v>D</x:v>
      </x:c>
      <x:c r="C91" s="20" t="str">
        <x:v>DOCX exporter headings/TOC/table</x:v>
      </x:c>
      <x:c r="D91" s="20" t="str">
        <x:v>Report Lead + Editorial</x:v>
      </x:c>
      <x:c r="E91" s="20" t="str">
        <x:v>P1</x:v>
      </x:c>
      <x:c r="F91" s="24" t="str">
        <x:v>NOT_STARTED</x:v>
      </x:c>
      <x:c r="G91" s="26" t="n">
        <x:v>3</x:v>
      </x:c>
      <x:c r="H91" s="26" t="n">
        <x:v>7</x:v>
      </x:c>
      <x:c r="I91" s="20" t="str">
        <x:v>REPORT-06</x:v>
      </x:c>
      <x:c r="J91" s="20" t="str">
        <x:v>G08</x:v>
      </x:c>
      <x:c r="K91" s="20" t="str">
        <x:v>Không ảnh toàn trang, metadata clean</x:v>
      </x:c>
      <x:c r="L91" s="24" t="str"/>
    </x:row>
    <x:row r="92" ht="46" customHeight="1">
      <x:c r="A92" s="20" t="str">
        <x:v>REPORT-08</x:v>
      </x:c>
      <x:c r="B92" s="20" t="str">
        <x:v>D</x:v>
      </x:c>
      <x:c r="C92" s="20" t="str">
        <x:v>Visual regression và a11y review</x:v>
      </x:c>
      <x:c r="D92" s="20" t="str">
        <x:v>Report Lead + Editorial</x:v>
      </x:c>
      <x:c r="E92" s="20" t="str">
        <x:v>P1</x:v>
      </x:c>
      <x:c r="F92" s="24" t="str">
        <x:v>NOT_STARTED</x:v>
      </x:c>
      <x:c r="G92" s="26" t="n">
        <x:v>3</x:v>
      </x:c>
      <x:c r="H92" s="26" t="n">
        <x:v>7</x:v>
      </x:c>
      <x:c r="I92" s="20" t="str">
        <x:v>REPORT-07</x:v>
      </x:c>
      <x:c r="J92" s="20" t="str">
        <x:v>G08</x:v>
      </x:c>
      <x:c r="K92" s="20" t="str">
        <x:v>Trang nào lỗi phải sửa trước publish</x:v>
      </x:c>
      <x:c r="L92" s="24" t="str"/>
    </x:row>
    <x:row r="93" ht="46" customHeight="1">
      <x:c r="A93" s="20" t="str">
        <x:v>REPORT-09</x:v>
      </x:c>
      <x:c r="B93" s="20" t="str">
        <x:v>D</x:v>
      </x:c>
      <x:c r="C93" s="20" t="str">
        <x:v>Withdrawal/correction impact workflow</x:v>
      </x:c>
      <x:c r="D93" s="20" t="str">
        <x:v>Report Lead + Editorial</x:v>
      </x:c>
      <x:c r="E93" s="20" t="str">
        <x:v>P1</x:v>
      </x:c>
      <x:c r="F93" s="24" t="str">
        <x:v>NOT_STARTED</x:v>
      </x:c>
      <x:c r="G93" s="26" t="n">
        <x:v>3</x:v>
      </x:c>
      <x:c r="H93" s="26" t="n">
        <x:v>7</x:v>
      </x:c>
      <x:c r="I93" s="20" t="str">
        <x:v>REPORT-08</x:v>
      </x:c>
      <x:c r="J93" s="20" t="str">
        <x:v>G08</x:v>
      </x:c>
      <x:c r="K93" s="20" t="str">
        <x:v>Method revocation tìm report; user notified đúng</x:v>
      </x:c>
      <x:c r="L93" s="24" t="str"/>
    </x:row>
    <x:row r="94" ht="46" customHeight="1">
      <x:c r="A94" s="20" t="str">
        <x:v>REPORT-10</x:v>
      </x:c>
      <x:c r="B94" s="20" t="str">
        <x:v>D</x:v>
      </x:c>
      <x:c r="C94" s="20" t="str">
        <x:v>Pilot editorial capacity tracking</x:v>
      </x:c>
      <x:c r="D94" s="20" t="str">
        <x:v>Report Lead + Editorial</x:v>
      </x:c>
      <x:c r="E94" s="20" t="str">
        <x:v>P1</x:v>
      </x:c>
      <x:c r="F94" s="24" t="str">
        <x:v>NOT_STARTED</x:v>
      </x:c>
      <x:c r="G94" s="26" t="n">
        <x:v>2</x:v>
      </x:c>
      <x:c r="H94" s="26" t="n">
        <x:v>5</x:v>
      </x:c>
      <x:c r="I94" s="20" t="str">
        <x:v>REPORT-09</x:v>
      </x:c>
      <x:c r="J94" s="20" t="str">
        <x:v>G08</x:v>
      </x:c>
      <x:c r="K94" s="20" t="str">
        <x:v>Review SLA/cost/error feedback; chưa auto sensitive</x:v>
      </x:c>
      <x:c r="L94" s="24" t="str"/>
    </x:row>
    <x:row r="95" ht="46" customHeight="1">
      <x:c r="A95" s="20" t="str">
        <x:v>COMMERCE-01</x:v>
      </x:c>
      <x:c r="B95" s="20" t="str">
        <x:v>D</x:v>
      </x:c>
      <x:c r="C95" s="20" t="str">
        <x:v>SKU/pricing/quotes từ server</x:v>
      </x:c>
      <x:c r="D95" s="20" t="str">
        <x:v>Commerce + Finance + QA</x:v>
      </x:c>
      <x:c r="E95" s="20" t="str">
        <x:v>P1</x:v>
      </x:c>
      <x:c r="F95" s="24" t="str">
        <x:v>NOT_STARTED</x:v>
      </x:c>
      <x:c r="G95" s="26" t="n">
        <x:v>2</x:v>
      </x:c>
      <x:c r="H95" s="26" t="n">
        <x:v>5</x:v>
      </x:c>
      <x:c r="I95" s="20" t="str">
        <x:v>TRUST-04;GOV-03</x:v>
      </x:c>
      <x:c r="J95" s="20" t="str">
        <x:v>G09;G12</x:v>
      </x:c>
      <x:c r="K95" s="20" t="str">
        <x:v>Free quyền dữ liệu; price version locked</x:v>
      </x:c>
      <x:c r="L95" s="24" t="str"/>
    </x:row>
    <x:row r="96" ht="46" customHeight="1">
      <x:c r="A96" s="20" t="str">
        <x:v>COMMERCE-02</x:v>
      </x:c>
      <x:c r="B96" s="20" t="str">
        <x:v>D</x:v>
      </x:c>
      <x:c r="C96" s="20" t="str">
        <x:v>Payment provider legal merchant approval</x:v>
      </x:c>
      <x:c r="D96" s="20" t="str">
        <x:v>Commerce + Finance + QA</x:v>
      </x:c>
      <x:c r="E96" s="20" t="str">
        <x:v>P1</x:v>
      </x:c>
      <x:c r="F96" s="24" t="str">
        <x:v>NOT_STARTED</x:v>
      </x:c>
      <x:c r="G96" s="26" t="n">
        <x:v>2</x:v>
      </x:c>
      <x:c r="H96" s="26" t="n">
        <x:v>5</x:v>
      </x:c>
      <x:c r="I96" s="20" t="str">
        <x:v>COMMERCE-01</x:v>
      </x:c>
      <x:c r="J96" s="20" t="str">
        <x:v>G09;G12</x:v>
      </x:c>
      <x:c r="K96" s="20" t="str">
        <x:v>Không giả availability/đã ký hợp đồng</x:v>
      </x:c>
      <x:c r="L96" s="24" t="str"/>
    </x:row>
    <x:row r="97" ht="46" customHeight="1">
      <x:c r="A97" s="20" t="str">
        <x:v>COMMERCE-03</x:v>
      </x:c>
      <x:c r="B97" s="20" t="str">
        <x:v>D</x:v>
      </x:c>
      <x:c r="C97" s="20" t="str">
        <x:v>Webhook signature và raw-body check</x:v>
      </x:c>
      <x:c r="D97" s="20" t="str">
        <x:v>Commerce + Finance + QA</x:v>
      </x:c>
      <x:c r="E97" s="20" t="str">
        <x:v>P1</x:v>
      </x:c>
      <x:c r="F97" s="24" t="str">
        <x:v>NOT_STARTED</x:v>
      </x:c>
      <x:c r="G97" s="26" t="n">
        <x:v>3</x:v>
      </x:c>
      <x:c r="H97" s="26" t="n">
        <x:v>7</x:v>
      </x:c>
      <x:c r="I97" s="20" t="str">
        <x:v>COMMERCE-02</x:v>
      </x:c>
      <x:c r="J97" s="20" t="str">
        <x:v>G09;G12</x:v>
      </x:c>
      <x:c r="K97" s="20" t="str">
        <x:v>Sai chữ ký bị deny trước parsebusiness</x:v>
      </x:c>
      <x:c r="L97" s="24" t="str"/>
    </x:row>
    <x:row r="98" ht="46" customHeight="1">
      <x:c r="A98" s="20" t="str">
        <x:v>COMMERCE-04</x:v>
      </x:c>
      <x:c r="B98" s="20" t="str">
        <x:v>D</x:v>
      </x:c>
      <x:c r="C98" s="20" t="str">
        <x:v>Event replay/out-of-order/idempotency</x:v>
      </x:c>
      <x:c r="D98" s="20" t="str">
        <x:v>Commerce + Finance + QA</x:v>
      </x:c>
      <x:c r="E98" s="20" t="str">
        <x:v>P1</x:v>
      </x:c>
      <x:c r="F98" s="24" t="str">
        <x:v>NOT_STARTED</x:v>
      </x:c>
      <x:c r="G98" s="26" t="n">
        <x:v>3</x:v>
      </x:c>
      <x:c r="H98" s="26" t="n">
        <x:v>7</x:v>
      </x:c>
      <x:c r="I98" s="20" t="str">
        <x:v>COMMERCE-03</x:v>
      </x:c>
      <x:c r="J98" s="20" t="str">
        <x:v>G09;G12</x:v>
      </x:c>
      <x:c r="K98" s="20" t="str">
        <x:v>Một payment một effect; lưu payloadhash</x:v>
      </x:c>
      <x:c r="L98" s="24" t="str"/>
    </x:row>
    <x:row r="99" ht="46" customHeight="1">
      <x:c r="A99" s="20" t="str">
        <x:v>COMMERCE-05</x:v>
      </x:c>
      <x:c r="B99" s="20" t="str">
        <x:v>D</x:v>
      </x:c>
      <x:c r="C99" s="20" t="str">
        <x:v>Entitlement ledger/expiry/revoke</x:v>
      </x:c>
      <x:c r="D99" s="20" t="str">
        <x:v>Commerce + Finance + QA</x:v>
      </x:c>
      <x:c r="E99" s="20" t="str">
        <x:v>P1</x:v>
      </x:c>
      <x:c r="F99" s="24" t="str">
        <x:v>NOT_STARTED</x:v>
      </x:c>
      <x:c r="G99" s="26" t="n">
        <x:v>3</x:v>
      </x:c>
      <x:c r="H99" s="26" t="n">
        <x:v>7</x:v>
      </x:c>
      <x:c r="I99" s="20" t="str">
        <x:v>COMMERCE-04</x:v>
      </x:c>
      <x:c r="J99" s="20" t="str">
        <x:v>G09;G12</x:v>
      </x:c>
      <x:c r="K99" s="20" t="str">
        <x:v>Không từ successredirect; subjectgrant vẫn check</x:v>
      </x:c>
      <x:c r="L99" s="24" t="str"/>
    </x:row>
    <x:row r="100" ht="46" customHeight="1">
      <x:c r="A100" s="20" t="str">
        <x:v>COMMERCE-06</x:v>
      </x:c>
      <x:c r="B100" s="20" t="str">
        <x:v>D</x:v>
      </x:c>
      <x:c r="C100" s="20" t="str">
        <x:v>Refund/cancel/dispute state machine</x:v>
      </x:c>
      <x:c r="D100" s="20" t="str">
        <x:v>Commerce + Finance + QA</x:v>
      </x:c>
      <x:c r="E100" s="20" t="str">
        <x:v>P1</x:v>
      </x:c>
      <x:c r="F100" s="24" t="str">
        <x:v>NOT_STARTED</x:v>
      </x:c>
      <x:c r="G100" s="26" t="n">
        <x:v>3</x:v>
      </x:c>
      <x:c r="H100" s="26" t="n">
        <x:v>7</x:v>
      </x:c>
      <x:c r="I100" s="20" t="str">
        <x:v>COMMERCE-05</x:v>
      </x:c>
      <x:c r="J100" s="20" t="str">
        <x:v>G09;G12</x:v>
      </x:c>
      <x:c r="K100" s="20" t="str">
        <x:v>Policy giới hạn, auditable, no AI arbitrary money</x:v>
      </x:c>
      <x:c r="L100" s="24" t="str"/>
    </x:row>
    <x:row r="101" ht="46" customHeight="1">
      <x:c r="A101" s="20" t="str">
        <x:v>COMMERCE-07</x:v>
      </x:c>
      <x:c r="B101" s="20" t="str">
        <x:v>D</x:v>
      </x:c>
      <x:c r="C101" s="20" t="str">
        <x:v>Invoice/receipt/consumer disclosures</x:v>
      </x:c>
      <x:c r="D101" s="20" t="str">
        <x:v>Commerce + Finance + QA</x:v>
      </x:c>
      <x:c r="E101" s="20" t="str">
        <x:v>P1</x:v>
      </x:c>
      <x:c r="F101" s="24" t="str">
        <x:v>NOT_STARTED</x:v>
      </x:c>
      <x:c r="G101" s="26" t="n">
        <x:v>3</x:v>
      </x:c>
      <x:c r="H101" s="26" t="n">
        <x:v>7</x:v>
      </x:c>
      <x:c r="I101" s="20" t="str">
        <x:v>COMMERCE-06</x:v>
      </x:c>
      <x:c r="J101" s="20" t="str">
        <x:v>G09;G12</x:v>
      </x:c>
      <x:c r="K101" s="20" t="str">
        <x:v>Scope/delivery/revisions/tax theo entity duyệt</x:v>
      </x:c>
      <x:c r="L101" s="24" t="str"/>
    </x:row>
    <x:row r="102" ht="46" customHeight="1">
      <x:c r="A102" s="20" t="str">
        <x:v>COMMERCE-08</x:v>
      </x:c>
      <x:c r="B102" s="20" t="str">
        <x:v>D</x:v>
      </x:c>
      <x:c r="C102" s="20" t="str">
        <x:v>Support ticket/status/escalation</x:v>
      </x:c>
      <x:c r="D102" s="20" t="str">
        <x:v>Commerce + Finance + QA</x:v>
      </x:c>
      <x:c r="E102" s="20" t="str">
        <x:v>P1</x:v>
      </x:c>
      <x:c r="F102" s="24" t="str">
        <x:v>NOT_STARTED</x:v>
      </x:c>
      <x:c r="G102" s="26" t="n">
        <x:v>3</x:v>
      </x:c>
      <x:c r="H102" s="26" t="n">
        <x:v>7</x:v>
      </x:c>
      <x:c r="I102" s="20" t="str">
        <x:v>COMMERCE-07</x:v>
      </x:c>
      <x:c r="J102" s="20" t="str">
        <x:v>G09;G12</x:v>
      </x:c>
      <x:c r="K102" s="20" t="str">
        <x:v>Không đọc journal nếu không cần</x:v>
      </x:c>
      <x:c r="L102" s="24" t="str"/>
    </x:row>
    <x:row r="103" ht="46" customHeight="1">
      <x:c r="A103" s="20" t="str">
        <x:v>COMMERCE-09</x:v>
      </x:c>
      <x:c r="B103" s="20" t="str">
        <x:v>D</x:v>
      </x:c>
      <x:c r="C103" s="20" t="str">
        <x:v>Free/paid unit economics load pilot</x:v>
      </x:c>
      <x:c r="D103" s="20" t="str">
        <x:v>Commerce + Finance + QA</x:v>
      </x:c>
      <x:c r="E103" s="20" t="str">
        <x:v>P1</x:v>
      </x:c>
      <x:c r="F103" s="24" t="str">
        <x:v>NOT_STARTED</x:v>
      </x:c>
      <x:c r="G103" s="26" t="n">
        <x:v>3</x:v>
      </x:c>
      <x:c r="H103" s="26" t="n">
        <x:v>7</x:v>
      </x:c>
      <x:c r="I103" s="20" t="str">
        <x:v>COMMERCE-08</x:v>
      </x:c>
      <x:c r="J103" s="20" t="str">
        <x:v>G09;G12</x:v>
      </x:c>
      <x:c r="K103" s="20" t="str">
        <x:v>Costinputs thực thay assumptions, caps enforce</x:v>
      </x:c>
      <x:c r="L103" s="24" t="str"/>
    </x:row>
    <x:row r="104" ht="46" customHeight="1">
      <x:c r="A104" s="20" t="str">
        <x:v>COMMERCE-10</x:v>
      </x:c>
      <x:c r="B104" s="20" t="str">
        <x:v>D</x:v>
      </x:c>
      <x:c r="C104" s="20" t="str">
        <x:v>Payment-to-report complete staging flow</x:v>
      </x:c>
      <x:c r="D104" s="20" t="str">
        <x:v>Commerce + Finance + QA</x:v>
      </x:c>
      <x:c r="E104" s="20" t="str">
        <x:v>P1</x:v>
      </x:c>
      <x:c r="F104" s="24" t="str">
        <x:v>NOT_STARTED</x:v>
      </x:c>
      <x:c r="G104" s="26" t="n">
        <x:v>2</x:v>
      </x:c>
      <x:c r="H104" s="26" t="n">
        <x:v>5</x:v>
      </x:c>
      <x:c r="I104" s="20" t="str">
        <x:v>COMMERCE-09</x:v>
      </x:c>
      <x:c r="J104" s="20" t="str">
        <x:v>G09;G12</x:v>
      </x:c>
      <x:c r="K104" s="20" t="str">
        <x:v>Paid nhưng notready không giả delivered</x:v>
      </x:c>
      <x:c r="L104" s="24" t="str"/>
    </x:row>
    <x:row r="105" ht="46" customHeight="1">
      <x:c r="A105" s="20" t="str">
        <x:v>OPS-01</x:v>
      </x:c>
      <x:c r="B105" s="20" t="str">
        <x:v>D</x:v>
      </x:c>
      <x:c r="C105" s="20" t="str">
        <x:v>CI required tests/secret/dependency scans</x:v>
      </x:c>
      <x:c r="D105" s="20" t="str">
        <x:v>SRE + Security + QA</x:v>
      </x:c>
      <x:c r="E105" s="20" t="str">
        <x:v>P1</x:v>
      </x:c>
      <x:c r="F105" s="24" t="str">
        <x:v>NOT_STARTED</x:v>
      </x:c>
      <x:c r="G105" s="26" t="n">
        <x:v>2</x:v>
      </x:c>
      <x:c r="H105" s="26" t="n">
        <x:v>5</x:v>
      </x:c>
      <x:c r="I105" s="20" t="str">
        <x:v>P0-10</x:v>
      </x:c>
      <x:c r="J105" s="20" t="str">
        <x:v>G01;G10;G11;G12</x:v>
      </x:c>
      <x:c r="K105" s="20" t="str">
        <x:v>No dirty deploy; protected review evidence</x:v>
      </x:c>
      <x:c r="L105" s="24" t="str"/>
    </x:row>
    <x:row r="106" ht="46" customHeight="1">
      <x:c r="A106" s="20" t="str">
        <x:v>OPS-02</x:v>
      </x:c>
      <x:c r="B106" s="20" t="str">
        <x:v>D</x:v>
      </x:c>
      <x:c r="C106" s="20" t="str">
        <x:v>Pages allowlist/artifact integrity</x:v>
      </x:c>
      <x:c r="D106" s="20" t="str">
        <x:v>SRE + Security + QA</x:v>
      </x:c>
      <x:c r="E106" s="20" t="str">
        <x:v>P1</x:v>
      </x:c>
      <x:c r="F106" s="24" t="str">
        <x:v>NOT_STARTED</x:v>
      </x:c>
      <x:c r="G106" s="26" t="n">
        <x:v>2</x:v>
      </x:c>
      <x:c r="H106" s="26" t="n">
        <x:v>5</x:v>
      </x:c>
      <x:c r="I106" s="20" t="str">
        <x:v>OPS-01</x:v>
      </x:c>
      <x:c r="J106" s="20" t="str">
        <x:v>G01;G10;G11;G12</x:v>
      </x:c>
      <x:c r="K106" s="20" t="str">
        <x:v>Chỉ assets public; docs/api không vô tình xuất</x:v>
      </x:c>
      <x:c r="L106" s="24" t="str"/>
    </x:row>
    <x:row r="107" ht="46" customHeight="1">
      <x:c r="A107" s="20" t="str">
        <x:v>OPS-03</x:v>
      </x:c>
      <x:c r="B107" s="20" t="str">
        <x:v>D</x:v>
      </x:c>
      <x:c r="C107" s="20" t="str">
        <x:v>Worker/Pages deployment receipts</x:v>
      </x:c>
      <x:c r="D107" s="20" t="str">
        <x:v>SRE + Security + QA</x:v>
      </x:c>
      <x:c r="E107" s="20" t="str">
        <x:v>P1</x:v>
      </x:c>
      <x:c r="F107" s="24" t="str">
        <x:v>NOT_STARTED</x:v>
      </x:c>
      <x:c r="G107" s="26" t="n">
        <x:v>3</x:v>
      </x:c>
      <x:c r="H107" s="26" t="n">
        <x:v>7</x:v>
      </x:c>
      <x:c r="I107" s="20" t="str">
        <x:v>OPS-02</x:v>
      </x:c>
      <x:c r="J107" s="20" t="str">
        <x:v>G01;G10;G11;G12</x:v>
      </x:c>
      <x:c r="K107" s="20" t="str">
        <x:v>SHA/artifact/config/schema/env/version nối nhau</x:v>
      </x:c>
      <x:c r="L107" s="24" t="str"/>
    </x:row>
    <x:row r="108" ht="46" customHeight="1">
      <x:c r="A108" s="20" t="str">
        <x:v>OPS-04</x:v>
      </x:c>
      <x:c r="B108" s="20" t="str">
        <x:v>D</x:v>
      </x:c>
      <x:c r="C108" s="20" t="str">
        <x:v>Observability privacy-safe</x:v>
      </x:c>
      <x:c r="D108" s="20" t="str">
        <x:v>SRE + Security + QA</x:v>
      </x:c>
      <x:c r="E108" s="20" t="str">
        <x:v>P1</x:v>
      </x:c>
      <x:c r="F108" s="24" t="str">
        <x:v>NOT_STARTED</x:v>
      </x:c>
      <x:c r="G108" s="26" t="n">
        <x:v>3</x:v>
      </x:c>
      <x:c r="H108" s="26" t="n">
        <x:v>7</x:v>
      </x:c>
      <x:c r="I108" s="20" t="str">
        <x:v>OPS-03</x:v>
      </x:c>
      <x:c r="J108" s="20" t="str">
        <x:v>G01;G10;G11;G12</x:v>
      </x:c>
      <x:c r="K108" s="20" t="str">
        <x:v>No raw PI/tokens/presignedURL; trace IDs</x:v>
      </x:c>
      <x:c r="L108" s="24" t="str"/>
    </x:row>
    <x:row r="109" ht="46" customHeight="1">
      <x:c r="A109" s="20" t="str">
        <x:v>OPS-05</x:v>
      </x:c>
      <x:c r="B109" s="20" t="str">
        <x:v>D</x:v>
      </x:c>
      <x:c r="C109" s="20" t="str">
        <x:v>Load/fault tests queue and AI providers</x:v>
      </x:c>
      <x:c r="D109" s="20" t="str">
        <x:v>SRE + Security + QA</x:v>
      </x:c>
      <x:c r="E109" s="20" t="str">
        <x:v>P1</x:v>
      </x:c>
      <x:c r="F109" s="24" t="str">
        <x:v>NOT_STARTED</x:v>
      </x:c>
      <x:c r="G109" s="26" t="n">
        <x:v>3</x:v>
      </x:c>
      <x:c r="H109" s="26" t="n">
        <x:v>7</x:v>
      </x:c>
      <x:c r="I109" s="20" t="str">
        <x:v>OPS-04</x:v>
      </x:c>
      <x:c r="J109" s="20" t="str">
        <x:v>G01;G10;G11;G12</x:v>
      </x:c>
      <x:c r="K109" s="20" t="str">
        <x:v>Retry limits/DLQ/circuitbreakers đo được</x:v>
      </x:c>
      <x:c r="L109" s="24" t="str"/>
    </x:row>
    <x:row r="110" ht="46" customHeight="1">
      <x:c r="A110" s="20" t="str">
        <x:v>OPS-06</x:v>
      </x:c>
      <x:c r="B110" s="20" t="str">
        <x:v>D</x:v>
      </x:c>
      <x:c r="C110" s="20" t="str">
        <x:v>Backup restore drill và RPO/RTO</x:v>
      </x:c>
      <x:c r="D110" s="20" t="str">
        <x:v>SRE + Security + QA</x:v>
      </x:c>
      <x:c r="E110" s="20" t="str">
        <x:v>P1</x:v>
      </x:c>
      <x:c r="F110" s="24" t="str">
        <x:v>NOT_STARTED</x:v>
      </x:c>
      <x:c r="G110" s="26" t="n">
        <x:v>3</x:v>
      </x:c>
      <x:c r="H110" s="26" t="n">
        <x:v>7</x:v>
      </x:c>
      <x:c r="I110" s="20" t="str">
        <x:v>OPS-05</x:v>
      </x:c>
      <x:c r="J110" s="20" t="str">
        <x:v>G01;G10;G11;G12</x:v>
      </x:c>
      <x:c r="K110" s="20" t="str">
        <x:v>Đo thời gian và replaydeletions trước mở</x:v>
      </x:c>
      <x:c r="L110" s="24" t="str"/>
    </x:row>
    <x:row r="111" ht="46" customHeight="1">
      <x:c r="A111" s="20" t="str">
        <x:v>OPS-07</x:v>
      </x:c>
      <x:c r="B111" s="20" t="str">
        <x:v>D</x:v>
      </x:c>
      <x:c r="C111" s="20" t="str">
        <x:v>Incident tabletop và breach decision path</x:v>
      </x:c>
      <x:c r="D111" s="20" t="str">
        <x:v>SRE + Security + QA</x:v>
      </x:c>
      <x:c r="E111" s="20" t="str">
        <x:v>P1</x:v>
      </x:c>
      <x:c r="F111" s="24" t="str">
        <x:v>NOT_STARTED</x:v>
      </x:c>
      <x:c r="G111" s="26" t="n">
        <x:v>3</x:v>
      </x:c>
      <x:c r="H111" s="26" t="n">
        <x:v>7</x:v>
      </x:c>
      <x:c r="I111" s="20" t="str">
        <x:v>OPS-06</x:v>
      </x:c>
      <x:c r="J111" s="20" t="str">
        <x:v>G01;G10;G11;G12</x:v>
      </x:c>
      <x:c r="K111" s="20" t="str">
        <x:v>Role/clock/evidence/legal/comms có rehearsal</x:v>
      </x:c>
      <x:c r="L111" s="24" t="str"/>
    </x:row>
    <x:row r="112" ht="46" customHeight="1">
      <x:c r="A112" s="20" t="str">
        <x:v>OPS-08</x:v>
      </x:c>
      <x:c r="B112" s="20" t="str">
        <x:v>D</x:v>
      </x:c>
      <x:c r="C112" s="20" t="str">
        <x:v>Independent security test/retest</x:v>
      </x:c>
      <x:c r="D112" s="20" t="str">
        <x:v>SRE + Security + QA</x:v>
      </x:c>
      <x:c r="E112" s="20" t="str">
        <x:v>P1</x:v>
      </x:c>
      <x:c r="F112" s="24" t="str">
        <x:v>NOT_STARTED</x:v>
      </x:c>
      <x:c r="G112" s="26" t="n">
        <x:v>3</x:v>
      </x:c>
      <x:c r="H112" s="26" t="n">
        <x:v>7</x:v>
      </x:c>
      <x:c r="I112" s="20" t="str">
        <x:v>OPS-07</x:v>
      </x:c>
      <x:c r="J112" s="20" t="str">
        <x:v>G01;G10;G11;G12</x:v>
      </x:c>
      <x:c r="K112" s="20" t="str">
        <x:v>No unresolved critical auth/data findings</x:v>
      </x:c>
      <x:c r="L112" s="24" t="str"/>
    </x:row>
    <x:row r="113" ht="46" customHeight="1">
      <x:c r="A113" s="20" t="str">
        <x:v>OPS-09</x:v>
      </x:c>
      <x:c r="B113" s="20" t="str">
        <x:v>D</x:v>
      </x:c>
      <x:c r="C113" s="20" t="str">
        <x:v>Canary rollout và safe rollback</x:v>
      </x:c>
      <x:c r="D113" s="20" t="str">
        <x:v>SRE + Security + QA</x:v>
      </x:c>
      <x:c r="E113" s="20" t="str">
        <x:v>P1</x:v>
      </x:c>
      <x:c r="F113" s="24" t="str">
        <x:v>NOT_STARTED</x:v>
      </x:c>
      <x:c r="G113" s="26" t="n">
        <x:v>3</x:v>
      </x:c>
      <x:c r="H113" s="26" t="n">
        <x:v>7</x:v>
      </x:c>
      <x:c r="I113" s="20" t="str">
        <x:v>OPS-08</x:v>
      </x:c>
      <x:c r="J113" s="20" t="str">
        <x:v>G01;G10;G11;G12</x:v>
      </x:c>
      <x:c r="K113" s="20" t="str">
        <x:v>Không rollback vào vulnerable legacy</x:v>
      </x:c>
      <x:c r="L113" s="24" t="str"/>
    </x:row>
    <x:row r="114" ht="46" customHeight="1">
      <x:c r="A114" s="20" t="str">
        <x:v>OPS-10</x:v>
      </x:c>
      <x:c r="B114" s="20" t="str">
        <x:v>D</x:v>
      </x:c>
      <x:c r="C114" s="20" t="str">
        <x:v>GO/NO_GO packet paid pilot</x:v>
      </x:c>
      <x:c r="D114" s="20" t="str">
        <x:v>SRE + Security + QA</x:v>
      </x:c>
      <x:c r="E114" s="20" t="str">
        <x:v>P1</x:v>
      </x:c>
      <x:c r="F114" s="24" t="str">
        <x:v>NOT_STARTED</x:v>
      </x:c>
      <x:c r="G114" s="26" t="n">
        <x:v>2</x:v>
      </x:c>
      <x:c r="H114" s="26" t="n">
        <x:v>5</x:v>
      </x:c>
      <x:c r="I114" s="20" t="str">
        <x:v>OPS-09</x:v>
      </x:c>
      <x:c r="J114" s="20" t="str">
        <x:v>G01;G10;G11;G12</x:v>
      </x:c>
      <x:c r="K114" s="20" t="str">
        <x:v>Cả12gates applicable có evidence và signatures</x:v>
      </x:c>
      <x:c r="L114" s="24" t="str"/>
    </x:row>
    <x:row r="115" ht="46" customHeight="1">
      <x:c r="A115" s="20" t="str">
        <x:v>ACADEMY-01</x:v>
      </x:c>
      <x:c r="B115" s="20" t="str">
        <x:v>E</x:v>
      </x:c>
      <x:c r="C115" s="20" t="str">
        <x:v>Curriculum9buổi120phút và outcomes</x:v>
      </x:c>
      <x:c r="D115" s="20" t="str">
        <x:v>Academic + Practice Lead</x:v>
      </x:c>
      <x:c r="E115" s="20" t="str">
        <x:v>P2</x:v>
      </x:c>
      <x:c r="F115" s="24" t="str">
        <x:v>NOT_STARTED</x:v>
      </x:c>
      <x:c r="G115" s="26" t="n">
        <x:v>2</x:v>
      </x:c>
      <x:c r="H115" s="26" t="n">
        <x:v>5</x:v>
      </x:c>
      <x:c r="I115" s="20" t="str">
        <x:v>GOV-07;REPORT-01</x:v>
      </x:c>
      <x:c r="J115" s="20" t="str">
        <x:v>G04;G06;G08;G12</x:v>
      </x:c>
      <x:c r="K115" s="20" t="str">
        <x:v>Mỗi buổi có bài tập/rubric/source</x:v>
      </x:c>
      <x:c r="L115" s="24" t="str"/>
    </x:row>
    <x:row r="116" ht="46" customHeight="1">
      <x:c r="A116" s="20" t="str">
        <x:v>ACADEMY-02</x:v>
      </x:c>
      <x:c r="B116" s="20" t="str">
        <x:v>E</x:v>
      </x:c>
      <x:c r="C116" s="20" t="str">
        <x:v>Course content licensing và locale review</x:v>
      </x:c>
      <x:c r="D116" s="20" t="str">
        <x:v>Academic + Practice Lead</x:v>
      </x:c>
      <x:c r="E116" s="20" t="str">
        <x:v>P2</x:v>
      </x:c>
      <x:c r="F116" s="24" t="str">
        <x:v>NOT_STARTED</x:v>
      </x:c>
      <x:c r="G116" s="26" t="n">
        <x:v>2</x:v>
      </x:c>
      <x:c r="H116" s="26" t="n">
        <x:v>5</x:v>
      </x:c>
      <x:c r="I116" s="20" t="str">
        <x:v>ACADEMY-01</x:v>
      </x:c>
      <x:c r="J116" s="20" t="str">
        <x:v>G04;G06;G08;G12</x:v>
      </x:c>
      <x:c r="K116" s="20" t="str">
        <x:v>Không fulltext unlicensed; biết phần chưa đọc</x:v>
      </x:c>
      <x:c r="L116" s="24" t="str"/>
    </x:row>
    <x:row r="117" ht="46" customHeight="1">
      <x:c r="A117" s="20" t="str">
        <x:v>ACADEMY-03</x:v>
      </x:c>
      <x:c r="B117" s="20" t="str">
        <x:v>E</x:v>
      </x:c>
      <x:c r="C117" s="20" t="str">
        <x:v>Enrollment/schedule/learning UI</x:v>
      </x:c>
      <x:c r="D117" s="20" t="str">
        <x:v>Academic + Practice Lead</x:v>
      </x:c>
      <x:c r="E117" s="20" t="str">
        <x:v>P2</x:v>
      </x:c>
      <x:c r="F117" s="24" t="str">
        <x:v>NOT_STARTED</x:v>
      </x:c>
      <x:c r="G117" s="26" t="n">
        <x:v>3</x:v>
      </x:c>
      <x:c r="H117" s="26" t="n">
        <x:v>7</x:v>
      </x:c>
      <x:c r="I117" s="20" t="str">
        <x:v>ACADEMY-02</x:v>
      </x:c>
      <x:c r="J117" s="20" t="str">
        <x:v>G04;G06;G08;G12</x:v>
      </x:c>
      <x:c r="K117" s="20" t="str">
        <x:v>Dates current bycohort, không tự oldlaunch</x:v>
      </x:c>
      <x:c r="L117" s="24" t="str"/>
    </x:row>
    <x:row r="118" ht="46" customHeight="1">
      <x:c r="A118" s="20" t="str">
        <x:v>ACADEMY-04</x:v>
      </x:c>
      <x:c r="B118" s="20" t="str">
        <x:v>E</x:v>
      </x:c>
      <x:c r="C118" s="20" t="str">
        <x:v>Assessment/calculation/ethics rubric</x:v>
      </x:c>
      <x:c r="D118" s="20" t="str">
        <x:v>Academic + Practice Lead</x:v>
      </x:c>
      <x:c r="E118" s="20" t="str">
        <x:v>P2</x:v>
      </x:c>
      <x:c r="F118" s="24" t="str">
        <x:v>NOT_STARTED</x:v>
      </x:c>
      <x:c r="G118" s="26" t="n">
        <x:v>3</x:v>
      </x:c>
      <x:c r="H118" s="26" t="n">
        <x:v>7</x:v>
      </x:c>
      <x:c r="I118" s="20" t="str">
        <x:v>ACADEMY-03</x:v>
      </x:c>
      <x:c r="J118" s="20" t="str">
        <x:v>G04;G06;G08;G12</x:v>
      </x:c>
      <x:c r="K118" s="20" t="str">
        <x:v>Fail hard on privacy/fabrication/medicalclaim</x:v>
      </x:c>
      <x:c r="L118" s="24" t="str"/>
    </x:row>
    <x:row r="119" ht="46" customHeight="1">
      <x:c r="A119" s="20" t="str">
        <x:v>ACADEMY-05</x:v>
      </x:c>
      <x:c r="B119" s="20" t="str">
        <x:v>E</x:v>
      </x:c>
      <x:c r="C119" s="20" t="str">
        <x:v>Supervised practitioner case workflow</x:v>
      </x:c>
      <x:c r="D119" s="20" t="str">
        <x:v>Academic + Practice Lead</x:v>
      </x:c>
      <x:c r="E119" s="20" t="str">
        <x:v>P2</x:v>
      </x:c>
      <x:c r="F119" s="24" t="str">
        <x:v>NOT_STARTED</x:v>
      </x:c>
      <x:c r="G119" s="26" t="n">
        <x:v>3</x:v>
      </x:c>
      <x:c r="H119" s="26" t="n">
        <x:v>7</x:v>
      </x:c>
      <x:c r="I119" s="20" t="str">
        <x:v>ACADEMY-04</x:v>
      </x:c>
      <x:c r="J119" s="20" t="str">
        <x:v>G04;G06;G08;G12</x:v>
      </x:c>
      <x:c r="K119" s="20" t="str">
        <x:v>Scope/glossary/reviewer/grant đầy đủ</x:v>
      </x:c>
      <x:c r="L119" s="24" t="str"/>
    </x:row>
    <x:row r="120" ht="46" customHeight="1">
      <x:c r="A120" s="20" t="str">
        <x:v>ACADEMY-06</x:v>
      </x:c>
      <x:c r="B120" s="20" t="str">
        <x:v>E</x:v>
      </x:c>
      <x:c r="C120" s="20" t="str">
        <x:v>Internal certificate issue/revoke/verify</x:v>
      </x:c>
      <x:c r="D120" s="20" t="str">
        <x:v>Academic + Practice Lead</x:v>
      </x:c>
      <x:c r="E120" s="20" t="str">
        <x:v>P2</x:v>
      </x:c>
      <x:c r="F120" s="24" t="str">
        <x:v>NOT_STARTED</x:v>
      </x:c>
      <x:c r="G120" s="26" t="n">
        <x:v>3</x:v>
      </x:c>
      <x:c r="H120" s="26" t="n">
        <x:v>7</x:v>
      </x:c>
      <x:c r="I120" s="20" t="str">
        <x:v>ACADEMY-05</x:v>
      </x:c>
      <x:c r="J120" s="20" t="str">
        <x:v>G04;G06;G08;G12</x:v>
      </x:c>
      <x:c r="K120" s="20" t="str">
        <x:v>Không đại diện clinical license; expired clear</x:v>
      </x:c>
      <x:c r="L120" s="24" t="str"/>
    </x:row>
    <x:row r="121" ht="46" customHeight="1">
      <x:c r="A121" s="20" t="str">
        <x:v>ACADEMY-07</x:v>
      </x:c>
      <x:c r="B121" s="20" t="str">
        <x:v>E</x:v>
      </x:c>
      <x:c r="C121" s="20" t="str">
        <x:v>Practitioner billing and calendar adapter</x:v>
      </x:c>
      <x:c r="D121" s="20" t="str">
        <x:v>Academic + Practice Lead</x:v>
      </x:c>
      <x:c r="E121" s="20" t="str">
        <x:v>P2</x:v>
      </x:c>
      <x:c r="F121" s="24" t="str">
        <x:v>NOT_STARTED</x:v>
      </x:c>
      <x:c r="G121" s="26" t="n">
        <x:v>3</x:v>
      </x:c>
      <x:c r="H121" s="26" t="n">
        <x:v>7</x:v>
      </x:c>
      <x:c r="I121" s="20" t="str">
        <x:v>ACADEMY-06</x:v>
      </x:c>
      <x:c r="J121" s="20" t="str">
        <x:v>G04;G06;G08;G12</x:v>
      </x:c>
      <x:c r="K121" s="20" t="str">
        <x:v>Không quyền thừa, doublebooking handled</x:v>
      </x:c>
      <x:c r="L121" s="24" t="str"/>
    </x:row>
    <x:row r="122" ht="46" customHeight="1">
      <x:c r="A122" s="20" t="str">
        <x:v>ACADEMY-08</x:v>
      </x:c>
      <x:c r="B122" s="20" t="str">
        <x:v>E</x:v>
      </x:c>
      <x:c r="C122" s="20" t="str">
        <x:v>Trainer approval và updates by version</x:v>
      </x:c>
      <x:c r="D122" s="20" t="str">
        <x:v>Academic + Practice Lead</x:v>
      </x:c>
      <x:c r="E122" s="20" t="str">
        <x:v>P2</x:v>
      </x:c>
      <x:c r="F122" s="24" t="str">
        <x:v>NOT_STARTED</x:v>
      </x:c>
      <x:c r="G122" s="26" t="n">
        <x:v>3</x:v>
      </x:c>
      <x:c r="H122" s="26" t="n">
        <x:v>7</x:v>
      </x:c>
      <x:c r="I122" s="20" t="str">
        <x:v>ACADEMY-07</x:v>
      </x:c>
      <x:c r="J122" s="20" t="str">
        <x:v>G04;G06;G08;G12</x:v>
      </x:c>
      <x:c r="K122" s="20" t="str">
        <x:v>Rule retired kéo theo học liệu review</x:v>
      </x:c>
      <x:c r="L122" s="24" t="str"/>
    </x:row>
    <x:row r="123" ht="46" customHeight="1">
      <x:c r="A123" s="20" t="str">
        <x:v>ACADEMY-09</x:v>
      </x:c>
      <x:c r="B123" s="20" t="str">
        <x:v>E</x:v>
      </x:c>
      <x:c r="C123" s="20" t="str">
        <x:v>Complaint and practitioner suspension</x:v>
      </x:c>
      <x:c r="D123" s="20" t="str">
        <x:v>Academic + Practice Lead</x:v>
      </x:c>
      <x:c r="E123" s="20" t="str">
        <x:v>P2</x:v>
      </x:c>
      <x:c r="F123" s="24" t="str">
        <x:v>NOT_STARTED</x:v>
      </x:c>
      <x:c r="G123" s="26" t="n">
        <x:v>3</x:v>
      </x:c>
      <x:c r="H123" s="26" t="n">
        <x:v>7</x:v>
      </x:c>
      <x:c r="I123" s="20" t="str">
        <x:v>ACADEMY-08</x:v>
      </x:c>
      <x:c r="J123" s="20" t="str">
        <x:v>G04;G06;G08;G12</x:v>
      </x:c>
      <x:c r="K123" s="20" t="str">
        <x:v>Dueprocess, clients continuity, nopublicPI</x:v>
      </x:c>
      <x:c r="L123" s="24" t="str"/>
    </x:row>
    <x:row r="124" ht="46" customHeight="1">
      <x:c r="A124" s="20" t="str">
        <x:v>ACADEMY-10</x:v>
      </x:c>
      <x:c r="B124" s="20" t="str">
        <x:v>E</x:v>
      </x:c>
      <x:c r="C124" s="20" t="str">
        <x:v>Educational pilot evaluation</x:v>
      </x:c>
      <x:c r="D124" s="20" t="str">
        <x:v>Academic + Practice Lead</x:v>
      </x:c>
      <x:c r="E124" s="20" t="str">
        <x:v>P2</x:v>
      </x:c>
      <x:c r="F124" s="24" t="str">
        <x:v>NOT_STARTED</x:v>
      </x:c>
      <x:c r="G124" s="26" t="n">
        <x:v>2</x:v>
      </x:c>
      <x:c r="H124" s="26" t="n">
        <x:v>5</x:v>
      </x:c>
      <x:c r="I124" s="20" t="str">
        <x:v>ACADEMY-09</x:v>
      </x:c>
      <x:c r="J124" s="20" t="str">
        <x:v>G04;G06;G08;G12</x:v>
      </x:c>
      <x:c r="K124" s="20" t="str">
        <x:v>User comprehension và safe practice measurable</x:v>
      </x:c>
      <x:c r="L124" s="24" t="str"/>
    </x:row>
    <x:row r="125" ht="46" customHeight="1">
      <x:c r="A125" s="20" t="str">
        <x:v>EXPAND-01</x:v>
      </x:c>
      <x:c r="B125" s="20" t="str">
        <x:v>E</x:v>
      </x:c>
      <x:c r="C125" s="20" t="str">
        <x:v>Levels2–3 observation-driven launch</x:v>
      </x:c>
      <x:c r="D125" s="20" t="str">
        <x:v>Product + Data + Privacy</x:v>
      </x:c>
      <x:c r="E125" s="20" t="str">
        <x:v>P2</x:v>
      </x:c>
      <x:c r="F125" s="24" t="str">
        <x:v>NOT_STARTED</x:v>
      </x:c>
      <x:c r="G125" s="26" t="n">
        <x:v>2</x:v>
      </x:c>
      <x:c r="H125" s="26" t="n">
        <x:v>5</x:v>
      </x:c>
      <x:c r="I125" s="20" t="str">
        <x:v>OPS-10</x:v>
      </x:c>
      <x:c r="J125" s="20" t="str">
        <x:v>G03;G04;G05;G08</x:v>
      </x:c>
      <x:c r="K125" s="20" t="str">
        <x:v>No DOB alone personality evidence</x:v>
      </x:c>
      <x:c r="L125" s="24" t="str"/>
    </x:row>
    <x:row r="126" ht="46" customHeight="1">
      <x:c r="A126" s="20" t="str">
        <x:v>EXPAND-02</x:v>
      </x:c>
      <x:c r="B126" s="20" t="str">
        <x:v>E</x:v>
      </x:c>
      <x:c r="C126" s="20" t="str">
        <x:v>Work/wealth scenario governance</x:v>
      </x:c>
      <x:c r="D126" s="20" t="str">
        <x:v>Product + Data + Privacy</x:v>
      </x:c>
      <x:c r="E126" s="20" t="str">
        <x:v>P2</x:v>
      </x:c>
      <x:c r="F126" s="24" t="str">
        <x:v>NOT_STARTED</x:v>
      </x:c>
      <x:c r="G126" s="26" t="n">
        <x:v>2</x:v>
      </x:c>
      <x:c r="H126" s="26" t="n">
        <x:v>5</x:v>
      </x:c>
      <x:c r="I126" s="20" t="str">
        <x:v>EXPAND-01</x:v>
      </x:c>
      <x:c r="J126" s="20" t="str">
        <x:v>G03;G04;G05;G08</x:v>
      </x:c>
      <x:c r="K126" s="20" t="str">
        <x:v>Inputs/assumptions/referral, no auto investment</x:v>
      </x:c>
      <x:c r="L126" s="24" t="str"/>
    </x:row>
    <x:row r="127" ht="46" customHeight="1">
      <x:c r="A127" s="20" t="str">
        <x:v>EXPAND-03</x:v>
      </x:c>
      <x:c r="B127" s="20" t="str">
        <x:v>E</x:v>
      </x:c>
      <x:c r="C127" s="20" t="str">
        <x:v>Relationship dual-subject consent</x:v>
      </x:c>
      <x:c r="D127" s="20" t="str">
        <x:v>Product + Data + Privacy</x:v>
      </x:c>
      <x:c r="E127" s="20" t="str">
        <x:v>P2</x:v>
      </x:c>
      <x:c r="F127" s="24" t="str">
        <x:v>NOT_STARTED</x:v>
      </x:c>
      <x:c r="G127" s="26" t="n">
        <x:v>3</x:v>
      </x:c>
      <x:c r="H127" s="26" t="n">
        <x:v>7</x:v>
      </x:c>
      <x:c r="I127" s="20" t="str">
        <x:v>EXPAND-02</x:v>
      </x:c>
      <x:c r="J127" s="20" t="str">
        <x:v>G03;G04;G05;G08</x:v>
      </x:c>
      <x:c r="K127" s="20" t="str">
        <x:v>Withdrawal invalidates jointprocessing</x:v>
      </x:c>
      <x:c r="L127" s="24" t="str"/>
    </x:row>
    <x:row r="128" ht="46" customHeight="1">
      <x:c r="A128" s="20" t="str">
        <x:v>EXPAND-04</x:v>
      </x:c>
      <x:c r="B128" s="20" t="str">
        <x:v>E</x:v>
      </x:c>
      <x:c r="C128" s="20" t="str">
        <x:v>Resonance experiments reversible</x:v>
      </x:c>
      <x:c r="D128" s="20" t="str">
        <x:v>Product + Data + Privacy</x:v>
      </x:c>
      <x:c r="E128" s="20" t="str">
        <x:v>P2</x:v>
      </x:c>
      <x:c r="F128" s="24" t="str">
        <x:v>NOT_STARTED</x:v>
      </x:c>
      <x:c r="G128" s="26" t="n">
        <x:v>3</x:v>
      </x:c>
      <x:c r="H128" s="26" t="n">
        <x:v>7</x:v>
      </x:c>
      <x:c r="I128" s="20" t="str">
        <x:v>EXPAND-03</x:v>
      </x:c>
      <x:c r="J128" s="20" t="str">
        <x:v>G03;G04;G05;G08</x:v>
      </x:c>
      <x:c r="K128" s="20" t="str">
        <x:v>No food-as-treatment prescriptions</x:v>
      </x:c>
      <x:c r="L128" s="24" t="str"/>
    </x:row>
    <x:row r="129" ht="46" customHeight="1">
      <x:c r="A129" s="20" t="str">
        <x:v>EXPAND-05</x:v>
      </x:c>
      <x:c r="B129" s="20" t="str">
        <x:v>E</x:v>
      </x:c>
      <x:c r="C129" s="20" t="str">
        <x:v>Adult family sharing foundation</x:v>
      </x:c>
      <x:c r="D129" s="20" t="str">
        <x:v>Product + Data + Privacy</x:v>
      </x:c>
      <x:c r="E129" s="20" t="str">
        <x:v>P2</x:v>
      </x:c>
      <x:c r="F129" s="24" t="str">
        <x:v>NOT_STARTED</x:v>
      </x:c>
      <x:c r="G129" s="26" t="n">
        <x:v>3</x:v>
      </x:c>
      <x:c r="H129" s="26" t="n">
        <x:v>7</x:v>
      </x:c>
      <x:c r="I129" s="20" t="str">
        <x:v>EXPAND-04</x:v>
      </x:c>
      <x:c r="J129" s="20" t="str">
        <x:v>G03;G04;G05;G08</x:v>
      </x:c>
      <x:c r="K129" s="20" t="str">
        <x:v>No familyadmin reads all bydefault</x:v>
      </x:c>
      <x:c r="L129" s="24" t="str"/>
    </x:row>
    <x:row r="130" ht="46" customHeight="1">
      <x:c r="A130" s="20" t="str">
        <x:v>EXPAND-06</x:v>
      </x:c>
      <x:c r="B130" s="20" t="str">
        <x:v>E</x:v>
      </x:c>
      <x:c r="C130" s="20" t="str">
        <x:v>Minor/guardian country policy design</x:v>
      </x:c>
      <x:c r="D130" s="20" t="str">
        <x:v>Product + Data + Privacy</x:v>
      </x:c>
      <x:c r="E130" s="20" t="str">
        <x:v>P2</x:v>
      </x:c>
      <x:c r="F130" s="24" t="str">
        <x:v>NOT_STARTED</x:v>
      </x:c>
      <x:c r="G130" s="26" t="n">
        <x:v>3</x:v>
      </x:c>
      <x:c r="H130" s="26" t="n">
        <x:v>7</x:v>
      </x:c>
      <x:c r="I130" s="20" t="str">
        <x:v>EXPAND-05</x:v>
      </x:c>
      <x:c r="J130" s="20" t="str">
        <x:v>G03;G04;G05;G08</x:v>
      </x:c>
      <x:c r="K130" s="20" t="str">
        <x:v>Notenabled until specialized review</x:v>
      </x:c>
      <x:c r="L130" s="24" t="str"/>
    </x:row>
    <x:row r="131" ht="46" customHeight="1">
      <x:c r="A131" s="20" t="str">
        <x:v>EXPAND-07</x:v>
      </x:c>
      <x:c r="B131" s="20" t="str">
        <x:v>E</x:v>
      </x:c>
      <x:c r="C131" s="20" t="str">
        <x:v>Body intake specialist/dpia gate</x:v>
      </x:c>
      <x:c r="D131" s="20" t="str">
        <x:v>Product + Data + Privacy</x:v>
      </x:c>
      <x:c r="E131" s="20" t="str">
        <x:v>P2</x:v>
      </x:c>
      <x:c r="F131" s="24" t="str">
        <x:v>NOT_STARTED</x:v>
      </x:c>
      <x:c r="G131" s="26" t="n">
        <x:v>3</x:v>
      </x:c>
      <x:c r="H131" s="26" t="n">
        <x:v>7</x:v>
      </x:c>
      <x:c r="I131" s="20" t="str">
        <x:v>EXPAND-06</x:v>
      </x:c>
      <x:c r="J131" s="20" t="str">
        <x:v>G03;G04;G05;G08</x:v>
      </x:c>
      <x:c r="K131" s="20" t="str">
        <x:v>No morphology traits/medical inference</x:v>
      </x:c>
      <x:c r="L131" s="24" t="str"/>
    </x:row>
    <x:row r="132" ht="46" customHeight="1">
      <x:c r="A132" s="20" t="str">
        <x:v>EXPAND-08</x:v>
      </x:c>
      <x:c r="B132" s="20" t="str">
        <x:v>E</x:v>
      </x:c>
      <x:c r="C132" s="20" t="str">
        <x:v>Organization work-profile separation</x:v>
      </x:c>
      <x:c r="D132" s="20" t="str">
        <x:v>Product + Data + Privacy</x:v>
      </x:c>
      <x:c r="E132" s="20" t="str">
        <x:v>P2</x:v>
      </x:c>
      <x:c r="F132" s="24" t="str">
        <x:v>NOT_STARTED</x:v>
      </x:c>
      <x:c r="G132" s="26" t="n">
        <x:v>3</x:v>
      </x:c>
      <x:c r="H132" s="26" t="n">
        <x:v>7</x:v>
      </x:c>
      <x:c r="I132" s="20" t="str">
        <x:v>EXPAND-07</x:v>
      </x:c>
      <x:c r="J132" s="20" t="str">
        <x:v>G03;G04;G05;G08</x:v>
      </x:c>
      <x:c r="K132" s="20" t="str">
        <x:v>No privatejournal employee analytics</x:v>
      </x:c>
      <x:c r="L132" s="24" t="str"/>
    </x:row>
    <x:row r="133" ht="46" customHeight="1">
      <x:c r="A133" s="20" t="str">
        <x:v>EXPAND-09</x:v>
      </x:c>
      <x:c r="B133" s="20" t="str">
        <x:v>E</x:v>
      </x:c>
      <x:c r="C133" s="20" t="str">
        <x:v>Aggregates reidentification tests</x:v>
      </x:c>
      <x:c r="D133" s="20" t="str">
        <x:v>Product + Data + Privacy</x:v>
      </x:c>
      <x:c r="E133" s="20" t="str">
        <x:v>P2</x:v>
      </x:c>
      <x:c r="F133" s="24" t="str">
        <x:v>NOT_STARTED</x:v>
      </x:c>
      <x:c r="G133" s="26" t="n">
        <x:v>3</x:v>
      </x:c>
      <x:c r="H133" s="26" t="n">
        <x:v>7</x:v>
      </x:c>
      <x:c r="I133" s="20" t="str">
        <x:v>EXPAND-08</x:v>
      </x:c>
      <x:c r="J133" s="20" t="str">
        <x:v>G03;G04;G05;G08</x:v>
      </x:c>
      <x:c r="K133" s="20" t="str">
        <x:v>Smallcohort/differencing blocked</x:v>
      </x:c>
      <x:c r="L133" s="24" t="str"/>
    </x:row>
    <x:row r="134" ht="46" customHeight="1">
      <x:c r="A134" s="20" t="str">
        <x:v>EXPAND-10</x:v>
      </x:c>
      <x:c r="B134" s="20" t="str">
        <x:v>E</x:v>
      </x:c>
      <x:c r="C134" s="20" t="str">
        <x:v>Mobile value assessment and offline design</x:v>
      </x:c>
      <x:c r="D134" s="20" t="str">
        <x:v>Product + Data + Privacy</x:v>
      </x:c>
      <x:c r="E134" s="20" t="str">
        <x:v>P2</x:v>
      </x:c>
      <x:c r="F134" s="24" t="str">
        <x:v>NOT_STARTED</x:v>
      </x:c>
      <x:c r="G134" s="26" t="n">
        <x:v>2</x:v>
      </x:c>
      <x:c r="H134" s="26" t="n">
        <x:v>5</x:v>
      </x:c>
      <x:c r="I134" s="20" t="str">
        <x:v>EXPAND-09</x:v>
      </x:c>
      <x:c r="J134" s="20" t="str">
        <x:v>G03;G04;G05;G08</x:v>
      </x:c>
      <x:c r="K134" s="20" t="str">
        <x:v>Shared API/core, devicevault and syncconflicts</x:v>
      </x:c>
      <x:c r="L134" s="24" t="str"/>
    </x:row>
    <x:row r="135" ht="46" customHeight="1">
      <x:c r="A135" s="20" t="str">
        <x:v>GLOBAL-01</x:v>
      </x:c>
      <x:c r="B135" s="20" t="str">
        <x:v>F</x:v>
      </x:c>
      <x:c r="C135" s="20" t="str">
        <x:v>Country packs VN/EU/US/AU/SG</x:v>
      </x:c>
      <x:c r="D135" s="20" t="str">
        <x:v>Partnerships + Legal + Platform</x:v>
      </x:c>
      <x:c r="E135" s="20" t="str">
        <x:v>P2</x:v>
      </x:c>
      <x:c r="F135" s="24" t="str">
        <x:v>NOT_STARTED</x:v>
      </x:c>
      <x:c r="G135" s="26" t="n">
        <x:v>2</x:v>
      </x:c>
      <x:c r="H135" s="26" t="n">
        <x:v>5</x:v>
      </x:c>
      <x:c r="I135" s="20" t="str">
        <x:v>OPS-10;GOV-03</x:v>
      </x:c>
      <x:c r="J135" s="20" t="str">
        <x:v>G03;G04;G06;G12</x:v>
      </x:c>
      <x:c r="K135" s="20" t="str">
        <x:v>No launch without legal/locale/vendor approval</x:v>
      </x:c>
      <x:c r="L135" s="24" t="str"/>
    </x:row>
    <x:row r="136" ht="46" customHeight="1">
      <x:c r="A136" s="20" t="str">
        <x:v>GLOBAL-02</x:v>
      </x:c>
      <x:c r="B136" s="20" t="str">
        <x:v>F</x:v>
      </x:c>
      <x:c r="C136" s="20" t="str">
        <x:v>License-vs-franchise classification</x:v>
      </x:c>
      <x:c r="D136" s="20" t="str">
        <x:v>Partnerships + Legal + Platform</x:v>
      </x:c>
      <x:c r="E136" s="20" t="str">
        <x:v>P2</x:v>
      </x:c>
      <x:c r="F136" s="24" t="str">
        <x:v>NOT_STARTED</x:v>
      </x:c>
      <x:c r="G136" s="26" t="n">
        <x:v>2</x:v>
      </x:c>
      <x:c r="H136" s="26" t="n">
        <x:v>5</x:v>
      </x:c>
      <x:c r="I136" s="20" t="str">
        <x:v>GLOBAL-01</x:v>
      </x:c>
      <x:c r="J136" s="20" t="str">
        <x:v>G03;G04;G06;G12</x:v>
      </x:c>
      <x:c r="K136" s="20" t="str">
        <x:v>Substance notlabel; jurisdiction opinion</x:v>
      </x:c>
      <x:c r="L136" s="24" t="str"/>
    </x:row>
    <x:row r="137" ht="46" customHeight="1">
      <x:c r="A137" s="20" t="str">
        <x:v>GLOBAL-03</x:v>
      </x:c>
      <x:c r="B137" s="20" t="str">
        <x:v>F</x:v>
      </x:c>
      <x:c r="C137" s="20" t="str">
        <x:v>Trademark/translation/source rights clearance</x:v>
      </x:c>
      <x:c r="D137" s="20" t="str">
        <x:v>Partnerships + Legal + Platform</x:v>
      </x:c>
      <x:c r="E137" s="20" t="str">
        <x:v>P2</x:v>
      </x:c>
      <x:c r="F137" s="24" t="str">
        <x:v>NOT_STARTED</x:v>
      </x:c>
      <x:c r="G137" s="26" t="n">
        <x:v>3</x:v>
      </x:c>
      <x:c r="H137" s="26" t="n">
        <x:v>7</x:v>
      </x:c>
      <x:c r="I137" s="20" t="str">
        <x:v>GLOBAL-02</x:v>
      </x:c>
      <x:c r="J137" s="20" t="str">
        <x:v>G03;G04;G06;G12</x:v>
      </x:c>
      <x:c r="K137" s="20" t="str">
        <x:v>Madridfiling notglobalgrant; scope documented</x:v>
      </x:c>
      <x:c r="L137" s="24" t="str"/>
    </x:row>
    <x:row r="138" ht="46" customHeight="1">
      <x:c r="A138" s="20" t="str">
        <x:v>GLOBAL-04</x:v>
      </x:c>
      <x:c r="B138" s="20" t="str">
        <x:v>F</x:v>
      </x:c>
      <x:c r="C138" s="20" t="str">
        <x:v>Regional partner term sheet and economics</x:v>
      </x:c>
      <x:c r="D138" s="20" t="str">
        <x:v>Partnerships + Legal + Platform</x:v>
      </x:c>
      <x:c r="E138" s="20" t="str">
        <x:v>P2</x:v>
      </x:c>
      <x:c r="F138" s="24" t="str">
        <x:v>NOT_STARTED</x:v>
      </x:c>
      <x:c r="G138" s="26" t="n">
        <x:v>3</x:v>
      </x:c>
      <x:c r="H138" s="26" t="n">
        <x:v>7</x:v>
      </x:c>
      <x:c r="I138" s="20" t="str">
        <x:v>GLOBAL-03</x:v>
      </x:c>
      <x:c r="J138" s="20" t="str">
        <x:v>G03;G04;G06;G12</x:v>
      </x:c>
      <x:c r="K138" s="20" t="str">
        <x:v>No guaranteed ROI; territory/fees conditional</x:v>
      </x:c>
      <x:c r="L138" s="24" t="str"/>
    </x:row>
    <x:row r="139" ht="46" customHeight="1">
      <x:c r="A139" s="20" t="str">
        <x:v>GLOBAL-05</x:v>
      </x:c>
      <x:c r="B139" s="20" t="str">
        <x:v>F</x:v>
      </x:c>
      <x:c r="C139" s="20" t="str">
        <x:v>Tenantbrand policy intersection</x:v>
      </x:c>
      <x:c r="D139" s="20" t="str">
        <x:v>Partnerships + Legal + Platform</x:v>
      </x:c>
      <x:c r="E139" s="20" t="str">
        <x:v>P2</x:v>
      </x:c>
      <x:c r="F139" s="24" t="str">
        <x:v>NOT_STARTED</x:v>
      </x:c>
      <x:c r="G139" s="26" t="n">
        <x:v>3</x:v>
      </x:c>
      <x:c r="H139" s="26" t="n">
        <x:v>7</x:v>
      </x:c>
      <x:c r="I139" s="20" t="str">
        <x:v>GLOBAL-04</x:v>
      </x:c>
      <x:c r="J139" s="20" t="str">
        <x:v>G03;G04;G06;G12</x:v>
      </x:c>
      <x:c r="K139" s="20" t="str">
        <x:v>Denywins, cannot override method/safety</x:v>
      </x:c>
      <x:c r="L139" s="24" t="str"/>
    </x:row>
    <x:row r="140" ht="46" customHeight="1">
      <x:c r="A140" s="20" t="str">
        <x:v>GLOBAL-06</x:v>
      </x:c>
      <x:c r="B140" s="20" t="str">
        <x:v>F</x:v>
      </x:c>
      <x:c r="C140" s="20" t="str">
        <x:v>Trainer country qualification and audits</x:v>
      </x:c>
      <x:c r="D140" s="20" t="str">
        <x:v>Partnerships + Legal + Platform</x:v>
      </x:c>
      <x:c r="E140" s="20" t="str">
        <x:v>P2</x:v>
      </x:c>
      <x:c r="F140" s="24" t="str">
        <x:v>NOT_STARTED</x:v>
      </x:c>
      <x:c r="G140" s="26" t="n">
        <x:v>3</x:v>
      </x:c>
      <x:c r="H140" s="26" t="n">
        <x:v>7</x:v>
      </x:c>
      <x:c r="I140" s="20" t="str">
        <x:v>GLOBAL-05</x:v>
      </x:c>
      <x:c r="J140" s="20" t="str">
        <x:v>G03;G04;G06;G12</x:v>
      </x:c>
      <x:c r="K140" s="20" t="str">
        <x:v>Language/content/expertise scope verified</x:v>
      </x:c>
      <x:c r="L140" s="24" t="str"/>
    </x:row>
    <x:row r="141" ht="46" customHeight="1">
      <x:c r="A141" s="20" t="str">
        <x:v>GLOBAL-07</x:v>
      </x:c>
      <x:c r="B141" s="20" t="str">
        <x:v>F</x:v>
      </x:c>
      <x:c r="C141" s="20" t="str">
        <x:v>Partner API OAuth/scopes/quota</x:v>
      </x:c>
      <x:c r="D141" s="20" t="str">
        <x:v>Partnerships + Legal + Platform</x:v>
      </x:c>
      <x:c r="E141" s="20" t="str">
        <x:v>P2</x:v>
      </x:c>
      <x:c r="F141" s="24" t="str">
        <x:v>NOT_STARTED</x:v>
      </x:c>
      <x:c r="G141" s="26" t="n">
        <x:v>3</x:v>
      </x:c>
      <x:c r="H141" s="26" t="n">
        <x:v>7</x:v>
      </x:c>
      <x:c r="I141" s="20" t="str">
        <x:v>GLOBAL-06</x:v>
      </x:c>
      <x:c r="J141" s="20" t="str">
        <x:v>G03;G04;G06;G12</x:v>
      </x:c>
      <x:c r="K141" s="20" t="str">
        <x:v>No master cross-tenant token</x:v>
      </x:c>
      <x:c r="L141" s="24" t="str"/>
    </x:row>
    <x:row r="142" ht="46" customHeight="1">
      <x:c r="A142" s="20" t="str">
        <x:v>GLOBAL-08</x:v>
      </x:c>
      <x:c r="B142" s="20" t="str">
        <x:v>F</x:v>
      </x:c>
      <x:c r="C142" s="20" t="str">
        <x:v>Data residency/subprocessor routing</x:v>
      </x:c>
      <x:c r="D142" s="20" t="str">
        <x:v>Partnerships + Legal + Platform</x:v>
      </x:c>
      <x:c r="E142" s="20" t="str">
        <x:v>P2</x:v>
      </x:c>
      <x:c r="F142" s="24" t="str">
        <x:v>NOT_STARTED</x:v>
      </x:c>
      <x:c r="G142" s="26" t="n">
        <x:v>3</x:v>
      </x:c>
      <x:c r="H142" s="26" t="n">
        <x:v>7</x:v>
      </x:c>
      <x:c r="I142" s="20" t="str">
        <x:v>GLOBAL-07</x:v>
      </x:c>
      <x:c r="J142" s="20" t="str">
        <x:v>G03;G04;G06;G12</x:v>
      </x:c>
      <x:c r="K142" s="20" t="str">
        <x:v>Country purpose provider approved, failclosed</x:v>
      </x:c>
      <x:c r="L142" s="24" t="str"/>
    </x:row>
    <x:row r="143" ht="46" customHeight="1">
      <x:c r="A143" s="20" t="str">
        <x:v>GLOBAL-09</x:v>
      </x:c>
      <x:c r="B143" s="20" t="str">
        <x:v>F</x:v>
      </x:c>
      <x:c r="C143" s="20" t="str">
        <x:v>Partner exit/revocation/client continuity</x:v>
      </x:c>
      <x:c r="D143" s="20" t="str">
        <x:v>Partnerships + Legal + Platform</x:v>
      </x:c>
      <x:c r="E143" s="20" t="str">
        <x:v>P2</x:v>
      </x:c>
      <x:c r="F143" s="24" t="str">
        <x:v>NOT_STARTED</x:v>
      </x:c>
      <x:c r="G143" s="26" t="n">
        <x:v>3</x:v>
      </x:c>
      <x:c r="H143" s="26" t="n">
        <x:v>7</x:v>
      </x:c>
      <x:c r="I143" s="20" t="str">
        <x:v>GLOBAL-08</x:v>
      </x:c>
      <x:c r="J143" s="20" t="str">
        <x:v>G03;G04;G06;G12</x:v>
      </x:c>
      <x:c r="K143" s="20" t="str">
        <x:v>Exports/deletion/support continue under policy</x:v>
      </x:c>
      <x:c r="L143" s="24" t="str"/>
    </x:row>
    <x:row r="144" ht="46" customHeight="1">
      <x:c r="A144" s="20" t="str">
        <x:v>GLOBAL-10</x:v>
      </x:c>
      <x:c r="B144" s="20" t="str">
        <x:v>F</x:v>
      </x:c>
      <x:c r="C144" s="20" t="str">
        <x:v>International pilot release decision</x:v>
      </x:c>
      <x:c r="D144" s="20" t="str">
        <x:v>Partnerships + Legal + Platform</x:v>
      </x:c>
      <x:c r="E144" s="20" t="str">
        <x:v>P2</x:v>
      </x:c>
      <x:c r="F144" s="24" t="str">
        <x:v>NOT_STARTED</x:v>
      </x:c>
      <x:c r="G144" s="26" t="n">
        <x:v>2</x:v>
      </x:c>
      <x:c r="H144" s="26" t="n">
        <x:v>5</x:v>
      </x:c>
      <x:c r="I144" s="20" t="str">
        <x:v>GLOBAL-09</x:v>
      </x:c>
      <x:c r="J144" s="20" t="str">
        <x:v>G03;G04;G06;G12</x:v>
      </x:c>
      <x:c r="K144" s="20" t="str">
        <x:v>Real unit economics, support coverage, legal signoff</x:v>
      </x:c>
      <x:c r="L144" s="24" t="str"/>
    </x:row>
  </x:sheetData>
  <x:mergeCells>
    <x:mergeCell ref="A1:L1"/>
    <x:mergeCell ref="A2:L2"/>
  </x:mergeCells>
  <x:dataValidations count="1">
    <x:dataValidation type="list" sqref="F5:F144">
      <x:formula1>"NOT_STARTED,IN_PROGRESS,BLOCKED,REVIEW,DONE"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f0810fb2e446c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7" hidden="0" customWidth="1"/>
    <x:col min="3" max="3" width="27" hidden="0" customWidth="1"/>
    <x:col min="4" max="4" width="20" hidden="0" customWidth="1"/>
    <x:col min="5" max="5" width="80" hidden="0" customWidth="1"/>
    <x:col min="6" max="6" width="36" hidden="0" customWidth="1"/>
  </x:cols>
  <x:sheetData>
    <x:row r="1" ht="34" customHeight="1">
      <x:c r="A1" s="3" t="str">
        <x:v>12 cổng phát hành</x:v>
      </x:c>
      <x:c r="B1" s="3"/>
      <x:c r="C1" s="3"/>
      <x:c r="D1" s="3"/>
      <x:c r="E1" s="3"/>
      <x:c r="F1" s="3"/>
    </x:row>
    <x:row r="2" ht="33" customHeight="1">
      <x:c r="A2" s="7" t="str">
        <x:v>Không cộng trung bình để bù lỗi bảo mật. Chỉ PASS khi có bằng chứng đúng scope.</x:v>
      </x:c>
      <x:c r="B2" s="7"/>
      <x:c r="C2" s="7"/>
      <x:c r="D2" s="7"/>
      <x:c r="E2" s="7"/>
      <x:c r="F2" s="7"/>
    </x:row>
    <x:row r="4" ht="28" customHeight="1">
      <x:c r="A4" s="16" t="str">
        <x:v>Gate</x:v>
      </x:c>
      <x:c r="B4" s="16" t="str">
        <x:v>Tên</x:v>
      </x:c>
      <x:c r="C4" s="16" t="str">
        <x:v>Chủ trì</x:v>
      </x:c>
      <x:c r="D4" s="16" t="str">
        <x:v>Status</x:v>
      </x:c>
      <x:c r="E4" s="16" t="str">
        <x:v>Tiêu chí</x:v>
      </x:c>
      <x:c r="F4" s="16" t="str">
        <x:v>Evidence</x:v>
      </x:c>
    </x:row>
    <x:row r="5" ht="46" customHeight="1">
      <x:c r="A5" s="20" t="str">
        <x:v>G01</x:v>
      </x:c>
      <x:c r="B5" s="20" t="str">
        <x:v>Source &amp; Release</x:v>
      </x:c>
      <x:c r="C5" s="20" t="str">
        <x:v>Tech Lead</x:v>
      </x:c>
      <x:c r="D5" s="24" t="str">
        <x:v>NOT_CHECKED</x:v>
      </x:c>
      <x:c r="E5" s="20" t="str">
        <x:v>SHA/artifact/deployed receipt/schema/rollback</x:v>
      </x:c>
      <x:c r="F5" s="24" t="str"/>
    </x:row>
    <x:row r="6" ht="46" customHeight="1">
      <x:c r="A6" s="20" t="str">
        <x:v>G02</x:v>
      </x:c>
      <x:c r="B6" s="20" t="str">
        <x:v>Authentication</x:v>
      </x:c>
      <x:c r="C6" s="20" t="str">
        <x:v>Backend + Security</x:v>
      </x:c>
      <x:c r="D6" s="24" t="str">
        <x:v>NOT_CHECKED</x:v>
      </x:c>
      <x:c r="E6" s="20" t="str">
        <x:v>Client không quyết danh tính; session/recovery tests</x:v>
      </x:c>
      <x:c r="F6" s="24" t="str"/>
    </x:row>
    <x:row r="7" ht="46" customHeight="1">
      <x:c r="A7" s="20" t="str">
        <x:v>G03</x:v>
      </x:c>
      <x:c r="B7" s="20" t="str">
        <x:v>Authorization</x:v>
      </x:c>
      <x:c r="C7" s="20" t="str">
        <x:v>Security + QA</x:v>
      </x:c>
      <x:c r="D7" s="24" t="str">
        <x:v>NOT_CHECKED</x:v>
      </x:c>
      <x:c r="E7" s="20" t="str">
        <x:v>Object/tenant/field/grant negative tests</x:v>
      </x:c>
      <x:c r="F7" s="24" t="str"/>
    </x:row>
    <x:row r="8" ht="46" customHeight="1">
      <x:c r="A8" s="20" t="str">
        <x:v>G04</x:v>
      </x:c>
      <x:c r="B8" s="20" t="str">
        <x:v>Legal &amp; Purpose</x:v>
      </x:c>
      <x:c r="C8" s="20" t="str">
        <x:v>Legal + Privacy</x:v>
      </x:c>
      <x:c r="D8" s="24" t="str">
        <x:v>NOT_CHECKED</x:v>
      </x:c>
      <x:c r="E8" s="20" t="str">
        <x:v>Pháp nhân/scope/country/basis/notices</x:v>
      </x:c>
      <x:c r="F8" s="24" t="str"/>
    </x:row>
    <x:row r="9" ht="46" customHeight="1">
      <x:c r="A9" s="20" t="str">
        <x:v>G05</x:v>
      </x:c>
      <x:c r="B9" s="20" t="str">
        <x:v>Retention &amp; Deletion</x:v>
      </x:c>
      <x:c r="C9" s="20" t="str">
        <x:v>Data + Privacy</x:v>
      </x:c>
      <x:c r="D9" s="24" t="str">
        <x:v>NOT_CHECKED</x:v>
      </x:c>
      <x:c r="E9" s="20" t="str">
        <x:v>Xóa DB/R2/cache/index/queue/provider; backup restore</x:v>
      </x:c>
      <x:c r="F9" s="24" t="str"/>
    </x:row>
    <x:row r="10" ht="46" customHeight="1">
      <x:c r="A10" s="20" t="str">
        <x:v>G06</x:v>
      </x:c>
      <x:c r="B10" s="20" t="str">
        <x:v>Methods &amp; Claims</x:v>
      </x:c>
      <x:c r="C10" s="20" t="str">
        <x:v>Method Council</x:v>
      </x:c>
      <x:c r="D10" s="24" t="str">
        <x:v>NOT_CHECKED</x:v>
      </x:c>
      <x:c r="E10" s="20" t="str">
        <x:v>Passport/rights/tests/null/approved rules</x:v>
      </x:c>
      <x:c r="F10" s="24" t="str"/>
    </x:row>
    <x:row r="11" ht="46" customHeight="1">
      <x:c r="A11" s="20" t="str">
        <x:v>G07</x:v>
      </x:c>
      <x:c r="B11" s="20" t="str">
        <x:v>Legacy &amp; Migration</x:v>
      </x:c>
      <x:c r="C11" s="20" t="str">
        <x:v>Data Lead</x:v>
      </x:c>
      <x:c r="D11" s="24" t="str">
        <x:v>NOT_CHECKED</x:v>
      </x:c>
      <x:c r="E11" s="20" t="str">
        <x:v>Quarantine, ownership, reconciliation</x:v>
      </x:c>
      <x:c r="F11" s="24" t="str"/>
    </x:row>
    <x:row r="12" ht="46" customHeight="1">
      <x:c r="A12" s="20" t="str">
        <x:v>G08</x:v>
      </x:c>
      <x:c r="B12" s="20" t="str">
        <x:v>Reports &amp; AI</x:v>
      </x:c>
      <x:c r="C12" s="20" t="str">
        <x:v>Editorial + AI</x:v>
      </x:c>
      <x:c r="D12" s="24" t="str">
        <x:v>NOT_CHECKED</x:v>
      </x:c>
      <x:c r="E12" s="20" t="str">
        <x:v>Claim lineage, policy, render quality</x:v>
      </x:c>
      <x:c r="F12" s="24" t="str"/>
    </x:row>
    <x:row r="13" ht="46" customHeight="1">
      <x:c r="A13" s="20" t="str">
        <x:v>G09</x:v>
      </x:c>
      <x:c r="B13" s="20" t="str">
        <x:v>Commerce</x:v>
      </x:c>
      <x:c r="C13" s="20" t="str">
        <x:v>Commerce + QA</x:v>
      </x:c>
      <x:c r="D13" s="24" t="str">
        <x:v>NOT_CHECKED</x:v>
      </x:c>
      <x:c r="E13" s="20" t="str">
        <x:v>Signature/replay/refund/entitlement tests</x:v>
      </x:c>
      <x:c r="F13" s="24" t="str"/>
    </x:row>
    <x:row r="14" ht="46" customHeight="1">
      <x:c r="A14" s="20" t="str">
        <x:v>G10</x:v>
      </x:c>
      <x:c r="B14" s="20" t="str">
        <x:v>Reliability</x:v>
      </x:c>
      <x:c r="C14" s="20" t="str">
        <x:v>SRE</x:v>
      </x:c>
      <x:c r="D14" s="24" t="str">
        <x:v>NOT_CHECKED</x:v>
      </x:c>
      <x:c r="E14" s="20" t="str">
        <x:v>Load/retry/DLQ/restore/RPO/RTO</x:v>
      </x:c>
      <x:c r="F14" s="24" t="str"/>
    </x:row>
    <x:row r="15" ht="46" customHeight="1">
      <x:c r="A15" s="20" t="str">
        <x:v>G11</x:v>
      </x:c>
      <x:c r="B15" s="20" t="str">
        <x:v>Security Review</x:v>
      </x:c>
      <x:c r="C15" s="20" t="str">
        <x:v>Independent Security</x:v>
      </x:c>
      <x:c r="D15" s="24" t="str">
        <x:v>NOT_CHECKED</x:v>
      </x:c>
      <x:c r="E15" s="20" t="str">
        <x:v>Review/retest/no unresolved blockers</x:v>
      </x:c>
      <x:c r="F15" s="24" t="str"/>
    </x:row>
    <x:row r="16" ht="46" customHeight="1">
      <x:c r="A16" s="20" t="str">
        <x:v>G12</x:v>
      </x:c>
      <x:c r="B16" s="20" t="str">
        <x:v>Operations &amp; Pilot</x:v>
      </x:c>
      <x:c r="C16" s="20" t="str">
        <x:v>Program + Founder</x:v>
      </x:c>
      <x:c r="D16" s="24" t="str">
        <x:v>NOT_CHECKED</x:v>
      </x:c>
      <x:c r="E16" s="20" t="str">
        <x:v>Support/economics/incident/pilot/release decision</x:v>
      </x:c>
      <x:c r="F16" s="24" t="str"/>
    </x:row>
  </x:sheetData>
  <x:mergeCells>
    <x:mergeCell ref="A1:F1"/>
    <x:mergeCell ref="A2:F2"/>
  </x:mergeCells>
  <x:dataValidations count="1">
    <x:dataValidation type="list" sqref="D5:D16">
      <x:formula1>"NOT_CHECKED,IN_PROGRESS,FAIL,PASS,NOT_APPLICABLE"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75e813d26c497f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72" hidden="0" customWidth="1"/>
    <x:col min="3" max="3" width="24" hidden="0" customWidth="1"/>
    <x:col min="4" max="4" width="36" hidden="0" customWidth="1"/>
    <x:col min="5" max="5" width="64" hidden="0" customWidth="1"/>
  </x:cols>
  <x:sheetData>
    <x:row r="1" ht="34" customHeight="1">
      <x:c r="A1" s="3" t="str">
        <x:v>Q1–Q20 | Quyết định cần phê duyệt</x:v>
      </x:c>
      <x:c r="B1" s="3"/>
      <x:c r="C1" s="3"/>
      <x:c r="D1" s="3"/>
      <x:c r="E1" s="3"/>
    </x:row>
    <x:row r="2" ht="33" customHeight="1">
      <x:c r="A2" s="7" t="str">
        <x:v>Yêu cầu xuất kế hoạch không tự là lệnh deploy hoặc phê duyệt từng Q.</x:v>
      </x:c>
      <x:c r="B2" s="7"/>
      <x:c r="C2" s="7"/>
      <x:c r="D2" s="7"/>
      <x:c r="E2" s="7"/>
    </x:row>
    <x:row r="4" ht="28" customHeight="1">
      <x:c r="A4" s="16" t="str">
        <x:v>Mã</x:v>
      </x:c>
      <x:c r="B4" s="16" t="str">
        <x:v>Quyết định</x:v>
      </x:c>
      <x:c r="C4" s="16" t="str">
        <x:v>Status</x:v>
      </x:c>
      <x:c r="D4" s="16" t="str">
        <x:v>Người duyệt</x:v>
      </x:c>
      <x:c r="E4" s="16" t="str">
        <x:v>Điều kiện / bằng chứng</x:v>
      </x:c>
    </x:row>
    <x:row r="5" ht="46" customHeight="1">
      <x:c r="A5" s="20" t="str">
        <x:v>Q1</x:v>
      </x:c>
      <x:c r="B5" s="20" t="str">
        <x:v>Định vị tự hiểu và thiết kế đời sống</x:v>
      </x:c>
      <x:c r="C5" s="24" t="str">
        <x:v>PENDING_FOUNDER</x:v>
      </x:c>
      <x:c r="D5" s="24" t="str">
        <x:v>Founder + chức năng liên quan</x:v>
      </x:c>
      <x:c r="E5" s="24" t="str"/>
    </x:row>
    <x:row r="6" ht="46" customHeight="1">
      <x:c r="A6" s="20" t="str">
        <x:v>Q2</x:v>
      </x:c>
      <x:c r="B6" s="20" t="str">
        <x:v>9 cấp/12 lớp/4 phần/12 trường/K01–20</x:v>
      </x:c>
      <x:c r="C6" s="24" t="str">
        <x:v>PENDING_FOUNDER</x:v>
      </x:c>
      <x:c r="D6" s="24" t="str">
        <x:v>Founder + chức năng liên quan</x:v>
      </x:c>
      <x:c r="E6" s="24" t="str"/>
    </x:row>
    <x:row r="7" ht="46" customHeight="1">
      <x:c r="A7" s="20" t="str">
        <x:v>Q3</x:v>
      </x:c>
      <x:c r="B7" s="20" t="str">
        <x:v>Method độc lập theo nguồn và phiên bản</x:v>
      </x:c>
      <x:c r="C7" s="24" t="str">
        <x:v>PENDING_FOUNDER</x:v>
      </x:c>
      <x:c r="D7" s="24" t="str">
        <x:v>Founder + chức năng liên quan</x:v>
      </x:c>
      <x:c r="E7" s="24" t="str"/>
    </x:row>
    <x:row r="8" ht="46" customHeight="1">
      <x:c r="A8" s="20" t="str">
        <x:v>Q4</x:v>
      </x:c>
      <x:c r="B8" s="20" t="str">
        <x:v>Entitlement khác quyền và đủ dữ liệu</x:v>
      </x:c>
      <x:c r="C8" s="24" t="str">
        <x:v>PENDING_FOUNDER</x:v>
      </x:c>
      <x:c r="D8" s="24" t="str">
        <x:v>Founder + chức năng liên quan</x:v>
      </x:c>
      <x:c r="E8" s="24" t="str"/>
    </x:row>
    <x:row r="9" ht="46" customHeight="1">
      <x:c r="A9" s="20" t="str">
        <x:v>Q5</x:v>
      </x:c>
      <x:c r="B9" s="20" t="str">
        <x:v>Dừng điểm giả và cho null</x:v>
      </x:c>
      <x:c r="C9" s="24" t="str">
        <x:v>PENDING_FOUNDER</x:v>
      </x:c>
      <x:c r="D9" s="24" t="str">
        <x:v>Founder + chức năng liên quan</x:v>
      </x:c>
      <x:c r="E9" s="24" t="str"/>
    </x:row>
    <x:row r="10" ht="46" customHeight="1">
      <x:c r="A10" s="20" t="str">
        <x:v>Q6</x:v>
      </x:c>
      <x:c r="B10" s="20" t="str">
        <x:v>Numbers là tham chiếu không đo số phận</x:v>
      </x:c>
      <x:c r="C10" s="24" t="str">
        <x:v>PENDING_FOUNDER</x:v>
      </x:c>
      <x:c r="D10" s="24" t="str">
        <x:v>Founder + chức năng liên quan</x:v>
      </x:c>
      <x:c r="E10" s="24" t="str"/>
    </x:row>
    <x:row r="11" ht="46" customHeight="1">
      <x:c r="A11" s="20" t="str">
        <x:v>Q7</x:v>
      </x:c>
      <x:c r="B11" s="20" t="str">
        <x:v>Báo cáo cấu trúc không filler</x:v>
      </x:c>
      <x:c r="C11" s="24" t="str">
        <x:v>PENDING_FOUNDER</x:v>
      </x:c>
      <x:c r="D11" s="24" t="str">
        <x:v>Founder + chức năng liên quan</x:v>
      </x:c>
      <x:c r="E11" s="24" t="str"/>
    </x:row>
    <x:row r="12" ht="46" customHeight="1">
      <x:c r="A12" s="20" t="str">
        <x:v>Q8</x:v>
      </x:c>
      <x:c r="B12" s="20" t="str">
        <x:v>Dòng sản phẩm mở theo gates</x:v>
      </x:c>
      <x:c r="C12" s="24" t="str">
        <x:v>PENDING_FOUNDER</x:v>
      </x:c>
      <x:c r="D12" s="24" t="str">
        <x:v>Founder + chức năng liên quan</x:v>
      </x:c>
      <x:c r="E12" s="24" t="str"/>
    </x:row>
    <x:row r="13" ht="46" customHeight="1">
      <x:c r="A13" s="20" t="str">
        <x:v>Q9</x:v>
      </x:c>
      <x:c r="B13" s="20" t="str">
        <x:v>Privacy, auth, delete từ đầu</x:v>
      </x:c>
      <x:c r="C13" s="24" t="str">
        <x:v>PENDING_FOUNDER</x:v>
      </x:c>
      <x:c r="D13" s="24" t="str">
        <x:v>Founder + chức năng liên quan</x:v>
      </x:c>
      <x:c r="E13" s="24" t="str"/>
    </x:row>
    <x:row r="14" ht="46" customHeight="1">
      <x:c r="A14" s="20" t="str">
        <x:v>Q10</x:v>
      </x:c>
      <x:c r="B14" s="20" t="str">
        <x:v>Tám bộ nền từ source/runtime khóa</x:v>
      </x:c>
      <x:c r="C14" s="24" t="str">
        <x:v>PENDING_FOUNDER</x:v>
      </x:c>
      <x:c r="D14" s="24" t="str">
        <x:v>Founder + chức năng liên quan</x:v>
      </x:c>
      <x:c r="E14" s="24" t="str"/>
    </x:row>
    <x:row r="15" ht="46" customHeight="1">
      <x:c r="A15" s="20" t="str">
        <x:v>Q11</x:v>
      </x:c>
      <x:c r="B15" s="20" t="str">
        <x:v>Quarantine experimental_legacy</x:v>
      </x:c>
      <x:c r="C15" s="24" t="str">
        <x:v>PENDING_FOUNDER</x:v>
      </x:c>
      <x:c r="D15" s="24" t="str">
        <x:v>Founder + chức năng liên quan</x:v>
      </x:c>
      <x:c r="E15" s="24" t="str"/>
    </x:row>
    <x:row r="16" ht="46" customHeight="1">
      <x:c r="A16" s="20" t="str">
        <x:v>Q12</x:v>
      </x:c>
      <x:c r="B16" s="20" t="str">
        <x:v>Passport/rights/tests/limits/approver</x:v>
      </x:c>
      <x:c r="C16" s="24" t="str">
        <x:v>PENDING_FOUNDER</x:v>
      </x:c>
      <x:c r="D16" s="24" t="str">
        <x:v>Founder + chức năng liên quan</x:v>
      </x:c>
      <x:c r="E16" s="24" t="str"/>
    </x:row>
    <x:row r="17" ht="46" customHeight="1">
      <x:c r="A17" s="20" t="str">
        <x:v>Q13</x:v>
      </x:c>
      <x:c r="B17" s="20" t="str">
        <x:v>Free Essentials và quota minh bạch</x:v>
      </x:c>
      <x:c r="C17" s="24" t="str">
        <x:v>PENDING_FOUNDER</x:v>
      </x:c>
      <x:c r="D17" s="24" t="str">
        <x:v>Founder + chức năng liên quan</x:v>
      </x:c>
      <x:c r="E17" s="24" t="str"/>
    </x:row>
    <x:row r="18" ht="46" customHeight="1">
      <x:c r="A18" s="20" t="str">
        <x:v>Q14</x:v>
      </x:c>
      <x:c r="B18" s="20" t="str">
        <x:v>Pháp nhân/merchant/controller</x:v>
      </x:c>
      <x:c r="C18" s="24" t="str">
        <x:v>PENDING_FOUNDER</x:v>
      </x:c>
      <x:c r="D18" s="24" t="str">
        <x:v>Founder + chức năng liên quan</x:v>
      </x:c>
      <x:c r="E18" s="24" t="str"/>
    </x:row>
    <x:row r="19" ht="46" customHeight="1">
      <x:c r="A19" s="20" t="str">
        <x:v>Q15</x:v>
      </x:c>
      <x:c r="B19" s="20" t="str">
        <x:v>IdP/PG/payment/AI provider selection</x:v>
      </x:c>
      <x:c r="C19" s="24" t="str">
        <x:v>PENDING_FOUNDER</x:v>
      </x:c>
      <x:c r="D19" s="24" t="str">
        <x:v>Founder + chức năng liên quan</x:v>
      </x:c>
      <x:c r="E19" s="24" t="str"/>
    </x:row>
    <x:row r="20" ht="46" customHeight="1">
      <x:c r="A20" s="20" t="str">
        <x:v>Q16</x:v>
      </x:c>
      <x:c r="B20" s="20" t="str">
        <x:v>Autonomy A0–A3 và kill switches</x:v>
      </x:c>
      <x:c r="C20" s="24" t="str">
        <x:v>PENDING_FOUNDER</x:v>
      </x:c>
      <x:c r="D20" s="24" t="str">
        <x:v>Founder + chức năng liên quan</x:v>
      </x:c>
      <x:c r="E20" s="24" t="str"/>
    </x:row>
    <x:row r="21" ht="46" customHeight="1">
      <x:c r="A21" s="20" t="str">
        <x:v>Q17</x:v>
      </x:c>
      <x:c r="B21" s="20" t="str">
        <x:v>Academy/practitioner scope</x:v>
      </x:c>
      <x:c r="C21" s="24" t="str">
        <x:v>PENDING_FOUNDER</x:v>
      </x:c>
      <x:c r="D21" s="24" t="str">
        <x:v>Founder + chức năng liên quan</x:v>
      </x:c>
      <x:c r="E21" s="24" t="str"/>
    </x:row>
    <x:row r="22" ht="46" customHeight="1">
      <x:c r="A22" s="20" t="str">
        <x:v>Q18</x:v>
      </x:c>
      <x:c r="B22" s="20" t="str">
        <x:v>Organization privacy boundary</x:v>
      </x:c>
      <x:c r="C22" s="24" t="str">
        <x:v>PENDING_FOUNDER</x:v>
      </x:c>
      <x:c r="D22" s="24" t="str">
        <x:v>Founder + chức năng liên quan</x:v>
      </x:c>
      <x:c r="E22" s="24" t="str"/>
    </x:row>
    <x:row r="23" ht="46" customHeight="1">
      <x:c r="A23" s="20" t="str">
        <x:v>Q19</x:v>
      </x:c>
      <x:c r="B23" s="20" t="str">
        <x:v>Country pack và license/franchise</x:v>
      </x:c>
      <x:c r="C23" s="24" t="str">
        <x:v>PENDING_FOUNDER</x:v>
      </x:c>
      <x:c r="D23" s="24" t="str">
        <x:v>Founder + chức năng liên quan</x:v>
      </x:c>
      <x:c r="E23" s="24" t="str"/>
    </x:row>
    <x:row r="24" ht="46" customHeight="1">
      <x:c r="A24" s="20" t="str">
        <x:v>Q20</x:v>
      </x:c>
      <x:c r="B24" s="20" t="str">
        <x:v>Budget/team/roadmap có điều kiện</x:v>
      </x:c>
      <x:c r="C24" s="24" t="str">
        <x:v>PENDING_FOUNDER</x:v>
      </x:c>
      <x:c r="D24" s="24" t="str">
        <x:v>Founder + chức năng liên quan</x:v>
      </x:c>
      <x:c r="E24" s="24" t="str"/>
    </x:row>
  </x:sheetData>
  <x:mergeCells>
    <x:mergeCell ref="A1:E1"/>
    <x:mergeCell ref="A2:E2"/>
  </x:mergeCells>
  <x:dataValidations count="1">
    <x:dataValidation type="list" sqref="C5:C24">
      <x:formula1>"PENDING_FOUNDER,APPROVE,APPROVE_WITH_CONDITIONS,REVISE,REJECT"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9ab198ae744ee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34" hidden="0" customWidth="1"/>
    <x:col min="3" max="3" width="8" hidden="0" customWidth="1"/>
    <x:col min="4" max="4" width="17" hidden="0" customWidth="1"/>
    <x:col min="5" max="5" width="20" hidden="0" customWidth="1"/>
    <x:col min="6" max="6" width="75" hidden="0" customWidth="1"/>
    <x:col min="7" max="7" width="70" hidden="0" customWidth="1"/>
  </x:cols>
  <x:sheetData>
    <x:row r="1" ht="34" customHeight="1">
      <x:c r="A1" s="3" t="str">
        <x:v>23 sản phẩm / dòng dịch vụ đề xuất</x:v>
      </x:c>
      <x:c r="B1" s="3"/>
      <x:c r="C1" s="3"/>
      <x:c r="D1" s="3"/>
      <x:c r="E1" s="3"/>
      <x:c r="F1" s="3"/>
      <x:c r="G1" s="3"/>
    </x:row>
    <x:row r="2" ht="33" customHeight="1">
      <x:c r="A2" s="7" t="str">
        <x:v>Miễn phí → cá nhân → chuyên gia → tổ chức → cấp phép. Price và launch status cần duyệt riêng.</x:v>
      </x:c>
      <x:c r="B2" s="7"/>
      <x:c r="C2" s="7"/>
      <x:c r="D2" s="7"/>
      <x:c r="E2" s="7"/>
      <x:c r="F2" s="7"/>
      <x:c r="G2" s="7"/>
    </x:row>
    <x:row r="4" ht="28" customHeight="1">
      <x:c r="A4" s="16" t="str">
        <x:v>SKU</x:v>
      </x:c>
      <x:c r="B4" s="16" t="str">
        <x:v>Sản phẩm</x:v>
      </x:c>
      <x:c r="C4" s="16" t="str">
        <x:v>Cấp</x:v>
      </x:c>
      <x:c r="D4" s="16" t="str">
        <x:v>Phase</x:v>
      </x:c>
      <x:c r="E4" s="16" t="str">
        <x:v>Dòng</x:v>
      </x:c>
      <x:c r="F4" s="16" t="str">
        <x:v>Đầu ra</x:v>
      </x:c>
      <x:c r="G4" s="16" t="str">
        <x:v>Giới hạn</x:v>
      </x:c>
    </x:row>
    <x:row r="5" ht="46" customHeight="1">
      <x:c r="A5" s="20" t="str">
        <x:v>LC-L1</x:v>
      </x:c>
      <x:c r="B5" s="20" t="str">
        <x:v>Tín hiệu nền</x:v>
      </x:c>
      <x:c r="C5" s="20" t="n">
        <x:v>1</x:v>
      </x:c>
      <x:c r="D5" s="20" t="str">
        <x:v>C</x:v>
      </x:c>
      <x:c r="E5" s="20" t="str">
        <x:v>personal_report</x:v>
      </x:c>
      <x:c r="F5" s="20" t="str">
        <x:v>Kiểm tra nguồn, tính minh bạch, chủ đề tự quan sát</x:v>
      </x:c>
      <x:c r="G5" s="20" t="str">
        <x:v>Kế hoạch 30 ngày</x:v>
      </x:c>
    </x:row>
    <x:row r="6" ht="46" customHeight="1">
      <x:c r="A6" s="20" t="str">
        <x:v>LC-L2</x:v>
      </x:c>
      <x:c r="B6" s="20" t="str">
        <x:v>Cấu trúc nội tâm</x:v>
      </x:c>
      <x:c r="C6" s="20" t="n">
        <x:v>2</x:v>
      </x:c>
      <x:c r="D6" s="20" t="str">
        <x:v>E</x:v>
      </x:c>
      <x:c r="E6" s="20" t="str">
        <x:v>personal_report</x:v>
      </x:c>
      <x:c r="F6" s="20" t="str">
        <x:v>Mâu thuẫn nhu cầu và lựa chọn được xác nhận</x:v>
      </x:c>
      <x:c r="G6" s="20" t="str">
        <x:v>Thử nghiệm 90 ngày</x:v>
      </x:c>
    </x:row>
    <x:row r="7" ht="46" customHeight="1">
      <x:c r="A7" s="20" t="str">
        <x:v>LC-L3</x:v>
      </x:c>
      <x:c r="B7" s="20" t="str">
        <x:v>Cách hành động</x:v>
      </x:c>
      <x:c r="C7" s="20" t="n">
        <x:v>3</x:v>
      </x:c>
      <x:c r="D7" s="20" t="str">
        <x:v>E</x:v>
      </x:c>
      <x:c r="E7" s="20" t="str">
        <x:v>personal_report</x:v>
      </x:c>
      <x:c r="F7" s="20" t="str">
        <x:v>Mô thức trong bối cảnh, không chẩn đoán</x:v>
      </x:c>
      <x:c r="G7" s="20" t="str">
        <x:v>Kế hoạch thay đổi có theo dõi</x:v>
      </x:c>
    </x:row>
    <x:row r="8" ht="46" customHeight="1">
      <x:c r="A8" s="20" t="str">
        <x:v>LC-L4</x:v>
      </x:c>
      <x:c r="B8" s="20" t="str">
        <x:v>Công việc và nguồn lực</x:v>
      </x:c>
      <x:c r="C8" s="20" t="n">
        <x:v>4</x:v>
      </x:c>
      <x:c r="D8" s="20" t="str">
        <x:v>E</x:v>
      </x:c>
      <x:c r="E8" s="20" t="str">
        <x:v>personal_report</x:v>
      </x:c>
      <x:c r="F8" s="20" t="str">
        <x:v>Phương án vai trò, nguồn lực, kịch bản</x:v>
      </x:c>
      <x:c r="G8" s="20" t="str">
        <x:v>Kế hoạch công việc và ngân sách</x:v>
      </x:c>
    </x:row>
    <x:row r="9" ht="46" customHeight="1">
      <x:c r="A9" s="20" t="str">
        <x:v>LC-L5</x:v>
      </x:c>
      <x:c r="B9" s="20" t="str">
        <x:v>Quan hệ và ranh giới</x:v>
      </x:c>
      <x:c r="C9" s="20" t="n">
        <x:v>5</x:v>
      </x:c>
      <x:c r="D9" s="20" t="str">
        <x:v>E</x:v>
      </x:c>
      <x:c r="E9" s="20" t="str">
        <x:v>personal_report</x:v>
      </x:c>
      <x:c r="F9" s="20" t="str">
        <x:v>Bản đồ giao tiếp, trách nhiệm, khác biệt</x:v>
      </x:c>
      <x:c r="G9" s="20" t="str">
        <x:v>Kế hoạch đối thoại</x:v>
      </x:c>
    </x:row>
    <x:row r="10" ht="46" customHeight="1">
      <x:c r="A10" s="20" t="str">
        <x:v>LC-L6</x:v>
      </x:c>
      <x:c r="B10" s="20" t="str">
        <x:v>Dòng thời gian</x:v>
      </x:c>
      <x:c r="C10" s="20" t="n">
        <x:v>6</x:v>
      </x:c>
      <x:c r="D10" s="20" t="str">
        <x:v>F</x:v>
      </x:c>
      <x:c r="E10" s="20" t="str">
        <x:v>personal_report</x:v>
      </x:c>
      <x:c r="F10" s="20" t="str">
        <x:v>Lịch sử, chu kỳ biểu tượng, kế hoạch, dự báo tách biệt</x:v>
      </x:c>
      <x:c r="G10" s="20" t="str">
        <x:v>Hành động 12 tháng, kịch bản dài hạn</x:v>
      </x:c>
    </x:row>
    <x:row r="11" ht="46" customHeight="1">
      <x:c r="A11" s="20" t="str">
        <x:v>LC-L7</x:v>
      </x:c>
      <x:c r="B11" s="20" t="str">
        <x:v>Cơ thể và môi trường</x:v>
      </x:c>
      <x:c r="C11" s="20" t="n">
        <x:v>7</x:v>
      </x:c>
      <x:c r="D11" s="20" t="str">
        <x:v>F_REVIEW</x:v>
      </x:c>
      <x:c r="E11" s="20" t="str">
        <x:v>personal_report</x:v>
      </x:c>
      <x:c r="F11" s="20" t="str">
        <x:v>Mô tả hình thức, nhật ký sinh hoạt, giới hạn</x:v>
      </x:c>
      <x:c r="G11" s="20" t="str">
        <x:v>Quan sát và trao đổi chuyên môn phù hợp</x:v>
      </x:c>
    </x:row>
    <x:row r="12" ht="46" customHeight="1">
      <x:c r="A12" s="20" t="str">
        <x:v>LC-L8</x:v>
      </x:c>
      <x:c r="B12" s="20" t="str">
        <x:v>Hướng sống và phụng sự</x:v>
      </x:c>
      <x:c r="C12" s="20" t="n">
        <x:v>8</x:v>
      </x:c>
      <x:c r="D12" s="20" t="str">
        <x:v>F</x:v>
      </x:c>
      <x:c r="E12" s="20" t="str">
        <x:v>personal_report</x:v>
      </x:c>
      <x:c r="F12" s="20" t="str">
        <x:v>Hướng sống tự chọn, không nhiệm vụ linh hồn bắt buộc</x:v>
      </x:c>
      <x:c r="G12" s="20" t="str">
        <x:v>Thử nghiệm phụng sự và kế hoạch chuyển giao</x:v>
      </x:c>
    </x:row>
    <x:row r="13" ht="46" customHeight="1">
      <x:c r="A13" s="20" t="str">
        <x:v>LC-L9</x:v>
      </x:c>
      <x:c r="B13" s="20" t="str">
        <x:v>Hồ sơ đời sống hợp nhất</x:v>
      </x:c>
      <x:c r="C13" s="20" t="n">
        <x:v>9</x:v>
      </x:c>
      <x:c r="D13" s="20" t="str">
        <x:v>F</x:v>
      </x:c>
      <x:c r="E13" s="20" t="str">
        <x:v>personal_report</x:v>
      </x:c>
      <x:c r="F13" s="20" t="str">
        <x:v>Sách không lặp, lineage, điều chưa biết, revisions</x:v>
      </x:c>
      <x:c r="G13" s="20" t="str">
        <x:v>Hệ hành động và xem lại</x:v>
      </x:c>
    </x:row>
    <x:row r="14" ht="46" customHeight="1">
      <x:c r="A14" s="20" t="str">
        <x:v>LC-GUEST</x:v>
      </x:c>
      <x:c r="B14" s="20" t="str">
        <x:v>Công cụ không tài khoản</x:v>
      </x:c>
      <x:c r="C14" s="20"/>
      <x:c r="D14" s="20" t="str">
        <x:v>C</x:v>
      </x:c>
      <x:c r="E14" s="20" t="str">
        <x:v>free</x:v>
      </x:c>
      <x:c r="F14" s="20" t="str">
        <x:v>Công cụ deterministic tại thiết bị; không gửi tên/đuôi số vào analytics</x:v>
      </x:c>
      <x:c r="G14" s="20" t="str">
        <x:v>Không AI vô hạn; không lưu hồ sơ</x:v>
      </x:c>
    </x:row>
    <x:row r="15" ht="46" customHeight="1">
      <x:c r="A15" s="20" t="str">
        <x:v>LC-FREE</x:v>
      </x:c>
      <x:c r="B15" s="20" t="str">
        <x:v>Hồ sơ căn bản miễn phí</x:v>
      </x:c>
      <x:c r="C15" s="20"/>
      <x:c r="D15" s="20" t="str">
        <x:v>C</x:v>
      </x:c>
      <x:c r="E15" s="20" t="str">
        <x:v>free</x:v>
      </x:c>
      <x:c r="F15" s="20" t="str">
        <x:v>Một subject tự quản, một mục tiêu, nhật ký, Snapshot và quyền dữ liệu</x:v>
      </x:c>
      <x:c r="G15" s="20" t="str">
        <x:v>AI quota đề xuất; không giảm quyền export/delete</x:v>
      </x:c>
    </x:row>
    <x:row r="16" ht="46" customHeight="1">
      <x:c r="A16" s="20" t="str">
        <x:v>LC-COMPANION</x:v>
      </x:c>
      <x:c r="B16" s="20" t="str">
        <x:v>AI đồng hành</x:v>
      </x:c>
      <x:c r="C16" s="20"/>
      <x:c r="D16" s="20" t="str">
        <x:v>D</x:v>
      </x:c>
      <x:c r="E16" s="20" t="str">
        <x:v>subscription</x:v>
      </x:c>
      <x:c r="F16" s="20" t="str">
        <x:v>Hỏi báo cáo, kế hoạch, nhắc việc được phép, review mục tiêu</x:v>
      </x:c>
      <x:c r="G16" s="20" t="str">
        <x:v>Cấm dự báo nguy cơ từ số</x:v>
      </x:c>
    </x:row>
    <x:row r="17" ht="46" customHeight="1">
      <x:c r="A17" s="20" t="str">
        <x:v>LC-NUMBERS</x:v>
      </x:c>
      <x:c r="B17" s="20" t="str">
        <x:v>Bộ số và tên</x:v>
      </x:c>
      <x:c r="C17" s="20"/>
      <x:c r="D17" s="20" t="str">
        <x:v>C</x:v>
      </x:c>
      <x:c r="E17" s="20" t="str">
        <x:v>module</x:v>
      </x:c>
      <x:c r="F17" s="20" t="str">
        <x:v>Thẻ kết quả từng phương pháp; so sánh cấu trúc</x:v>
      </x:c>
      <x:c r="G17" s="20" t="str">
        <x:v>Không score đổi vận; PIN/OTP bị loại</x:v>
      </x:c>
    </x:row>
    <x:row r="18" ht="46" customHeight="1">
      <x:c r="A18" s="20" t="str">
        <x:v>LC-EXPERT</x:v>
      </x:c>
      <x:c r="B18" s="20" t="str">
        <x:v>Phiên chuyên gia</x:v>
      </x:c>
      <x:c r="C18" s="20"/>
      <x:c r="D18" s="20" t="str">
        <x:v>D</x:v>
      </x:c>
      <x:c r="E18" s="20" t="str">
        <x:v>session</x:v>
      </x:c>
      <x:c r="F18" s="20" t="str">
        <x:v>Thời lượng/scope/revision xác định; practitioner grant</x:v>
      </x:c>
      <x:c r="G18" s="20" t="str">
        <x:v>Không quyết thay client</x:v>
      </x:c>
    </x:row>
    <x:row r="19" ht="46" customHeight="1">
      <x:c r="A19" s="20" t="str">
        <x:v>LC-PRACTICE</x:v>
      </x:c>
      <x:c r="B19" s="20" t="str">
        <x:v>Không gian chuyên gia</x:v>
      </x:c>
      <x:c r="C19" s="20"/>
      <x:c r="D19" s="20" t="str">
        <x:v>E</x:v>
      </x:c>
      <x:c r="E19" s="20" t="str">
        <x:v>subscription</x:v>
      </x:c>
      <x:c r="F19" s="20" t="str">
        <x:v>Case, lịch, ghi chú, review, report</x:v>
      </x:c>
      <x:c r="G19" s="20" t="str">
        <x:v>Chỉ subject grants hợp lệ</x:v>
      </x:c>
    </x:row>
    <x:row r="20" ht="46" customHeight="1">
      <x:c r="A20" s="20" t="str">
        <x:v>LC-ACADEMY-FOUNDATION</x:v>
      </x:c>
      <x:c r="B20" s="20" t="str">
        <x:v>Khóa nền HNH chín buổi</x:v>
      </x:c>
      <x:c r="C20" s="20"/>
      <x:c r="D20" s="20" t="str">
        <x:v>E</x:v>
      </x:c>
      <x:c r="E20" s="20" t="str">
        <x:v>cohort</x:v>
      </x:c>
      <x:c r="F20" s="20" t="str">
        <x:v>9×120 phút, bài tập và đánh giá</x:v>
      </x:c>
      <x:c r="G20" s="20" t="str">
        <x:v>Chứng nhận nội bộ có phạm vi</x:v>
      </x:c>
    </x:row>
    <x:row r="21" ht="46" customHeight="1">
      <x:c r="A21" s="20" t="str">
        <x:v>LC-ACADEMY-PRO</x:v>
      </x:c>
      <x:c r="B21" s="20" t="str">
        <x:v>Đào tạo thực hành có giám sát</x:v>
      </x:c>
      <x:c r="C21" s="20"/>
      <x:c r="D21" s="20" t="str">
        <x:v>F</x:v>
      </x:c>
      <x:c r="E21" s="20" t="str">
        <x:v>cohort</x:v>
      </x:c>
      <x:c r="F21" s="20" t="str">
        <x:v>Supervised cases và ethics assessment</x:v>
      </x:c>
      <x:c r="G21" s="20" t="str">
        <x:v>Không cấp bằng lâm sàng</x:v>
      </x:c>
    </x:row>
    <x:row r="22" ht="46" customHeight="1">
      <x:c r="A22" s="20" t="str">
        <x:v>LC-ACADEMY-TRAINER</x:v>
      </x:c>
      <x:c r="B22" s="20" t="str">
        <x:v>Đào tạo giảng viên</x:v>
      </x:c>
      <x:c r="C22" s="20"/>
      <x:c r="D22" s="20" t="str">
        <x:v>F</x:v>
      </x:c>
      <x:c r="E22" s="20" t="str">
        <x:v>license</x:v>
      </x:c>
      <x:c r="F22" s="20" t="str">
        <x:v>Học liệu/version, dạy thử, quality review</x:v>
      </x:c>
      <x:c r="G22" s="20" t="str">
        <x:v>Quyền ngôn ngữ/lãnh thổ riêng</x:v>
      </x:c>
    </x:row>
    <x:row r="23" ht="46" customHeight="1">
      <x:c r="A23" s="20" t="str">
        <x:v>LC-FAMILY</x:v>
      </x:c>
      <x:c r="B23" s="20" t="str">
        <x:v>Gia đình có quyền riêng</x:v>
      </x:c>
      <x:c r="C23" s="20"/>
      <x:c r="D23" s="20" t="str">
        <x:v>E_F_REVIEW</x:v>
      </x:c>
      <x:c r="E23" s="20" t="str">
        <x:v>subscription</x:v>
      </x:c>
      <x:c r="F23" s="20" t="str">
        <x:v>Mục tiêu chung, chia sẻ người lớn; minor flow chưa mở</x:v>
      </x:c>
      <x:c r="G23" s="20" t="str">
        <x:v>Guardian/country gate riêng</x:v>
      </x:c>
    </x:row>
    <x:row r="24" ht="46" customHeight="1">
      <x:c r="A24" s="20" t="str">
        <x:v>LC-ORG</x:v>
      </x:c>
      <x:c r="B24" s="20" t="str">
        <x:v>Tổ chức và doanh nghiệp</x:v>
      </x:c>
      <x:c r="C24" s="20"/>
      <x:c r="D24" s="20" t="str">
        <x:v>F</x:v>
      </x:c>
      <x:c r="E24" s="20" t="str">
        <x:v>license</x:v>
      </x:c>
      <x:c r="F24" s="20" t="str">
        <x:v>Vai trò, học tập, mục tiêu, projects, aggregates phù hợp</x:v>
      </x:c>
      <x:c r="G24" s="20" t="str">
        <x:v>Không hiring/credit scoring từ biểu tượng</x:v>
      </x:c>
    </x:row>
    <x:row r="25" ht="46" customHeight="1">
      <x:c r="A25" s="20" t="str">
        <x:v>LC-API</x:v>
      </x:c>
      <x:c r="B25" s="20" t="str">
        <x:v>API cấp phép</x:v>
      </x:c>
      <x:c r="C25" s="20"/>
      <x:c r="D25" s="20" t="str">
        <x:v>F</x:v>
      </x:c>
      <x:c r="E25" s="20" t="str">
        <x:v>usage</x:v>
      </x:c>
      <x:c r="F25" s="20" t="str">
        <x:v>Tenant/purpose scoped API, quota, method versions</x:v>
      </x:c>
      <x:c r="G25" s="20" t="str">
        <x:v>Không bulk private profiling</x:v>
      </x:c>
    </x:row>
    <x:row r="26" ht="46" customHeight="1">
      <x:c r="A26" s="20" t="str">
        <x:v>LC-PUBLISH</x:v>
      </x:c>
      <x:c r="B26" s="20" t="str">
        <x:v>Xuất bản và bộ sách</x:v>
      </x:c>
      <x:c r="C26" s="20"/>
      <x:c r="D26" s="20" t="str">
        <x:v>D</x:v>
      </x:c>
      <x:c r="E26" s="20" t="str">
        <x:v>one_time</x:v>
      </x:c>
      <x:c r="F26" s="20" t="str">
        <x:v>Snapshot và exports theo scope</x:v>
      </x:c>
      <x:c r="G26" s="20" t="str">
        <x:v>Không bảo đảm600trang mỗi hồ sơ</x:v>
      </x:c>
    </x:row>
    <x:row r="27" ht="46" customHeight="1">
      <x:c r="A27" s="20" t="str">
        <x:v>LC-REGIONAL</x:v>
      </x:c>
      <x:c r="B27" s="20" t="str">
        <x:v>Cấp phép quốc gia/nhượng quyền</x:v>
      </x:c>
      <x:c r="C27" s="20"/>
      <x:c r="D27" s="20" t="str">
        <x:v>F_LEGAL</x:v>
      </x:c>
      <x:c r="E27" s="20" t="str">
        <x:v>contract</x:v>
      </x:c>
      <x:c r="F27" s="20" t="str">
        <x:v>Brand/curriculum/software scope và continuity</x:v>
      </x:c>
      <x:c r="G27" s="20" t="str">
        <x:v>Không mở lãnh thổ trước legal gate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f5bd51cd3054692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58" hidden="0" customWidth="1"/>
    <x:col min="4" max="4" width="30" hidden="0" customWidth="1"/>
    <x:col min="5" max="5" width="47" hidden="0" customWidth="1"/>
    <x:col min="6" max="6" width="17" hidden="0" customWidth="1"/>
    <x:col min="7" max="7" width="78" hidden="0" customWidth="1"/>
  </x:cols>
  <x:sheetData>
    <x:row r="1" ht="34" customHeight="1">
      <x:c r="A1" s="3" t="str">
        <x:v>30 điểm đối chiếu nguồn → đích</x:v>
      </x:c>
      <x:c r="B1" s="3"/>
      <x:c r="C1" s="3"/>
      <x:c r="D1" s="3"/>
      <x:c r="E1" s="3"/>
      <x:c r="F1" s="3"/>
      <x:c r="G1" s="3"/>
    </x:row>
    <x:row r="2" ht="33" customHeight="1">
      <x:c r="A2" s="7" t="str">
        <x:v>PUBLIC_CONTENT không phải deployed SHA. Đọc source evidence register trước khi nhận định runtime.</x:v>
      </x:c>
      <x:c r="B2" s="7"/>
      <x:c r="C2" s="7"/>
      <x:c r="D2" s="7"/>
      <x:c r="E2" s="7"/>
      <x:c r="F2" s="7"/>
      <x:c r="G2" s="7"/>
    </x:row>
    <x:row r="4" ht="28" customHeight="1">
      <x:c r="A4" s="16" t="str">
        <x:v>Mã</x:v>
      </x:c>
      <x:c r="B4" s="16" t="str">
        <x:v>Bề mặt</x:v>
      </x:c>
      <x:c r="C4" s="16" t="str">
        <x:v>Tệp nguồn</x:v>
      </x:c>
      <x:c r="D4" s="16" t="str">
        <x:v>Xử lý</x:v>
      </x:c>
      <x:c r="E4" s="16" t="str">
        <x:v>Đích</x:v>
      </x:c>
      <x:c r="F4" s="16" t="str">
        <x:v>Task</x:v>
      </x:c>
      <x:c r="G4" s="16" t="str">
        <x:v>Tiêu chí</x:v>
      </x:c>
    </x:row>
    <x:row r="5" ht="46" customHeight="1">
      <x:c r="A5" s="20" t="str">
        <x:v>MAP-01</x:v>
      </x:c>
      <x:c r="B5" s="20" t="str">
        <x:v>/</x:v>
      </x:c>
      <x:c r="C5" s="20" t="str">
        <x:v>index.html</x:v>
      </x:c>
      <x:c r="D5" s="20" t="str">
        <x:v>KEEP_REWRITE</x:v>
      </x:c>
      <x:c r="E5" s="20" t="str">
        <x:v>/</x:v>
      </x:c>
      <x:c r="F5" s="20" t="str">
        <x:v>WEB-01</x:v>
      </x:c>
      <x:c r="G5" s="20" t="str">
        <x:v>Remove absoluteprediction and fake score proof; clarify launchscope</x:v>
      </x:c>
    </x:row>
    <x:row r="6" ht="46" customHeight="1">
      <x:c r="A6" s="20" t="str">
        <x:v>MAP-02</x:v>
      </x:c>
      <x:c r="B6" s="20" t="str">
        <x:v>/gioi-thieu</x:v>
      </x:c>
      <x:c r="C6" s="20" t="str">
        <x:v>gioi-thieu.html</x:v>
      </x:c>
      <x:c r="D6" s="20" t="str">
        <x:v>REWRITE</x:v>
      </x:c>
      <x:c r="E6" s="20" t="str">
        <x:v>/gioi-thieu</x:v>
      </x:c>
      <x:c r="F6" s="20" t="str">
        <x:v>WEB-01</x:v>
      </x:c>
      <x:c r="G6" s="20" t="str">
        <x:v>Founder selfdeclared expertise vsverified credential distinguished</x:v>
      </x:c>
    </x:row>
    <x:row r="7" ht="46" customHeight="1">
      <x:c r="A7" s="20" t="str">
        <x:v>MAP-03</x:v>
      </x:c>
      <x:c r="B7" s="20" t="str">
        <x:v>/he-thong-life-code</x:v>
      </x:c>
      <x:c r="C7" s="20" t="str">
        <x:v>he-thong-life-code.html</x:v>
      </x:c>
      <x:c r="D7" s="20" t="str">
        <x:v>REWRITE</x:v>
      </x:c>
      <x:c r="E7" s="20" t="str">
        <x:v>/he-thong-life-code</x:v>
      </x:c>
      <x:c r="F7" s="20" t="str">
        <x:v>GOV-02</x:v>
      </x:c>
      <x:c r="G7" s="20" t="str">
        <x:v>Correct typedclaims/12layers/9products/unknown handling</x:v>
      </x:c>
    </x:row>
    <x:row r="8" ht="46" customHeight="1">
      <x:c r="A8" s="20" t="str">
        <x:v>MAP-04</x:v>
      </x:c>
      <x:c r="B8" s="20" t="str">
        <x:v>/9-levels-life-code</x:v>
      </x:c>
      <x:c r="C8" s="20" t="str">
        <x:v>9-levels-life-code.html</x:v>
      </x:c>
      <x:c r="D8" s="20" t="str">
        <x:v>REWRITE</x:v>
      </x:c>
      <x:c r="E8" s="20" t="str">
        <x:v>/9-levels-life-code</x:v>
      </x:c>
      <x:c r="F8" s="20" t="str">
        <x:v>GOV-09</x:v>
      </x:c>
      <x:c r="G8" s="20" t="str">
        <x:v>DAG eligibility; page budget notevidence; scope release</x:v>
      </x:c>
    </x:row>
    <x:row r="9" ht="46" customHeight="1">
      <x:c r="A9" s="20" t="str">
        <x:v>MAP-05</x:v>
      </x:c>
      <x:c r="B9" s="20" t="str">
        <x:v>/life-code-index</x:v>
      </x:c>
      <x:c r="C9" s="20" t="str">
        <x:v>life-code-index.html</x:v>
      </x:c>
      <x:c r="D9" s="20" t="str">
        <x:v>DEPRECATE_LEGACY_COPY</x:v>
      </x:c>
      <x:c r="E9" s="20" t="str">
        <x:v>/life-code-index</x:v>
      </x:c>
      <x:c r="F9" s="20" t="str">
        <x:v>METHOD-07</x:v>
      </x:c>
      <x:c r="G9" s="20" t="str">
        <x:v>Nulls; no clientdenominator/inbornpersonscore</x:v>
      </x:c>
    </x:row>
    <x:row r="10" ht="46" customHeight="1">
      <x:c r="A10" s="20" t="str">
        <x:v>MAP-06</x:v>
      </x:c>
      <x:c r="B10" s="20" t="str">
        <x:v>/timeline-cuoc-doi</x:v>
      </x:c>
      <x:c r="C10" s="20" t="str">
        <x:v>timeline-cuoc-doi.html</x:v>
      </x:c>
      <x:c r="D10" s="20" t="str">
        <x:v>REWRITE</x:v>
      </x:c>
      <x:c r="E10" s="20" t="str">
        <x:v>/timeline-cuoc-doi</x:v>
      </x:c>
      <x:c r="F10" s="20" t="str">
        <x:v>METHOD-08</x:v>
      </x:c>
      <x:c r="G10" s="20" t="str">
        <x:v>History/symbolic/plan/model tracks; no seedrisk</x:v>
      </x:c>
    </x:row>
    <x:row r="11" ht="46" customHeight="1">
      <x:c r="A11" s="20" t="str">
        <x:v>MAP-07</x:v>
      </x:c>
      <x:c r="B11" s="20" t="str">
        <x:v>/bao-cao-life-code</x:v>
      </x:c>
      <x:c r="C11" s="20" t="str">
        <x:v>bao-cao-life-code.html</x:v>
      </x:c>
      <x:c r="D11" s="20" t="str">
        <x:v>REWRITE</x:v>
      </x:c>
      <x:c r="E11" s="20" t="str">
        <x:v>/bao-cao-life-code</x:v>
      </x:c>
      <x:c r="F11" s="20" t="str">
        <x:v>REPORT-01</x:v>
      </x:c>
      <x:c r="G11" s="20" t="str">
        <x:v>Structuredsnapshot/version; pagecounts conditional</x:v>
      </x:c>
    </x:row>
    <x:row r="12" ht="46" customHeight="1">
      <x:c r="A12" s="20" t="str">
        <x:v>MAP-08</x:v>
      </x:c>
      <x:c r="B12" s="20" t="str">
        <x:v>/bat-dau</x:v>
      </x:c>
      <x:c r="C12" s="20" t="str">
        <x:v>bat-dau.html</x:v>
      </x:c>
      <x:c r="D12" s="20" t="str">
        <x:v>CONTAIN_THEN_REPLACE</x:v>
      </x:c>
      <x:c r="E12" s="20" t="str">
        <x:v>/app/start</x:v>
      </x:c>
      <x:c r="F12" s="20" t="str">
        <x:v>P0-03</x:v>
      </x:c>
      <x:c r="G12" s="20" t="str">
        <x:v>Stop hardcoded scores and unsafe session</x:v>
      </x:c>
    </x:row>
    <x:row r="13" ht="46" customHeight="1">
      <x:c r="A13" s="20" t="str">
        <x:v>MAP-09</x:v>
      </x:c>
      <x:c r="B13" s="20" t="str">
        <x:v>/dashboard</x:v>
      </x:c>
      <x:c r="C13" s="20" t="str">
        <x:v>dashboard.html</x:v>
      </x:c>
      <x:c r="D13" s="20" t="str">
        <x:v>CONTAIN_THEN_REPLACE</x:v>
      </x:c>
      <x:c r="E13" s="20" t="str">
        <x:v>/app/dashboard</x:v>
      </x:c>
      <x:c r="F13" s="20" t="str">
        <x:v>WEB-06</x:v>
      </x:c>
      <x:c r="G13" s="20" t="str">
        <x:v>Privateauth goalsfirst, no pseudo-riskdials</x:v>
      </x:c>
    </x:row>
    <x:row r="14" ht="46" customHeight="1">
      <x:c r="A14" s="20" t="str">
        <x:v>MAP-10</x:v>
      </x:c>
      <x:c r="B14" s="20" t="str">
        <x:v>/account</x:v>
      </x:c>
      <x:c r="C14" s="20" t="str">
        <x:v>account.html</x:v>
      </x:c>
      <x:c r="D14" s="20" t="str">
        <x:v>CONTAIN_THEN_REPLACE</x:v>
      </x:c>
      <x:c r="E14" s="20" t="str">
        <x:v>/app/settings</x:v>
      </x:c>
      <x:c r="F14" s="20" t="str">
        <x:v>TRUST-01</x:v>
      </x:c>
      <x:c r="G14" s="20" t="str">
        <x:v>Session/authmodel not clientuser_id</x:v>
      </x:c>
    </x:row>
    <x:row r="15" ht="46" customHeight="1">
      <x:c r="A15" s="20" t="str">
        <x:v>MAP-11</x:v>
      </x:c>
      <x:c r="B15" s="20" t="str">
        <x:v>/engine-lab</x:v>
      </x:c>
      <x:c r="C15" s="20" t="str">
        <x:v>engine-lab.html</x:v>
      </x:c>
      <x:c r="D15" s="20" t="str">
        <x:v>RESTRICT</x:v>
      </x:c>
      <x:c r="E15" s="20" t="str">
        <x:v>/internal/engine-lab</x:v>
      </x:c>
      <x:c r="F15" s="20" t="str">
        <x:v>P0-05</x:v>
      </x:c>
      <x:c r="G15" s="20" t="str">
        <x:v>Serveraccess allowlist; hidealone insufficient</x:v>
      </x:c>
    </x:row>
    <x:row r="16" ht="46" customHeight="1">
      <x:c r="A16" s="20" t="str">
        <x:v>MAP-12</x:v>
      </x:c>
      <x:c r="B16" s="20" t="str">
        <x:v>/chinh-sach-bao-mat</x:v>
      </x:c>
      <x:c r="C16" s="20" t="str">
        <x:v>chinh-sach-bao-mat.html</x:v>
      </x:c>
      <x:c r="D16" s="20" t="str">
        <x:v>REWRITE_AND_IMPLEMENT</x:v>
      </x:c>
      <x:c r="E16" s="20" t="str">
        <x:v>/chinh-sach-bao-mat</x:v>
      </x:c>
      <x:c r="F16" s="20" t="str">
        <x:v>GOV-04</x:v>
      </x:c>
      <x:c r="G16" s="20" t="str">
        <x:v>Deletion/export not futurepromise</x:v>
      </x:c>
    </x:row>
    <x:row r="17" ht="46" customHeight="1">
      <x:c r="A17" s="20" t="str">
        <x:v>MAP-13</x:v>
      </x:c>
      <x:c r="B17" s="20" t="str">
        <x:v>/dieu-khoan-su-dung</x:v>
      </x:c>
      <x:c r="C17" s="20" t="str">
        <x:v>dieu-khoan-su-dung.html</x:v>
      </x:c>
      <x:c r="D17" s="20" t="str">
        <x:v>LEGAL_REVIEW</x:v>
      </x:c>
      <x:c r="E17" s="20" t="str">
        <x:v>/dieu-khoan-su-dung</x:v>
      </x:c>
      <x:c r="F17" s="20" t="str">
        <x:v>GOV-05</x:v>
      </x:c>
      <x:c r="G17" s="20" t="str">
        <x:v>VN2026AI/TMĐT/privacy scope current</x:v>
      </x:c>
    </x:row>
    <x:row r="18" ht="46" customHeight="1">
      <x:c r="A18" s="20" t="str">
        <x:v>MAP-14</x:v>
      </x:c>
      <x:c r="B18" s="20" t="str">
        <x:v>/ban-quyen-so-huu-tri-tue</x:v>
      </x:c>
      <x:c r="C18" s="20" t="str">
        <x:v>ban-quyen-so-huu-tri-tue.html</x:v>
      </x:c>
      <x:c r="D18" s="20" t="str">
        <x:v>RIGHTS_REVIEW</x:v>
      </x:c>
      <x:c r="E18" s="20" t="str">
        <x:v>/ban-quyen-so-huu-tri-tue</x:v>
      </x:c>
      <x:c r="F18" s="20" t="str">
        <x:v>GOV-07</x:v>
      </x:c>
      <x:c r="G18" s="20" t="str">
        <x:v>Method ideas notall owned, thirdparty expression licensed</x:v>
      </x:c>
    </x:row>
    <x:row r="19" ht="46" customHeight="1">
      <x:c r="A19" s="20" t="str">
        <x:v>MAP-15</x:v>
      </x:c>
      <x:c r="B19" s="20" t="str">
        <x:v>/cau-hoi-thuong-gap</x:v>
      </x:c>
      <x:c r="C19" s="20" t="str">
        <x:v>cau-hoi-thuong-gap.html</x:v>
      </x:c>
      <x:c r="D19" s="20" t="str">
        <x:v>REWRITE</x:v>
      </x:c>
      <x:c r="E19" s="20" t="str">
        <x:v>/cau-hoi-thuong-gap</x:v>
      </x:c>
      <x:c r="F19" s="20" t="str">
        <x:v>WEB-01</x:v>
      </x:c>
      <x:c r="G19" s="20" t="str">
        <x:v>Free data rights/prices unknown scope and AI disclosure</x:v>
      </x:c>
    </x:row>
    <x:row r="20" ht="46" customHeight="1">
      <x:c r="A20" s="20" t="str">
        <x:v>MAP-16</x:v>
      </x:c>
      <x:c r="B20" s="20" t="str">
        <x:v>/lien-he</x:v>
      </x:c>
      <x:c r="C20" s="20" t="str">
        <x:v>lien-he.html</x:v>
      </x:c>
      <x:c r="D20" s="20" t="str">
        <x:v>REWRITE</x:v>
      </x:c>
      <x:c r="E20" s="20" t="str">
        <x:v>/lien-he</x:v>
      </x:c>
      <x:c r="F20" s="20" t="str">
        <x:v>COMMERCE-08</x:v>
      </x:c>
      <x:c r="G20" s="20" t="str">
        <x:v>Support/rights channel real beforepublic promise</x:v>
      </x:c>
    </x:row>
    <x:row r="21" ht="46" customHeight="1">
      <x:c r="A21" s="20" t="str">
        <x:v>MAP-17</x:v>
      </x:c>
      <x:c r="B21" s="20" t="str">
        <x:v>/api/v1/profile/:id</x:v>
      </x:c>
      <x:c r="C21" s="20" t="str">
        <x:v>workers/life-code-api/src/index.js</x:v>
      </x:c>
      <x:c r="D21" s="20" t="str">
        <x:v>DISABLE_THEN_RETIRE</x:v>
      </x:c>
      <x:c r="E21" s="20" t="str">
        <x:v>/api/v2/subjects/{subjectId}</x:v>
      </x:c>
      <x:c r="F21" s="20" t="str">
        <x:v>P0-03</x:v>
      </x:c>
      <x:c r="G21" s="20" t="str">
        <x:v>No rawID access; objectgrant</x:v>
      </x:c>
    </x:row>
    <x:row r="22" ht="46" customHeight="1">
      <x:c r="A22" s="20" t="str">
        <x:v>MAP-18</x:v>
      </x:c>
      <x:c r="B22" s="20" t="str">
        <x:v>/api/v1/session/start</x:v>
      </x:c>
      <x:c r="C22" s="20" t="str">
        <x:v>workers/life-code-api/src/index.js</x:v>
      </x:c>
      <x:c r="D22" s="20" t="str">
        <x:v>DISABLE_THEN_RETIRE</x:v>
      </x:c>
      <x:c r="E22" s="20" t="str">
        <x:v>/api/v2/auth/login</x:v>
      </x:c>
      <x:c r="F22" s="20" t="str">
        <x:v>P0-04</x:v>
      </x:c>
      <x:c r="G22" s="20" t="str">
        <x:v>No clientasserted identity</x:v>
      </x:c>
    </x:row>
    <x:row r="23" ht="46" customHeight="1">
      <x:c r="A23" s="20" t="str">
        <x:v>MAP-19</x:v>
      </x:c>
      <x:c r="B23" s="20" t="str">
        <x:v>/api/v1/report</x:v>
      </x:c>
      <x:c r="C23" s="20" t="str">
        <x:v>workers/life-code-api/src/index.js</x:v>
      </x:c>
      <x:c r="D23" s="20" t="str">
        <x:v>DISABLE_THEN_ADAPT</x:v>
      </x:c>
      <x:c r="E23" s="20" t="str">
        <x:v>/api/v2/reports</x:v>
      </x:c>
      <x:c r="F23" s="20" t="str">
        <x:v>API-06</x:v>
      </x:c>
      <x:c r="G23" s="20" t="str">
        <x:v>Subject+result ownerbound, no bypassfallback</x:v>
      </x:c>
    </x:row>
    <x:row r="24" ht="46" customHeight="1">
      <x:c r="A24" s="20" t="str">
        <x:v>MAP-20</x:v>
      </x:c>
      <x:c r="B24" s="20" t="str">
        <x:v>/api/v1/lci</x:v>
      </x:c>
      <x:c r="C24" s="20" t="str">
        <x:v>workers/life-code-api/src/engine.mjs</x:v>
      </x:c>
      <x:c r="D24" s="20" t="str">
        <x:v>QUARANTINE</x:v>
      </x:c>
      <x:c r="E24" s="20" t="str">
        <x:v>/api/v2/analysis-runs</x:v>
      </x:c>
      <x:c r="F24" s="20" t="str">
        <x:v>METHOD-07</x:v>
      </x:c>
      <x:c r="G24" s="20" t="str">
        <x:v>No legacy weightedfake metric</x:v>
      </x:c>
    </x:row>
    <x:row r="25" ht="46" customHeight="1">
      <x:c r="A25" s="20" t="str">
        <x:v>MAP-21</x:v>
      </x:c>
      <x:c r="B25" s="20" t="str">
        <x:v>/api/v1/timeline</x:v>
      </x:c>
      <x:c r="C25" s="20" t="str">
        <x:v>engine/core/timeline.js</x:v>
      </x:c>
      <x:c r="D25" s="20" t="str">
        <x:v>QUARANTINE</x:v>
      </x:c>
      <x:c r="E25" s="20" t="str">
        <x:v>/api/v2/subjects/{subjectId}/timeline</x:v>
      </x:c>
      <x:c r="F25" s="20" t="str">
        <x:v>METHOD-08</x:v>
      </x:c>
      <x:c r="G25" s="20" t="str">
        <x:v>Sinseed unavailable public</x:v>
      </x:c>
    </x:row>
    <x:row r="26" ht="46" customHeight="1">
      <x:c r="A26" s="20" t="str">
        <x:v>MAP-22</x:v>
      </x:c>
      <x:c r="B26" s="20" t="str">
        <x:v>/api/v1/life-code-data</x:v>
      </x:c>
      <x:c r="C26" s="20" t="str">
        <x:v>workers/life-code-api/src/index.js</x:v>
      </x:c>
      <x:c r="D26" s="20" t="str">
        <x:v>RETIRE_LEGACY_WRITE</x:v>
      </x:c>
      <x:c r="E26" s="20" t="str">
        <x:v>/api/v2/analysis-runs</x:v>
      </x:c>
      <x:c r="F26" s="20" t="str">
        <x:v>API-03</x:v>
      </x:c>
      <x:c r="G26" s="20" t="str">
        <x:v>Typedresult, validatedserver methods</x:v>
      </x:c>
    </x:row>
    <x:row r="27" ht="46" customHeight="1">
      <x:c r="A27" s="20" t="str">
        <x:v>MAP-23</x:v>
      </x:c>
      <x:c r="B27" s="20" t="str">
        <x:v>BUILD</x:v>
      </x:c>
      <x:c r="C27" s="20" t="str">
        <x:v>scripts/prepare-pages.sh</x:v>
      </x:c>
      <x:c r="D27" s="20" t="str">
        <x:v>REPLACE</x:v>
      </x:c>
      <x:c r="E27" s="20" t="str">
        <x:v>apps/public-web/build</x:v>
      </x:c>
      <x:c r="F27" s="20" t="str">
        <x:v>OPS-02</x:v>
      </x:c>
      <x:c r="G27" s="20" t="str">
        <x:v>Publicallowlist notdenylist</x:v>
      </x:c>
    </x:row>
    <x:row r="28" ht="46" customHeight="1">
      <x:c r="A28" s="20" t="str">
        <x:v>MAP-24</x:v>
      </x:c>
      <x:c r="B28" s="20" t="str">
        <x:v>CI</x:v>
      </x:c>
      <x:c r="C28" s="20" t="str">
        <x:v>.github/workflows/deploy-pages.yml</x:v>
      </x:c>
      <x:c r="D28" s="20" t="str">
        <x:v>REPLACE</x:v>
      </x:c>
      <x:c r="E28" s="20" t="str">
        <x:v>ci/release-policy</x:v>
      </x:c>
      <x:c r="F28" s="20" t="str">
        <x:v>OPS-01</x:v>
      </x:c>
      <x:c r="G28" s="20" t="str">
        <x:v>No dirtydeploy; manifest andgate beforedelivery</x:v>
      </x:c>
    </x:row>
    <x:row r="29" ht="46" customHeight="1">
      <x:c r="A29" s="20" t="str">
        <x:v>MAP-25</x:v>
      </x:c>
      <x:c r="B29" s="20" t="str">
        <x:v>CI-WORKER</x:v>
      </x:c>
      <x:c r="C29" s="20" t="str">
        <x:v>.github/workflows/deploy-worker.yml</x:v>
      </x:c>
      <x:c r="D29" s="20" t="str">
        <x:v>REVIEW</x:v>
      </x:c>
      <x:c r="E29" s="20" t="str">
        <x:v>ci/worker-release</x:v>
      </x:c>
      <x:c r="F29" s="20" t="str">
        <x:v>OPS-03</x:v>
      </x:c>
      <x:c r="G29" s="20" t="str">
        <x:v>Separate receipt Worker andPages</x:v>
      </x:c>
    </x:row>
    <x:row r="30" ht="46" customHeight="1">
      <x:c r="A30" s="20" t="str">
        <x:v>MAP-26</x:v>
      </x:c>
      <x:c r="B30" s="20" t="str">
        <x:v>METHOD-CORE</x:v>
      </x:c>
      <x:c r="C30" s="20" t="str">
        <x:v>engine/core + workers/life-code-api/src/engine.mjs</x:v>
      </x:c>
      <x:c r="D30" s="20" t="str">
        <x:v>CONSOLIDATE</x:v>
      </x:c>
      <x:c r="E30" s="20" t="str">
        <x:v>packages/method-core</x:v>
      </x:c>
      <x:c r="F30" s="20" t="str">
        <x:v>METHOD-10</x:v>
      </x:c>
      <x:c r="G30" s="20" t="str">
        <x:v>Singleimplementation noUI copy</x:v>
      </x:c>
    </x:row>
    <x:row r="31" ht="46" customHeight="1">
      <x:c r="A31" s="20" t="str">
        <x:v>MAP-27</x:v>
      </x:c>
      <x:c r="B31" s="20" t="str">
        <x:v>DB</x:v>
      </x:c>
      <x:c r="C31" s="20" t="str">
        <x:v>workers/life-code-api/migrations</x:v>
      </x:c>
      <x:c r="D31" s="20" t="str">
        <x:v>MIGRATE_CONTROLLED</x:v>
      </x:c>
      <x:c r="E31" s="20" t="str">
        <x:v>database/migrations</x:v>
      </x:c>
      <x:c r="F31" s="20" t="str">
        <x:v>DATA-04</x:v>
      </x:c>
      <x:c r="G31" s="20" t="str">
        <x:v>CurrentD1 not PG, validownership beforemigration</x:v>
      </x:c>
    </x:row>
    <x:row r="32" ht="46" customHeight="1">
      <x:c r="A32" s="20" t="str">
        <x:v>MAP-28</x:v>
      </x:c>
      <x:c r="B32" s="20" t="str">
        <x:v>DOCS</x:v>
      </x:c>
      <x:c r="C32" s="20" t="str">
        <x:v>docs/LEVELS_ARCHITECTURE_V1.md</x:v>
      </x:c>
      <x:c r="D32" s="20" t="str">
        <x:v>SUPERSEDE_AFTER_APPROVAL</x:v>
      </x:c>
      <x:c r="E32" s="20" t="str">
        <x:v>specs/products/NINE_LEVELS</x:v>
      </x:c>
      <x:c r="F32" s="20" t="str">
        <x:v>GOV-01</x:v>
      </x:c>
      <x:c r="G32" s="20" t="str">
        <x:v>Sequentialstronggating explicitlydeprecated</x:v>
      </x:c>
    </x:row>
    <x:row r="33" ht="46" customHeight="1">
      <x:c r="A33" s="20" t="str">
        <x:v>MAP-29</x:v>
      </x:c>
      <x:c r="B33" s="20" t="str">
        <x:v>DOCS</x:v>
      </x:c>
      <x:c r="C33" s="20" t="str">
        <x:v>docs/audit/LIFE_CODE_OS_COMPREHENSIVE_UPGRADE_PLAN_2026-10-11.md</x:v>
      </x:c>
      <x:c r="D33" s="20" t="str">
        <x:v>RECONCILE</x:v>
      </x:c>
      <x:c r="E33" s="20" t="str">
        <x:v>docs/master</x:v>
      </x:c>
      <x:c r="F33" s="20" t="str">
        <x:v>GOV-01</x:v>
      </x:c>
      <x:c r="G33" s="20" t="str">
        <x:v>Newbranch plan notproof runtimefix</x:v>
      </x:c>
    </x:row>
    <x:row r="34" ht="46" customHeight="1">
      <x:c r="A34" s="20" t="str">
        <x:v>MAP-30</x:v>
      </x:c>
      <x:c r="B34" s="20" t="str">
        <x:v>STATUS</x:v>
      </x:c>
      <x:c r="C34" s="20" t="str">
        <x:v>PROJECT_STATUS_MASTER.md</x:v>
      </x:c>
      <x:c r="D34" s="20" t="str">
        <x:v>CORRECT_EVIDENCE</x:v>
      </x:c>
      <x:c r="E34" s="20" t="str">
        <x:v>docs/status</x:v>
      </x:c>
      <x:c r="F34" s="20" t="str">
        <x:v>P0-02</x:v>
      </x:c>
      <x:c r="G34" s="20" t="str">
        <x:v>No subjective90–95% readiness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248a76a3c1274a0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44" hidden="0" customWidth="1"/>
    <x:col min="3" max="3" width="100" hidden="0" customWidth="1"/>
    <x:col min="4" max="4" width="74" hidden="0" customWidth="1"/>
    <x:col min="5" max="5" width="74" hidden="0" customWidth="1"/>
  </x:cols>
  <x:sheetData>
    <x:row r="1" ht="34" customHeight="1">
      <x:c r="A1" s="3" t="str">
        <x:v>53 nguồn đối chiếu</x:v>
      </x:c>
      <x:c r="B1" s="3"/>
      <x:c r="C1" s="3"/>
      <x:c r="D1" s="3"/>
      <x:c r="E1" s="3"/>
    </x:row>
    <x:row r="2" ht="33" customHeight="1">
      <x:c r="A2" s="7" t="str">
        <x:v>Nguồn theo SHA; nội dung công khai; tài liệu chính thức. Mức đã đọc và giới hạn có ghi riêng.</x:v>
      </x:c>
      <x:c r="B2" s="7"/>
      <x:c r="C2" s="7"/>
      <x:c r="D2" s="7"/>
      <x:c r="E2" s="7"/>
    </x:row>
    <x:row r="4" ht="28" customHeight="1">
      <x:c r="A4" s="16" t="str">
        <x:v>ID</x:v>
      </x:c>
      <x:c r="B4" s="16" t="str">
        <x:v>Tên</x:v>
      </x:c>
      <x:c r="C4" s="16" t="str">
        <x:v>URL</x:v>
      </x:c>
      <x:c r="D4" s="16" t="str">
        <x:v>Phạm vi đã tiếp cận</x:v>
      </x:c>
      <x:c r="E4" s="16" t="str">
        <x:v>Giới hạn</x:v>
      </x:c>
    </x:row>
    <x:row r="5" ht="46" customHeight="1">
      <x:c r="A5" s="20" t="str">
        <x:v>G01</x:v>
      </x:c>
      <x:c r="B5" s="20" t="str">
        <x:v>Remote branches</x:v>
      </x:c>
      <x:c r="C5" s="20" t="str">
        <x:v>https://api.github.com/repos/tranhatam-collab/Life-Code-OS/branches?per_page=100</x:v>
      </x:c>
      <x:c r="D5" s="20" t="str">
        <x:v>GitHub connector GET; đọc danh sách nhánh</x:v>
      </x:c>
      <x:c r="E5" s="20" t="str">
        <x:v>Không phải deployed SHA</x:v>
      </x:c>
    </x:row>
    <x:row r="6" ht="46" customHeight="1">
      <x:c r="A6" s="20" t="str">
        <x:v>G02</x:v>
      </x:c>
      <x:c r="B6" s="20" t="str">
        <x:v>Kế hoạch audit 1.096 dòng</x:v>
      </x:c>
      <x:c r="C6" s="20" t="str">
        <x:v>https://github.com/tranhatam-collab/Life-Code-OS/blob/336ef35a8386a744c6de18a7f7c6e268e89e6dac/docs/audit/LIFE_CODE_OS_COMPREHENSIVE_UPGRADE_PLAN_2026-10-11.md</x:v>
      </x:c>
      <x:c r="D6" s="20" t="str">
        <x:v>Đọc các dải nội dung toàn tài liệu qua GitHub; trạng thái PROPOSED_FOR_TEAM_AUDIT</x:v>
      </x:c>
      <x:c r="E6" s="20" t="str">
        <x:v>Các kết quả live của tác giả audit là nguồn khai báo, không mặc nhiên là đo lại trong phiên này</x:v>
      </x:c>
    </x:row>
    <x:row r="7" ht="46" customHeight="1">
      <x:c r="A7" s="20" t="str">
        <x:v>G03</x:v>
      </x:c>
      <x:c r="B7" s="20" t="str">
        <x:v>Kiến trúc 9 level cũ</x:v>
      </x:c>
      <x:c r="C7" s="20" t="str">
        <x:v>https://github.com/tranhatam-collab/Life-Code-OS/blob/99b402764437f81859fa0cd3a3af860125f7bd52/docs/LEVELS_ARCHITECTURE_V1.md</x:v>
      </x:c>
      <x:c r="D7" s="20" t="str">
        <x:v>Đã đọc nội dung</x:v>
      </x:c>
      <x:c r="E7" s="20" t="str"/>
    </x:row>
    <x:row r="8" ht="46" customHeight="1">
      <x:c r="A8" s="20" t="str">
        <x:v>G04</x:v>
      </x:c>
      <x:c r="B8" s="20" t="str">
        <x:v>API routes: profile và session</x:v>
      </x:c>
      <x:c r="C8" s="20" t="str">
        <x:v>https://github.com/tranhatam-collab/Life-Code-OS/blob/99b402764437f81859fa0cd3a3af860125f7bd52/workers/life-code-api/src/index.js#L653-L760</x:v>
      </x:c>
      <x:c r="D8" s="20" t="str">
        <x:v>Đọc nhánh xử lý mã remote</x:v>
      </x:c>
      <x:c r="E8" s="20" t="str">
        <x:v>Không thử lấy hồ sơ người thật; không xác nhận exploit runtime</x:v>
      </x:c>
    </x:row>
    <x:row r="9" ht="46" customHeight="1">
      <x:c r="A9" s="20" t="str">
        <x:v>G05</x:v>
      </x:c>
      <x:c r="B9" s="20" t="str">
        <x:v>LCI legacy</x:v>
      </x:c>
      <x:c r="C9" s="20" t="str">
        <x:v>https://github.com/tranhatam-collab/Life-Code-OS/blob/99b402764437f81859fa0cd3a3af860125f7bd52/engine/core/lci.js</x:v>
      </x:c>
      <x:c r="D9" s="20" t="str">
        <x:v>Đã đọc trong audit đối chiếu của chuỗi trao đổi, cùng SHA</x:v>
      </x:c>
      <x:c r="E9" s="20" t="str"/>
    </x:row>
    <x:row r="10" ht="46" customHeight="1">
      <x:c r="A10" s="20" t="str">
        <x:v>G06</x:v>
      </x:c>
      <x:c r="B10" s="20" t="str">
        <x:v>Timeline legacy</x:v>
      </x:c>
      <x:c r="C10" s="20" t="str">
        <x:v>https://github.com/tranhatam-collab/Life-Code-OS/blob/99b402764437f81859fa0cd3a3af860125f7bd52/engine/core/timeline.js</x:v>
      </x:c>
      <x:c r="D10" s="20" t="str">
        <x:v>Đã đọc trong audit đối chiếu của chuỗi trao đổi, cùng SHA</x:v>
      </x:c>
      <x:c r="E10" s="20" t="str"/>
    </x:row>
    <x:row r="11" ht="46" customHeight="1">
      <x:c r="A11" s="20" t="str">
        <x:v>G07</x:v>
      </x:c>
      <x:c r="B11" s="20" t="str">
        <x:v>Biểu mẫu Bắt đầu</x:v>
      </x:c>
      <x:c r="C11" s="20" t="str">
        <x:v>https://github.com/tranhatam-collab/Life-Code-OS/blob/99b402764437f81859fa0cd3a3af860125f7bd52/bat-dau.html#L250-L320</x:v>
      </x:c>
      <x:c r="D11" s="20" t="str">
        <x:v>Đã đọc đoạn gửi payload trong chuỗi audit, cùng SHA</x:v>
      </x:c>
      <x:c r="E11" s="20" t="str"/>
    </x:row>
    <x:row r="12" ht="46" customHeight="1">
      <x:c r="A12" s="20" t="str">
        <x:v>G08</x:v>
      </x:c>
      <x:c r="B12" s="20" t="str">
        <x:v>Migration session</x:v>
      </x:c>
      <x:c r="C12" s="20" t="str">
        <x:v>https://github.com/tranhatam-collab/Life-Code-OS/blob/99b402764437f81859fa0cd3a3af860125f7bd52/workers/life-code-api/migrations/002_create_sessions.sql</x:v>
      </x:c>
      <x:c r="D12" s="20" t="str">
        <x:v>Đã đọc trong chuỗi audit, cùng SHA</x:v>
      </x:c>
      <x:c r="E12" s="20" t="str"/>
    </x:row>
    <x:row r="13" ht="46" customHeight="1">
      <x:c r="A13" s="20" t="str">
        <x:v>G09</x:v>
      </x:c>
      <x:c r="B13" s="20" t="str">
        <x:v>Pages build script</x:v>
      </x:c>
      <x:c r="C13" s="20" t="str">
        <x:v>https://github.com/tranhatam-collab/Life-Code-OS/blob/99b402764437f81859fa0cd3a3af860125f7bd52/scripts/prepare-pages.sh</x:v>
      </x:c>
      <x:c r="D13" s="20" t="str">
        <x:v>Đã đọc trực tiếp</x:v>
      </x:c>
      <x:c r="E13" s="20" t="str">
        <x:v>Denylist còn có thể để lọt file mới; chưa đo bundle live</x:v>
      </x:c>
    </x:row>
    <x:row r="14" ht="46" customHeight="1">
      <x:c r="A14" s="20" t="str">
        <x:v>G10</x:v>
      </x:c>
      <x:c r="B14" s="20" t="str">
        <x:v>Workflow Pages</x:v>
      </x:c>
      <x:c r="C14" s="20" t="str">
        <x:v>https://github.com/tranhatam-collab/Life-Code-OS/blob/99b402764437f81859fa0cd3a3af860125f7bd52/.github/workflows/deploy-pages.yml</x:v>
      </x:c>
      <x:c r="D14" s="20" t="str">
        <x:v>Đã đọc trực tiếp</x:v>
      </x:c>
      <x:c r="E14" s="20" t="str">
        <x:v>Có --commit-dirty=true; không có bước smoke/security trong workflow đã đọc</x:v>
      </x:c>
    </x:row>
    <x:row r="15" ht="46" customHeight="1">
      <x:c r="A15" s="20" t="str">
        <x:v>G11</x:v>
      </x:c>
      <x:c r="B15" s="20" t="str">
        <x:v>Report API legacy</x:v>
      </x:c>
      <x:c r="C15" s="20" t="str">
        <x:v>https://github.com/tranhatam-collab/Life-Code-OS/blob/99b402764437f81859fa0cd3a3af860125f7bd52/workers/life-code-api/src/index.js#L1014-L1065</x:v>
      </x:c>
      <x:c r="D15" s="20" t="str">
        <x:v>Đã đọc trong chuỗi audit, cùng SHA</x:v>
      </x:c>
      <x:c r="E15" s="20" t="str"/>
    </x:row>
    <x:row r="16" ht="46" customHeight="1">
      <x:c r="A16" s="20" t="str">
        <x:v>G12</x:v>
      </x:c>
      <x:c r="B16" s="20" t="str">
        <x:v>Audit commit metadata</x:v>
      </x:c>
      <x:c r="C16" s="20" t="str">
        <x:v>https://github.com/tranhatam-collab/Life-Code-OS/commit/336ef35a8386a744c6de18a7f7c6e268e89e6dac</x:v>
      </x:c>
      <x:c r="D16" s="20" t="str">
        <x:v>Đã đọc metadata và diff tài liệu</x:v>
      </x:c>
      <x:c r="E16" s="20" t="str">
        <x:v>Không phải commit sửa P0</x:v>
      </x:c>
    </x:row>
    <x:row r="17" ht="46" customHeight="1">
      <x:c r="A17" s="20" t="str">
        <x:v>S01</x:v>
      </x:c>
      <x:c r="B17" s="20" t="str">
        <x:v>Life Code trang chủ</x:v>
      </x:c>
      <x:c r="C17" s="20" t="str">
        <x:v>https://lifecode.iai.one/</x:v>
      </x:c>
      <x:c r="D17" s="20" t="str">
        <x:v>Nội dung HTML qua công cụ web; nguồn báo crawled yesterday</x:v>
      </x:c>
      <x:c r="E17" s="20" t="str">
        <x:v>Không xác nhận byte hash, HTTP headers hoặc deployed SHA</x:v>
      </x:c>
    </x:row>
    <x:row r="18" ht="46" customHeight="1">
      <x:c r="A18" s="20" t="str">
        <x:v>S02</x:v>
      </x:c>
      <x:c r="B18" s="20" t="str">
        <x:v>Life Code chín tầng</x:v>
      </x:c>
      <x:c r="C18" s="20" t="str">
        <x:v>https://lifecode.iai.one/9-levels-life-code</x:v>
      </x:c>
      <x:c r="D18" s="20" t="str">
        <x:v>Đọc nội dung công khai qua liên kết clean URL</x:v>
      </x:c>
      <x:c r="E18" s="20" t="str"/>
    </x:row>
    <x:row r="19" ht="46" customHeight="1">
      <x:c r="A19" s="20" t="str">
        <x:v>S03</x:v>
      </x:c>
      <x:c r="B19" s="20" t="str">
        <x:v>Life Code Bắt đầu</x:v>
      </x:c>
      <x:c r="C19" s="20" t="str">
        <x:v>https://lifecode.iai.one/bat-dau</x:v>
      </x:c>
      <x:c r="D19" s="20" t="str">
        <x:v>Đọc giao diện biểu mẫu; không gửi dữ liệu</x:v>
      </x:c>
      <x:c r="E19" s="20" t="str"/>
    </x:row>
    <x:row r="20" ht="46" customHeight="1">
      <x:c r="A20" s="20" t="str">
        <x:v>S04</x:v>
      </x:c>
      <x:c r="B20" s="20" t="str">
        <x:v>Life Code Dashboard</x:v>
      </x:c>
      <x:c r="C20" s="20" t="str">
        <x:v>https://lifecode.iai.one/dashboard</x:v>
      </x:c>
      <x:c r="D20" s="20" t="str">
        <x:v>Đọc nội dung giao diện public; không đăng nhập</x:v>
      </x:c>
      <x:c r="E20" s="20" t="str"/>
    </x:row>
    <x:row r="21" ht="46" customHeight="1">
      <x:c r="A21" s="20" t="str">
        <x:v>S05</x:v>
      </x:c>
      <x:c r="B21" s="20" t="str">
        <x:v>Life Code chính sách bảo mật</x:v>
      </x:c>
      <x:c r="C21" s="20" t="str">
        <x:v>https://lifecode.iai.one/chinh-sach-bao-mat</x:v>
      </x:c>
      <x:c r="D21" s="20" t="str">
        <x:v>Đã đọc nội dung công khai</x:v>
      </x:c>
      <x:c r="E21" s="20" t="str"/>
    </x:row>
    <x:row r="22" ht="46" customHeight="1">
      <x:c r="A22" s="20" t="str">
        <x:v>S06</x:v>
      </x:c>
      <x:c r="B22" s="20" t="str">
        <x:v>Life Code Engine Lab</x:v>
      </x:c>
      <x:c r="C22" s="20" t="str">
        <x:v>https://lifecode.iai.one/engine-lab</x:v>
      </x:c>
      <x:c r="D22" s="20" t="str">
        <x:v>Đọc giao diện; không gửi POST</x:v>
      </x:c>
      <x:c r="E22" s="20" t="str"/>
    </x:row>
    <x:row r="23" ht="46" customHeight="1">
      <x:c r="A23" s="20" t="str">
        <x:v>S07</x:v>
      </x:c>
      <x:c r="B23" s="20" t="str">
        <x:v>OWASP API BOLA</x:v>
      </x:c>
      <x:c r="C23" s="20" t="str">
        <x:v>https://api-security.owasp.org/editions/2023/en/0xa1-broken-object-level-authorization/</x:v>
      </x:c>
      <x:c r="D23" s="20" t="str">
        <x:v>Đã đọc trang chính thức</x:v>
      </x:c>
      <x:c r="E23" s="20" t="str"/>
    </x:row>
    <x:row r="24" ht="46" customHeight="1">
      <x:c r="A24" s="20" t="str">
        <x:v>S08</x:v>
      </x:c>
      <x:c r="B24" s="20" t="str">
        <x:v>OWASP Session Management</x:v>
      </x:c>
      <x:c r="C24" s="20" t="str">
        <x:v>https://cheatsheetseries.owasp.org/cheatsheets/Session_Management_Cheat_Sheet.html</x:v>
      </x:c>
      <x:c r="D24" s="20" t="str">
        <x:v>Đã đọc trang chính thức</x:v>
      </x:c>
      <x:c r="E24" s="20" t="str"/>
    </x:row>
    <x:row r="25" ht="46" customHeight="1">
      <x:c r="A25" s="20" t="str">
        <x:v>S09</x:v>
      </x:c>
      <x:c r="B25" s="20" t="str">
        <x:v>PostgreSQL Row Security</x:v>
      </x:c>
      <x:c r="C25" s="20" t="str">
        <x:v>https://www.postgresql.org/docs/current/ddl-rowsecurity.html</x:v>
      </x:c>
      <x:c r="D25" s="20" t="str">
        <x:v>Đã đọc trang chính thức</x:v>
      </x:c>
      <x:c r="E25" s="20" t="str">
        <x:v>Trang current được trả là tài liệu PostgreSQL 18; không coi database dự án đã nâng cấp</x:v>
      </x:c>
    </x:row>
    <x:row r="26" ht="46" customHeight="1">
      <x:c r="A26" s="20" t="str">
        <x:v>S10</x:v>
      </x:c>
      <x:c r="B26" s="20" t="str">
        <x:v>Cloudflare Queues delivery guarantees</x:v>
      </x:c>
      <x:c r="C26" s="20" t="str">
        <x:v>https://developers.cloudflare.com/queues/reference/delivery-guarantees/</x:v>
      </x:c>
      <x:c r="D26" s="20" t="str">
        <x:v>Đã đọc trang chính thức</x:v>
      </x:c>
      <x:c r="E26" s="20" t="str"/>
    </x:row>
    <x:row r="27" ht="46" customHeight="1">
      <x:c r="A27" s="20" t="str">
        <x:v>S11</x:v>
      </x:c>
      <x:c r="B27" s="20" t="str">
        <x:v>Cloudflare R2 presigned URL</x:v>
      </x:c>
      <x:c r="C27" s="20" t="str">
        <x:v>https://developers.cloudflare.com/r2/api/s3/presigned-urls/</x:v>
      </x:c>
      <x:c r="D27" s="20" t="str">
        <x:v>Đã đọc trang chính thức</x:v>
      </x:c>
      <x:c r="E27" s="20" t="str"/>
    </x:row>
    <x:row r="28" ht="46" customHeight="1">
      <x:c r="A28" s="20" t="str">
        <x:v>S12</x:v>
      </x:c>
      <x:c r="B28" s="20" t="str">
        <x:v>Hyperdrive query caching</x:v>
      </x:c>
      <x:c r="C28" s="20" t="str">
        <x:v>https://developers.cloudflare.com/hyperdrive/concepts/query-caching/</x:v>
      </x:c>
      <x:c r="D28" s="20" t="str">
        <x:v>Đã đọc trang chính thức</x:v>
      </x:c>
      <x:c r="E28" s="20" t="str"/>
    </x:row>
    <x:row r="29" ht="46" customHeight="1">
      <x:c r="A29" s="20" t="str">
        <x:v>S13</x:v>
      </x:c>
      <x:c r="B29" s="20" t="str">
        <x:v>Cloudflare Workers versions/deployments</x:v>
      </x:c>
      <x:c r="C29" s="20" t="str">
        <x:v>https://developers.cloudflare.com/workers/versions-and-deployments/</x:v>
      </x:c>
      <x:c r="D29" s="20" t="str">
        <x:v>Đã đọc trang chính thức</x:v>
      </x:c>
      <x:c r="E29" s="20" t="str"/>
    </x:row>
    <x:row r="30" ht="46" customHeight="1">
      <x:c r="A30" s="20" t="str">
        <x:v>S14</x:v>
      </x:c>
      <x:c r="B30" s="20" t="str">
        <x:v>OpenAPI 3.1.1</x:v>
      </x:c>
      <x:c r="C30" s="20" t="str">
        <x:v>https://spec.openapis.org/oas/v3.1.1.html</x:v>
      </x:c>
      <x:c r="D30" s="20" t="str">
        <x:v>Đã đọc trang chính thức</x:v>
      </x:c>
      <x:c r="E30" s="20" t="str"/>
    </x:row>
    <x:row r="31" ht="46" customHeight="1">
      <x:c r="A31" s="20" t="str">
        <x:v>S15</x:v>
      </x:c>
      <x:c r="B31" s="20" t="str">
        <x:v>Unicode Normalization</x:v>
      </x:c>
      <x:c r="C31" s="20" t="str">
        <x:v>https://unicode.org/reports/tr15/</x:v>
      </x:c>
      <x:c r="D31" s="20" t="str">
        <x:v>Đã đọc trang chính thức</x:v>
      </x:c>
      <x:c r="E31" s="20" t="str"/>
    </x:row>
    <x:row r="32" ht="46" customHeight="1">
      <x:c r="A32" s="20" t="str">
        <x:v>S16</x:v>
      </x:c>
      <x:c r="B32" s="20" t="str">
        <x:v>IANA Time Zone Database</x:v>
      </x:c>
      <x:c r="C32" s="20" t="str">
        <x:v>https://www.iana.org/time-zones</x:v>
      </x:c>
      <x:c r="D32" s="20" t="str">
        <x:v>Đã đọc trang chính thức</x:v>
      </x:c>
      <x:c r="E32" s="20" t="str"/>
    </x:row>
    <x:row r="33" ht="46" customHeight="1">
      <x:c r="A33" s="20" t="str">
        <x:v>S17</x:v>
      </x:c>
      <x:c r="B33" s="20" t="str">
        <x:v>WCAG 2.2</x:v>
      </x:c>
      <x:c r="C33" s="20" t="str">
        <x:v>https://www.w3.org/TR/WCAG22/</x:v>
      </x:c>
      <x:c r="D33" s="20" t="str">
        <x:v>Đã đọc trang chính thức</x:v>
      </x:c>
      <x:c r="E33" s="20" t="str"/>
    </x:row>
    <x:row r="34" ht="46" customHeight="1">
      <x:c r="A34" s="20" t="str">
        <x:v>S18</x:v>
      </x:c>
      <x:c r="B34" s="20" t="str">
        <x:v>Astro deployment Cloudflare</x:v>
      </x:c>
      <x:c r="C34" s="20" t="str">
        <x:v>https://docs.astro.build/en/guides/deploy/cloudflare/</x:v>
      </x:c>
      <x:c r="D34" s="20" t="str">
        <x:v>Đã đọc trang chính thức</x:v>
      </x:c>
      <x:c r="E34" s="20" t="str"/>
    </x:row>
    <x:row r="35" ht="46" customHeight="1">
      <x:c r="A35" s="20" t="str">
        <x:v>S19</x:v>
      </x:c>
      <x:c r="B35" s="20" t="str">
        <x:v>React Quick Start</x:v>
      </x:c>
      <x:c r="C35" s="20" t="str">
        <x:v>https://react.dev/learn</x:v>
      </x:c>
      <x:c r="D35" s="20" t="str">
        <x:v>Đã đọc trang chính thức</x:v>
      </x:c>
      <x:c r="E35" s="20" t="str"/>
    </x:row>
    <x:row r="36" ht="46" customHeight="1">
      <x:c r="A36" s="20" t="str">
        <x:v>S20</x:v>
      </x:c>
      <x:c r="B36" s="20" t="str">
        <x:v>Stripe webhook guidance</x:v>
      </x:c>
      <x:c r="C36" s="20" t="str">
        <x:v>https://docs.stripe.com/webhooks</x:v>
      </x:c>
      <x:c r="D36" s="20" t="str">
        <x:v>Đã đọc trang chính thức</x:v>
      </x:c>
      <x:c r="E36" s="20" t="str">
        <x:v>Tham chiếu giao thức; chưa chọn Stripe làm nhà cung cấp khả dụng cho pháp nhân dự án</x:v>
      </x:c>
    </x:row>
    <x:row r="37" ht="46" customHeight="1">
      <x:c r="A37" s="20" t="str">
        <x:v>S21</x:v>
      </x:c>
      <x:c r="B37" s="20" t="str">
        <x:v>NIST AI Risk Management Framework</x:v>
      </x:c>
      <x:c r="C37" s="20" t="str">
        <x:v>https://www.nist.gov/itl/ai-risk-management-framework</x:v>
      </x:c>
      <x:c r="D37" s="20" t="str">
        <x:v>Đã đọc trang chính thức</x:v>
      </x:c>
      <x:c r="E37" s="20" t="str"/>
    </x:row>
    <x:row r="38" ht="46" customHeight="1">
      <x:c r="A38" s="20" t="str">
        <x:v>S22</x:v>
      </x:c>
      <x:c r="B38" s="20" t="str">
        <x:v>ISO/IEC 42001 overview</x:v>
      </x:c>
      <x:c r="C38" s="20" t="str">
        <x:v>https://www.iso.org/standard/42001</x:v>
      </x:c>
      <x:c r="D38" s="20" t="str">
        <x:v>Đọc trang giới thiệu tiêu chuẩn</x:v>
      </x:c>
      <x:c r="E38" s="20" t="str">
        <x:v>Chưa đọc toàn văn tiêu chuẩn trả phí; không chứng nhận tuân thủ</x:v>
      </x:c>
    </x:row>
    <x:row r="39" ht="46" customHeight="1">
      <x:c r="A39" s="20" t="str">
        <x:v>S23</x:v>
      </x:c>
      <x:c r="B39" s="20" t="str">
        <x:v>Luật Bảo vệ dữ liệu cá nhân 91/2025/QH15</x:v>
      </x:c>
      <x:c r="C39" s="20" t="str">
        <x:v>https://vanban.chinhphu.vn/?docid=214590&amp;pageid=27160</x:v>
      </x:c>
      <x:c r="D39" s="20" t="str">
        <x:v>Đọc metadata chính thức</x:v>
      </x:c>
      <x:c r="E39" s="20" t="str">
        <x:v>Hiệu lực 01/01/2026; chưa thay ý kiến pháp lý áp dụng</x:v>
      </x:c>
    </x:row>
    <x:row r="40" ht="46" customHeight="1">
      <x:c r="A40" s="20" t="str">
        <x:v>S24</x:v>
      </x:c>
      <x:c r="B40" s="20" t="str">
        <x:v>Nghị định 356/2025/NĐ-CP</x:v>
      </x:c>
      <x:c r="C40" s="20" t="str">
        <x:v>https://chinhphu.vn/?classid=1&amp;docid=216387&amp;orggroupid=2&amp;pageid=27160</x:v>
      </x:c>
      <x:c r="D40" s="20" t="str">
        <x:v>Đọc metadata chính thức</x:v>
      </x:c>
      <x:c r="E40" s="20" t="str"/>
    </x:row>
    <x:row r="41" ht="46" customHeight="1">
      <x:c r="A41" s="20" t="str">
        <x:v>S25</x:v>
      </x:c>
      <x:c r="B41" s="20" t="str">
        <x:v>Luật Trí tuệ nhân tạo 134/2025/QH15</x:v>
      </x:c>
      <x:c r="C41" s="20" t="str">
        <x:v>https://congbao.chinhphu.vn/van-ban/luat-so-134-2025-qh15-468694/61695.htm</x:v>
      </x:c>
      <x:c r="D41" s="20" t="str">
        <x:v>Đọc metadata chính thức</x:v>
      </x:c>
      <x:c r="E41" s="20" t="str">
        <x:v>Hiệu lực 01/03/2026</x:v>
      </x:c>
    </x:row>
    <x:row r="42" ht="46" customHeight="1">
      <x:c r="A42" s="20" t="str">
        <x:v>S26</x:v>
      </x:c>
      <x:c r="B42" s="20" t="str">
        <x:v>Nghị định 142/2026/NĐ-CP</x:v>
      </x:c>
      <x:c r="C42" s="20" t="str">
        <x:v>https://congbao.chinhphu.vn/van-ban/nghi-dinh-so-142-2026-nd-cp-469480/64703.htm</x:v>
      </x:c>
      <x:c r="D42" s="20" t="str">
        <x:v>Đọc metadata chính thức</x:v>
      </x:c>
      <x:c r="E42" s="20" t="str">
        <x:v>Hiệu lực 01/05/2026</x:v>
      </x:c>
    </x:row>
    <x:row r="43" ht="46" customHeight="1">
      <x:c r="A43" s="20" t="str">
        <x:v>S27</x:v>
      </x:c>
      <x:c r="B43" s="20" t="str">
        <x:v>Khung pháp lý AI - Cục Công nghệ số và AI</x:v>
      </x:c>
      <x:c r="C43" s="20" t="str">
        <x:v>https://dda.gov.vn/khung-phap-ly-ai</x:v>
      </x:c>
      <x:c r="D43" s="20" t="str">
        <x:v>Đã đọc trang chính thức</x:v>
      </x:c>
      <x:c r="E43" s="20" t="str"/>
    </x:row>
    <x:row r="44" ht="46" customHeight="1">
      <x:c r="A44" s="20" t="str">
        <x:v>S28</x:v>
      </x:c>
      <x:c r="B44" s="20" t="str">
        <x:v>Nghị định 248/2026/NĐ-CP</x:v>
      </x:c>
      <x:c r="C44" s="20" t="str">
        <x:v>https://congbao.chinhphu.vn/van-ban/nghi-dinh-so-248-2026-nd-cp-469983.htm</x:v>
      </x:c>
      <x:c r="D44" s="20" t="str">
        <x:v>Đọc metadata chính thức</x:v>
      </x:c>
      <x:c r="E44" s="20" t="str">
        <x:v>Hiệu lực 01/07/2026</x:v>
      </x:c>
    </x:row>
    <x:row r="45" ht="46" customHeight="1">
      <x:c r="A45" s="20" t="str">
        <x:v>S29</x:v>
      </x:c>
      <x:c r="B45" s="20" t="str">
        <x:v>Bộ Công Thương phổ biến Luật TMĐT và Nghị định 248</x:v>
      </x:c>
      <x:c r="C45" s="20" t="str">
        <x:v>https://moit.gov.vn/tin-tuc/bo-cong-thuong-pho-bien-luat-thuong-mai-dien-tu-va-nghi-dinh-so-248-2026-nd-cp.html</x:v>
      </x:c>
      <x:c r="D45" s="20" t="str">
        <x:v>Đã đọc trang chính thức</x:v>
      </x:c>
      <x:c r="E45" s="20" t="str">
        <x:v>Nguồn xác nhận hiệu lực từ 01/07/2026; cần pháp lý đọc văn bản ký</x:v>
      </x:c>
    </x:row>
    <x:row r="46" ht="46" customHeight="1">
      <x:c r="A46" s="20" t="str">
        <x:v>S30</x:v>
      </x:c>
      <x:c r="B46" s="20" t="str">
        <x:v>EU GDPR</x:v>
      </x:c>
      <x:c r="C46" s="20" t="str">
        <x:v>https://eur-lex.europa.eu/eli/reg/2016/679/oj/eng</x:v>
      </x:c>
      <x:c r="D46" s="20" t="str">
        <x:v>Truy cập văn bản pháp quy; rà soát định nghĩa và quyền</x:v>
      </x:c>
      <x:c r="E46" s="20" t="str">
        <x:v>Không thay đánh giá tác động hoặc tư vấn thị trường cụ thể</x:v>
      </x:c>
    </x:row>
    <x:row r="47" ht="46" customHeight="1">
      <x:c r="A47" s="20" t="str">
        <x:v>S31</x:v>
      </x:c>
      <x:c r="B47" s="20" t="str">
        <x:v>EU AI Act application timeline</x:v>
      </x:c>
      <x:c r="C47" s="20" t="str">
        <x:v>https://digital-strategy.ec.europa.eu/en/policies/regulatory-framework-ai</x:v>
      </x:c>
      <x:c r="D47" s="20" t="str">
        <x:v>Đã đọc trang chính thức</x:v>
      </x:c>
      <x:c r="E47" s="20" t="str">
        <x:v>Trang Ủy ban được kiểm tra 11/10/2026; thể hiện AI Omnibus có hiệu lực 27/07/2026 và lịch high-risk điều chỉnh. Đối chiếu văn bản hợp nhất trước launch</x:v>
      </x:c>
    </x:row>
    <x:row r="48" ht="46" customHeight="1">
      <x:c r="A48" s="20" t="str">
        <x:v>S32</x:v>
      </x:c>
      <x:c r="B48" s="20" t="str">
        <x:v>EU AI Act - bản tiếng Hà Lan</x:v>
      </x:c>
      <x:c r="C48" s="20" t="str">
        <x:v>https://digital-strategy.ec.europa.eu/nl/policies/regulatory-framework-ai</x:v>
      </x:c>
      <x:c r="D48" s="20" t="str">
        <x:v>Đối chiếu phần lịch áp dụng đa ngôn ngữ</x:v>
      </x:c>
      <x:c r="E48" s="20" t="str"/>
    </x:row>
    <x:row r="49" ht="46" customHeight="1">
      <x:c r="A49" s="20" t="str">
        <x:v>S33</x:v>
      </x:c>
      <x:c r="B49" s="20" t="str">
        <x:v>FTC Consumer Guide to Buying a Franchise</x:v>
      </x:c>
      <x:c r="C49" s="20" t="str">
        <x:v>https://www.ftc.gov/business-guidance/resources/consumers-guide-buying-franchise</x:v>
      </x:c>
      <x:c r="D49" s="20" t="str">
        <x:v>Đã đọc trang chính thức</x:v>
      </x:c>
      <x:c r="E49" s="20" t="str">
        <x:v>Thông tin FDD/14 ngày, không phải ý kiến phân loại hợp đồng Life Code</x:v>
      </x:c>
    </x:row>
    <x:row r="50" ht="46" customHeight="1">
      <x:c r="A50" s="20" t="str">
        <x:v>S34</x:v>
      </x:c>
      <x:c r="B50" s="20" t="str">
        <x:v>ACCC Franchising Code</x:v>
      </x:c>
      <x:c r="C50" s="20" t="str">
        <x:v>https://www.accc.gov.au/business/industry-codes/franchising-code-of-conduct</x:v>
      </x:c>
      <x:c r="D50" s="20" t="str">
        <x:v>Đã đọc trang chính thức</x:v>
      </x:c>
      <x:c r="E50" s="20" t="str">
        <x:v>Bộ quy tắc mới 01/04/2025; một số quy định 01/11/2025</x:v>
      </x:c>
    </x:row>
    <x:row r="51" ht="46" customHeight="1">
      <x:c r="A51" s="20" t="str">
        <x:v>S35</x:v>
      </x:c>
      <x:c r="B51" s="20" t="str">
        <x:v>ACCC franchise disclosure document</x:v>
      </x:c>
      <x:c r="C51" s="20" t="str">
        <x:v>https://www.accc.gov.au/business/industry-codes/franchising-code-of-conduct/franchise-disclosure-document</x:v>
      </x:c>
      <x:c r="D51" s="20" t="str">
        <x:v>Đã đọc trang chính thức</x:v>
      </x:c>
      <x:c r="E51" s="20" t="str"/>
    </x:row>
    <x:row r="52" ht="46" customHeight="1">
      <x:c r="A52" s="20" t="str">
        <x:v>S36</x:v>
      </x:c>
      <x:c r="B52" s="20" t="str">
        <x:v>Bộ Công Thương danh mục nhượng quyền</x:v>
      </x:c>
      <x:c r="C52" s="20" t="str">
        <x:v>https://moit.gov.vn/nhuong-quyen-thuong-mai</x:v>
      </x:c>
      <x:c r="D52" s="20" t="str">
        <x:v>Đọc danh mục công khai</x:v>
      </x:c>
      <x:c r="E52" s="20" t="str">
        <x:v>Không đủ kết luận thủ tục outbound cho Life Code; pháp lý phải xác minh</x:v>
      </x:c>
    </x:row>
    <x:row r="53" ht="46" customHeight="1">
      <x:c r="A53" s="20" t="str">
        <x:v>S37</x:v>
      </x:c>
      <x:c r="B53" s="20" t="str">
        <x:v>WIPO Madrid filing</x:v>
      </x:c>
      <x:c r="C53" s="20" t="str">
        <x:v>https://www.wipo.int/en/web/madrid-system/how_to/file/index</x:v>
      </x:c>
      <x:c r="D53" s="20" t="str">
        <x:v>Đã đọc trang chính thức</x:v>
      </x:c>
      <x:c r="E53" s="20" t="str">
        <x:v>Đăng ký quốc tế không bảo đảm được bảo hộ ở mọi thị trường; không xác minh nhãn Life Code đã đăng ký</x:v>
      </x:c>
    </x:row>
    <x:row r="54" ht="46" customHeight="1">
      <x:c r="A54" s="20" t="str">
        <x:v>S38</x:v>
      </x:c>
      <x:c r="B54" s="20" t="str">
        <x:v>IPIP ngân hàng mục hỏi</x:v>
      </x:c>
      <x:c r="C54" s="20" t="str">
        <x:v>https://ipip.ori.org/</x:v>
      </x:c>
      <x:c r="D54" s="20" t="str">
        <x:v>Đã đọc trang chính thức</x:v>
      </x:c>
      <x:c r="E54" s="20" t="str">
        <x:v>Phải kiểm tra quyền của từng bản dịch và thang; chưa xác nhận giá trị đo trên mẫu Life Code</x:v>
      </x:c>
    </x:row>
    <x:row r="55" ht="46" customHeight="1">
      <x:c r="A55" s="20" t="str">
        <x:v>S39</x:v>
      </x:c>
      <x:c r="B55" s="20" t="str">
        <x:v>O*NET Interest Profiler</x:v>
      </x:c>
      <x:c r="C55" s="20" t="str">
        <x:v>https://www.onetcenter.org/IP.html</x:v>
      </x:c>
      <x:c r="D55" s="20" t="str">
        <x:v>Đã đọc trang chính thức</x:v>
      </x:c>
      <x:c r="E55" s="20" t="str">
        <x:v>Dùng phạm vi hứng thú nghề; không quyết định nghề bắt buộc</x:v>
      </x:c>
    </x:row>
    <x:row r="56" ht="46" customHeight="1">
      <x:c r="A56" s="20" t="str">
        <x:v>S40</x:v>
      </x:c>
      <x:c r="B56" s="20" t="str">
        <x:v>OAIC privacy rights</x:v>
      </x:c>
      <x:c r="C56" s="20" t="str">
        <x:v>https://www.oaic.gov.au/privacy/your-privacy-rights</x:v>
      </x:c>
      <x:c r="D56" s="20" t="str">
        <x:v>Đã đọc trang chính thức</x:v>
      </x:c>
      <x:c r="E56" s="20" t="str">
        <x:v>Điểm xuất phát rà soát Australia; chưa audit nghĩa vụ cụ thể</x:v>
      </x:c>
    </x:row>
    <x:row r="57" ht="46" customHeight="1">
      <x:c r="A57" s="20" t="str">
        <x:v>S41</x:v>
      </x:c>
      <x:c r="B57" s="20" t="str">
        <x:v>Singapore PDPC PDPA</x:v>
      </x:c>
      <x:c r="C57" s="20" t="str">
        <x:v>https://www.pdpc.gov.sg/overview-of-pdpa/the-legislation/personal-data-protection-act</x:v>
      </x:c>
      <x:c r="D57" s="20" t="str">
        <x:v>Trang phản hồi rất ít nội dung</x:v>
      </x:c>
      <x:c r="E57" s="20" t="str">
        <x:v>Chưa đủ nội dung để khẳng định điều khoản; rà soát trước launch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5d6ff6962854ce7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38" hidden="0" customWidth="1"/>
    <x:col min="3" max="3" width="44" hidden="0" customWidth="1"/>
    <x:col min="4" max="4" width="27" hidden="0" customWidth="1"/>
    <x:col min="5" max="5" width="74" hidden="0" customWidth="1"/>
    <x:col min="6" max="6" width="74" hidden="0" customWidth="1"/>
    <x:col min="7" max="7" width="17" hidden="0" customWidth="1"/>
  </x:cols>
  <x:sheetData>
    <x:row r="1" ht="34" customHeight="1">
      <x:c r="A1" s="3" t="str">
        <x:v>45 màn hình mục tiêu</x:v>
      </x:c>
      <x:c r="B1" s="3"/>
      <x:c r="C1" s="3"/>
      <x:c r="D1" s="3"/>
      <x:c r="E1" s="3"/>
      <x:c r="F1" s="3"/>
      <x:c r="G1" s="3"/>
    </x:row>
    <x:row r="2" ht="33" customHeight="1">
      <x:c r="A2" s="7" t="str">
        <x:v>Đây là UI map cần build và nghiệm thu, không phải danh sách màn hình đã phát hành.</x:v>
      </x:c>
      <x:c r="B2" s="7"/>
      <x:c r="C2" s="7"/>
      <x:c r="D2" s="7"/>
      <x:c r="E2" s="7"/>
      <x:c r="F2" s="7"/>
      <x:c r="G2" s="7"/>
    </x:row>
    <x:row r="4" ht="28" customHeight="1">
      <x:c r="A4" s="16" t="str">
        <x:v>ID</x:v>
      </x:c>
      <x:c r="B4" s="16" t="str">
        <x:v>Màn hình</x:v>
      </x:c>
      <x:c r="C4" s="16" t="str">
        <x:v>Route đích</x:v>
      </x:c>
      <x:c r="D4" s="16" t="str">
        <x:v>Principal</x:v>
      </x:c>
      <x:c r="E4" s="16" t="str">
        <x:v>API</x:v>
      </x:c>
      <x:c r="F4" s="16" t="str">
        <x:v>Trạng thái cần thử</x:v>
      </x:c>
      <x:c r="G4" s="16" t="str">
        <x:v>Task</x:v>
      </x:c>
    </x:row>
    <x:row r="5" ht="46" customHeight="1">
      <x:c r="A5" s="20" t="str">
        <x:v>UI-01</x:v>
      </x:c>
      <x:c r="B5" s="20" t="str">
        <x:v>Trang chủ</x:v>
      </x:c>
      <x:c r="C5" s="20" t="str">
        <x:v>/</x:v>
      </x:c>
      <x:c r="D5" s="20" t="str">
        <x:v>guest</x:v>
      </x:c>
      <x:c r="E5" s="20" t="str">
        <x:v>GET /catalog</x:v>
      </x:c>
      <x:c r="F5" s="20" t="str">
        <x:v>educational-first; release badge</x:v>
      </x:c>
      <x:c r="G5" s="20" t="str">
        <x:v>WEB-01</x:v>
      </x:c>
    </x:row>
    <x:row r="6" ht="46" customHeight="1">
      <x:c r="A6" s="20" t="str">
        <x:v>UI-02</x:v>
      </x:c>
      <x:c r="B6" s="20" t="str">
        <x:v>Giới thiệu HNH</x:v>
      </x:c>
      <x:c r="C6" s="20" t="str">
        <x:v>/gioi-thieu</x:v>
      </x:c>
      <x:c r="D6" s="20" t="str">
        <x:v>guest</x:v>
      </x:c>
      <x:c r="E6" s="20" t="str">
        <x:v>static</x:v>
      </x:c>
      <x:c r="F6" s="20" t="str">
        <x:v>No endorsement/clinicalclaims</x:v>
      </x:c>
      <x:c r="G6" s="20" t="str">
        <x:v>WEB-01</x:v>
      </x:c>
    </x:row>
    <x:row r="7" ht="46" customHeight="1">
      <x:c r="A7" s="20" t="str">
        <x:v>UI-03</x:v>
      </x:c>
      <x:c r="B7" s="20" t="str">
        <x:v>Danh mục9cấp</x:v>
      </x:c>
      <x:c r="C7" s="20" t="str">
        <x:v>/9-levels-life-code</x:v>
      </x:c>
      <x:c r="D7" s="20" t="str">
        <x:v>guest</x:v>
      </x:c>
      <x:c r="E7" s="20" t="str">
        <x:v>GET /catalog</x:v>
      </x:c>
      <x:c r="F7" s="20" t="str">
        <x:v>Available/planned/delayed states</x:v>
      </x:c>
      <x:c r="G7" s="20" t="str">
        <x:v>GOV-09</x:v>
      </x:c>
    </x:row>
    <x:row r="8" ht="46" customHeight="1">
      <x:c r="A8" s="20" t="str">
        <x:v>UI-04</x:v>
      </x:c>
      <x:c r="B8" s="20" t="str">
        <x:v>Thư viện phương pháp</x:v>
      </x:c>
      <x:c r="C8" s="20" t="str">
        <x:v>/research/methods</x:v>
      </x:c>
      <x:c r="D8" s="20" t="str">
        <x:v>guest</x:v>
      </x:c>
      <x:c r="E8" s="20" t="str">
        <x:v>GET /methods</x:v>
      </x:c>
      <x:c r="F8" s="20" t="str">
        <x:v>Readstatus andsourceversion</x:v>
      </x:c>
      <x:c r="G8" s="20" t="str">
        <x:v>METHOD-10</x:v>
      </x:c>
    </x:row>
    <x:row r="9" ht="46" customHeight="1">
      <x:c r="A9" s="20" t="str">
        <x:v>UI-05</x:v>
      </x:c>
      <x:c r="B9" s="20" t="str">
        <x:v>Tra bộ số miễn phí</x:v>
      </x:c>
      <x:c r="C9" s="20" t="str">
        <x:v>/numbers</x:v>
      </x:c>
      <x:c r="D9" s="20" t="str">
        <x:v>guest</x:v>
      </x:c>
      <x:c r="E9" s="20" t="str">
        <x:v>local deterministic</x:v>
      </x:c>
      <x:c r="F9" s="20" t="str">
        <x:v>Invalid/unresolved/tablechanged; noPIanalytics</x:v>
      </x:c>
      <x:c r="G9" s="20" t="str">
        <x:v>WEB-02</x:v>
      </x:c>
    </x:row>
    <x:row r="10" ht="46" customHeight="1">
      <x:c r="A10" s="20" t="str">
        <x:v>UI-06</x:v>
      </x:c>
      <x:c r="B10" s="20" t="str">
        <x:v>Giá và phạm vi</x:v>
      </x:c>
      <x:c r="C10" s="20" t="str">
        <x:v>/pricing</x:v>
      </x:c>
      <x:c r="D10" s="20" t="str">
        <x:v>guest</x:v>
      </x:c>
      <x:c r="E10" s="20" t="str">
        <x:v>GET /catalog</x:v>
      </x:c>
      <x:c r="F10" s="20" t="str">
        <x:v>No hiddendatafee</x:v>
      </x:c>
      <x:c r="G10" s="20" t="str">
        <x:v>COMMERCE-01</x:v>
      </x:c>
    </x:row>
    <x:row r="11" ht="46" customHeight="1">
      <x:c r="A11" s="20" t="str">
        <x:v>UI-07</x:v>
      </x:c>
      <x:c r="B11" s="20" t="str">
        <x:v>Bắt đầu theo nhu cầu</x:v>
      </x:c>
      <x:c r="C11" s="20" t="str">
        <x:v>/app/start</x:v>
      </x:c>
      <x:c r="D11" s="20" t="str">
        <x:v>user</x:v>
      </x:c>
      <x:c r="E11" s="20" t="str">
        <x:v>POST /subjects</x:v>
      </x:c>
      <x:c r="F11" s="20" t="str">
        <x:v>Draft/partial/authneeded</x:v>
      </x:c>
      <x:c r="G11" s="20" t="str">
        <x:v>WEB-03</x:v>
      </x:c>
    </x:row>
    <x:row r="12" ht="46" customHeight="1">
      <x:c r="A12" s="20" t="str">
        <x:v>UI-08</x:v>
      </x:c>
      <x:c r="B12" s="20" t="str">
        <x:v>Đăng nhập</x:v>
      </x:c>
      <x:c r="C12" s="20" t="str">
        <x:v>/app/login</x:v>
      </x:c>
      <x:c r="D12" s="20" t="str">
        <x:v>guest</x:v>
      </x:c>
      <x:c r="E12" s="20" t="str">
        <x:v>GET /auth/login</x:v>
      </x:c>
      <x:c r="F12" s="20" t="str">
        <x:v>Failure/recovery/accountlock</x:v>
      </x:c>
      <x:c r="G12" s="20" t="str">
        <x:v>TRUST-01</x:v>
      </x:c>
    </x:row>
    <x:row r="13" ht="46" customHeight="1">
      <x:c r="A13" s="20" t="str">
        <x:v>UI-09</x:v>
      </x:c>
      <x:c r="B13" s="20" t="str">
        <x:v>Tổng quan</x:v>
      </x:c>
      <x:c r="C13" s="20" t="str">
        <x:v>/app/dashboard</x:v>
      </x:c>
      <x:c r="D13" s="20" t="str">
        <x:v>user</x:v>
      </x:c>
      <x:c r="E13" s="20" t="str">
        <x:v>GET /subjects/{subjectId}/overview</x:v>
      </x:c>
      <x:c r="F13" s="20" t="str">
        <x:v>Nullmetric notzero, nextaction</x:v>
      </x:c>
      <x:c r="G13" s="20" t="str">
        <x:v>WEB-06</x:v>
      </x:c>
    </x:row>
    <x:row r="14" ht="46" customHeight="1">
      <x:c r="A14" s="20" t="str">
        <x:v>UI-10</x:v>
      </x:c>
      <x:c r="B14" s="20" t="str">
        <x:v>Hồ sơ</x:v>
      </x:c>
      <x:c r="C14" s="20" t="str">
        <x:v>/app/profiles</x:v>
      </x:c>
      <x:c r="D14" s="20" t="str">
        <x:v>user</x:v>
      </x:c>
      <x:c r="E14" s="20" t="str">
        <x:v>GET /subjects</x:v>
      </x:c>
      <x:c r="F14" s="20" t="str">
        <x:v>Empty/shared/revoked</x:v>
      </x:c>
      <x:c r="G14" s="20" t="str">
        <x:v>API-02</x:v>
      </x:c>
    </x:row>
    <x:row r="15" ht="46" customHeight="1">
      <x:c r="A15" s="20" t="str">
        <x:v>UI-11</x:v>
      </x:c>
      <x:c r="B15" s="20" t="str">
        <x:v>Chỉnh hồ sơ</x:v>
      </x:c>
      <x:c r="C15" s="20" t="str">
        <x:v>/app/profiles/:id</x:v>
      </x:c>
      <x:c r="D15" s="20" t="str">
        <x:v>user</x:v>
      </x:c>
      <x:c r="E15" s="20" t="str">
        <x:v>POST /subjects/{subjectId}/profile-versions</x:v>
      </x:c>
      <x:c r="F15" s="20" t="str">
        <x:v>IfMatch conflict/missingDOB</x:v>
      </x:c>
      <x:c r="G15" s="20" t="str">
        <x:v>DATA-01</x:v>
      </x:c>
    </x:row>
    <x:row r="16" ht="46" customHeight="1">
      <x:c r="A16" s="20" t="str">
        <x:v>UI-12</x:v>
      </x:c>
      <x:c r="B16" s="20" t="str">
        <x:v>Giả thuyết dữ liệu</x:v>
      </x:c>
      <x:c r="C16" s="20" t="str">
        <x:v>/app/profiles/:id/hypotheses</x:v>
      </x:c>
      <x:c r="D16" s="20" t="str">
        <x:v>user</x:v>
      </x:c>
      <x:c r="E16" s="20" t="str">
        <x:v>POST /subjects/{subjectId}/hypotheses</x:v>
      </x:c>
      <x:c r="F16" s="20" t="str">
        <x:v>Conflicting birthyears never merge</x:v>
      </x:c>
      <x:c r="G16" s="20" t="str">
        <x:v>DATA-01</x:v>
      </x:c>
    </x:row>
    <x:row r="17" ht="46" customHeight="1">
      <x:c r="A17" s="20" t="str">
        <x:v>UI-13</x:v>
      </x:c>
      <x:c r="B17" s="20" t="str">
        <x:v>Sự đồng ý</x:v>
      </x:c>
      <x:c r="C17" s="20" t="str">
        <x:v>/app/privacy</x:v>
      </x:c>
      <x:c r="D17" s="20" t="str">
        <x:v>user</x:v>
      </x:c>
      <x:c r="E17" s="20" t="str">
        <x:v>POST /subjects/{subjectId}/consents</x:v>
      </x:c>
      <x:c r="F17" s="20" t="str">
        <x:v>Withdraw/processingpaused</x:v>
      </x:c>
      <x:c r="G17" s="20" t="str">
        <x:v>TRUST-08</x:v>
      </x:c>
    </x:row>
    <x:row r="18" ht="46" customHeight="1">
      <x:c r="A18" s="20" t="str">
        <x:v>UI-14</x:v>
      </x:c>
      <x:c r="B18" s="20" t="str">
        <x:v>Chia sẻ</x:v>
      </x:c>
      <x:c r="C18" s="20" t="str">
        <x:v>/app/sharing</x:v>
      </x:c>
      <x:c r="D18" s="20" t="str">
        <x:v>user</x:v>
      </x:c>
      <x:c r="E18" s="20" t="str">
        <x:v>POST /subjects/{subjectId}/grants</x:v>
      </x:c>
      <x:c r="F18" s="20" t="str">
        <x:v>Scope/expiry/revoke</x:v>
      </x:c>
      <x:c r="G18" s="20" t="str">
        <x:v>TRUST-07</x:v>
      </x:c>
    </x:row>
    <x:row r="19" ht="46" customHeight="1">
      <x:c r="A19" s="20" t="str">
        <x:v>UI-15</x:v>
      </x:c>
      <x:c r="B19" s="20" t="str">
        <x:v>Nhật ký</x:v>
      </x:c>
      <x:c r="C19" s="20" t="str">
        <x:v>/app/journal</x:v>
      </x:c>
      <x:c r="D19" s="20" t="str">
        <x:v>user</x:v>
      </x:c>
      <x:c r="E19" s="20" t="str">
        <x:v>POST /subjects/{subjectId}/observations</x:v>
      </x:c>
      <x:c r="F19" s="20" t="str">
        <x:v>Offline/draft/saveerror</x:v>
      </x:c>
      <x:c r="G19" s="20" t="str">
        <x:v>WEB-07</x:v>
      </x:c>
    </x:row>
    <x:row r="20" ht="46" customHeight="1">
      <x:c r="A20" s="20" t="str">
        <x:v>UI-16</x:v>
      </x:c>
      <x:c r="B20" s="20" t="str">
        <x:v>Đồng nhịp</x:v>
      </x:c>
      <x:c r="C20" s="20" t="str">
        <x:v>/app/resonance</x:v>
      </x:c>
      <x:c r="D20" s="20" t="str">
        <x:v>user</x:v>
      </x:c>
      <x:c r="E20" s="20" t="str">
        <x:v>GET /subjects/{subjectId}/observations</x:v>
      </x:c>
      <x:c r="F20" s="20" t="str">
        <x:v>No causal/medical inference</x:v>
      </x:c>
      <x:c r="G20" s="20" t="str">
        <x:v>EXPAND-04</x:v>
      </x:c>
    </x:row>
    <x:row r="21" ht="46" customHeight="1">
      <x:c r="A21" s="20" t="str">
        <x:v>UI-17</x:v>
      </x:c>
      <x:c r="B21" s="20" t="str">
        <x:v>Mục tiêu</x:v>
      </x:c>
      <x:c r="C21" s="20" t="str">
        <x:v>/app/goals</x:v>
      </x:c>
      <x:c r="D21" s="20" t="str">
        <x:v>user</x:v>
      </x:c>
      <x:c r="E21" s="20" t="str">
        <x:v>POST /subjects/{subjectId}/plans</x:v>
      </x:c>
      <x:c r="F21" s="20" t="str">
        <x:v>No goal/start/archive</x:v>
      </x:c>
      <x:c r="G21" s="20" t="str">
        <x:v>API-05</x:v>
      </x:c>
    </x:row>
    <x:row r="22" ht="46" customHeight="1">
      <x:c r="A22" s="20" t="str">
        <x:v>UI-18</x:v>
      </x:c>
      <x:c r="B22" s="20" t="str">
        <x:v>Check-in</x:v>
      </x:c>
      <x:c r="C22" s="20" t="str">
        <x:v>/app/actions/:id</x:v>
      </x:c>
      <x:c r="D22" s="20" t="str">
        <x:v>user</x:v>
      </x:c>
      <x:c r="E22" s="20" t="str">
        <x:v>POST /actions/{actionId}/check-ins</x:v>
      </x:c>
      <x:c r="F22" s="20" t="str">
        <x:v>Retry-idempotent/cancelled</x:v>
      </x:c>
      <x:c r="G22" s="20" t="str">
        <x:v>API-05</x:v>
      </x:c>
    </x:row>
    <x:row r="23" ht="46" customHeight="1">
      <x:c r="A23" s="20" t="str">
        <x:v>UI-19</x:v>
      </x:c>
      <x:c r="B23" s="20" t="str">
        <x:v>Dòng thời gian</x:v>
      </x:c>
      <x:c r="C23" s="20" t="str">
        <x:v>/app/timeline</x:v>
      </x:c>
      <x:c r="D23" s="20" t="str">
        <x:v>user</x:v>
      </x:c>
      <x:c r="E23" s="20" t="str">
        <x:v>GET /subjects/{subjectId}/timeline</x:v>
      </x:c>
      <x:c r="F23" s="20" t="str">
        <x:v>Fourtracks/unknown dates</x:v>
      </x:c>
      <x:c r="G23" s="20" t="str">
        <x:v>METHOD-08</x:v>
      </x:c>
    </x:row>
    <x:row r="24" ht="46" customHeight="1">
      <x:c r="A24" s="20" t="str">
        <x:v>UI-20</x:v>
      </x:c>
      <x:c r="B24" s="20" t="str">
        <x:v>Khảo sát</x:v>
      </x:c>
      <x:c r="C24" s="20" t="str">
        <x:v>/app/questionnaires/:code</x:v>
      </x:c>
      <x:c r="D24" s="20" t="str">
        <x:v>user</x:v>
      </x:c>
      <x:c r="E24" s="20" t="str">
        <x:v>POST /subjects/{subjectId}/questionnaire-responses</x:v>
      </x:c>
      <x:c r="F24" s="20" t="str">
        <x:v>Incomplete/localeunsupported</x:v>
      </x:c>
      <x:c r="G24" s="20" t="str">
        <x:v>EXPAND-01</x:v>
      </x:c>
    </x:row>
    <x:row r="25" ht="46" customHeight="1">
      <x:c r="A25" s="20" t="str">
        <x:v>UI-21</x:v>
      </x:c>
      <x:c r="B25" s="20" t="str">
        <x:v>Tính phân tích</x:v>
      </x:c>
      <x:c r="C25" s="20" t="str">
        <x:v>/app/analysis/new</x:v>
      </x:c>
      <x:c r="D25" s="20" t="str">
        <x:v>user</x:v>
      </x:c>
      <x:c r="E25" s="20" t="str">
        <x:v>POST /analysis-runs</x:v>
      </x:c>
      <x:c r="F25" s="20" t="str">
        <x:v>Missing/grantdenied/methodretired</x:v>
      </x:c>
      <x:c r="G25" s="20" t="str">
        <x:v>API-03</x:v>
      </x:c>
    </x:row>
    <x:row r="26" ht="46" customHeight="1">
      <x:c r="A26" s="20" t="str">
        <x:v>UI-22</x:v>
      </x:c>
      <x:c r="B26" s="20" t="str">
        <x:v>Tiến độ</x:v>
      </x:c>
      <x:c r="C26" s="20" t="str">
        <x:v>/app/analysis/:id</x:v>
      </x:c>
      <x:c r="D26" s="20" t="str">
        <x:v>user</x:v>
      </x:c>
      <x:c r="E26" s="20" t="str">
        <x:v>GET /analysis-runs/{runId}</x:v>
      </x:c>
      <x:c r="F26" s="20" t="str">
        <x:v>Queued/running/failed/cancelled</x:v>
      </x:c>
      <x:c r="G26" s="20" t="str">
        <x:v>API-03</x:v>
      </x:c>
    </x:row>
    <x:row r="27" ht="46" customHeight="1">
      <x:c r="A27" s="20" t="str">
        <x:v>UI-23</x:v>
      </x:c>
      <x:c r="B27" s="20" t="str">
        <x:v>Thư viện báo cáo</x:v>
      </x:c>
      <x:c r="C27" s="20" t="str">
        <x:v>/app/reports</x:v>
      </x:c>
      <x:c r="D27" s="20" t="str">
        <x:v>user</x:v>
      </x:c>
      <x:c r="E27" s="20" t="str">
        <x:v>GET /subjects/{subjectId}/reports</x:v>
      </x:c>
      <x:c r="F27" s="20" t="str">
        <x:v>No report/stale/withdrawn</x:v>
      </x:c>
      <x:c r="G27" s="20" t="str">
        <x:v>WEB-08</x:v>
      </x:c>
    </x:row>
    <x:row r="28" ht="46" customHeight="1">
      <x:c r="A28" s="20" t="str">
        <x:v>UI-24</x:v>
      </x:c>
      <x:c r="B28" s="20" t="str">
        <x:v>Đọc báo cáo</x:v>
      </x:c>
      <x:c r="C28" s="20" t="str">
        <x:v>/app/reports/:id</x:v>
      </x:c>
      <x:c r="D28" s="20" t="str">
        <x:v>user</x:v>
      </x:c>
      <x:c r="E28" s="20" t="str">
        <x:v>GET /reports/{reportId}</x:v>
      </x:c>
      <x:c r="F28" s="20" t="str">
        <x:v>Typedclaim/commoncontent separated</x:v>
      </x:c>
      <x:c r="G28" s="20" t="str">
        <x:v>REPORT-05</x:v>
      </x:c>
    </x:row>
    <x:row r="29" ht="46" customHeight="1">
      <x:c r="A29" s="20" t="str">
        <x:v>UI-25</x:v>
      </x:c>
      <x:c r="B29" s="20" t="str">
        <x:v>So sánh revisions</x:v>
      </x:c>
      <x:c r="C29" s="20" t="str">
        <x:v>/app/reports/:id/versions</x:v>
      </x:c>
      <x:c r="D29" s="20" t="str">
        <x:v>user</x:v>
      </x:c>
      <x:c r="E29" s="20" t="str">
        <x:v>GET /reports/{reportId}/revisions</x:v>
      </x:c>
      <x:c r="F29" s="20" t="str">
        <x:v>Changed/notcomparable</x:v>
      </x:c>
      <x:c r="G29" s="20" t="str">
        <x:v>REPORT-09</x:v>
      </x:c>
    </x:row>
    <x:row r="30" ht="46" customHeight="1">
      <x:c r="A30" s="20" t="str">
        <x:v>UI-26</x:v>
      </x:c>
      <x:c r="B30" s="20" t="str">
        <x:v>Xuất/tải</x:v>
      </x:c>
      <x:c r="C30" s="20" t="str">
        <x:v>/app/reports/:id/export</x:v>
      </x:c>
      <x:c r="D30" s="20" t="str">
        <x:v>user</x:v>
      </x:c>
      <x:c r="E30" s="20" t="str">
        <x:v>POST /reports/{reportId}/exports</x:v>
      </x:c>
      <x:c r="F30" s="20" t="str">
        <x:v>Queued/ready/expired/denied</x:v>
      </x:c>
      <x:c r="G30" s="20" t="str">
        <x:v>REPORT-06</x:v>
      </x:c>
    </x:row>
    <x:row r="31" ht="46" customHeight="1">
      <x:c r="A31" s="20" t="str">
        <x:v>UI-27</x:v>
      </x:c>
      <x:c r="B31" s="20" t="str">
        <x:v>Đơn hàng</x:v>
      </x:c>
      <x:c r="C31" s="20" t="str">
        <x:v>/app/orders</x:v>
      </x:c>
      <x:c r="D31" s="20" t="str">
        <x:v>user</x:v>
      </x:c>
      <x:c r="E31" s="20" t="str">
        <x:v>POST /orders</x:v>
      </x:c>
      <x:c r="F31" s="20" t="str">
        <x:v>Pricechanged/missingdata</x:v>
      </x:c>
      <x:c r="G31" s="20" t="str">
        <x:v>COMMERCE-01</x:v>
      </x:c>
    </x:row>
    <x:row r="32" ht="46" customHeight="1">
      <x:c r="A32" s="20" t="str">
        <x:v>UI-28</x:v>
      </x:c>
      <x:c r="B32" s="20" t="str">
        <x:v>Thanh toán</x:v>
      </x:c>
      <x:c r="C32" s="20" t="str">
        <x:v>/app/checkout/:id</x:v>
      </x:c>
      <x:c r="D32" s="20" t="str">
        <x:v>user</x:v>
      </x:c>
      <x:c r="E32" s="20" t="str">
        <x:v>POST /orders/{orderId}/checkout</x:v>
      </x:c>
      <x:c r="F32" s="20" t="str">
        <x:v>Pending/failed/serverconfirmed</x:v>
      </x:c>
      <x:c r="G32" s="20" t="str">
        <x:v>COMMERCE-03</x:v>
      </x:c>
    </x:row>
    <x:row r="33" ht="46" customHeight="1">
      <x:c r="A33" s="20" t="str">
        <x:v>UI-29</x:v>
      </x:c>
      <x:c r="B33" s="20" t="str">
        <x:v>Quyền dịch vụ</x:v>
      </x:c>
      <x:c r="C33" s="20" t="str">
        <x:v>/app/subscription</x:v>
      </x:c>
      <x:c r="D33" s="20" t="str">
        <x:v>user</x:v>
      </x:c>
      <x:c r="E33" s="20" t="str">
        <x:v>GET /entitlements</x:v>
      </x:c>
      <x:c r="F33" s="20" t="str">
        <x:v>Expired/cancelled/freefallback</x:v>
      </x:c>
      <x:c r="G33" s="20" t="str">
        <x:v>COMMERCE-05</x:v>
      </x:c>
    </x:row>
    <x:row r="34" ht="46" customHeight="1">
      <x:c r="A34" s="20" t="str">
        <x:v>UI-30</x:v>
      </x:c>
      <x:c r="B34" s="20" t="str">
        <x:v>Hỗ trợ</x:v>
      </x:c>
      <x:c r="C34" s="20" t="str">
        <x:v>/app/support</x:v>
      </x:c>
      <x:c r="D34" s="20" t="str">
        <x:v>user</x:v>
      </x:c>
      <x:c r="E34" s="20" t="str">
        <x:v>POST /support/tickets</x:v>
      </x:c>
      <x:c r="F34" s="20" t="str">
        <x:v>Escalated/noPIneeded</x:v>
      </x:c>
      <x:c r="G34" s="20" t="str">
        <x:v>COMMERCE-08</x:v>
      </x:c>
    </x:row>
    <x:row r="35" ht="46" customHeight="1">
      <x:c r="A35" s="20" t="str">
        <x:v>UI-31</x:v>
      </x:c>
      <x:c r="B35" s="20" t="str">
        <x:v>Xuất dữ liệu</x:v>
      </x:c>
      <x:c r="C35" s="20" t="str">
        <x:v>/app/privacy/export</x:v>
      </x:c>
      <x:c r="D35" s="20" t="str">
        <x:v>user</x:v>
      </x:c>
      <x:c r="E35" s="20" t="str">
        <x:v>POST /subjects/{subjectId}/data-exports</x:v>
      </x:c>
      <x:c r="F35" s="20" t="str">
        <x:v>Alwaysfree/progress</x:v>
      </x:c>
      <x:c r="G35" s="20" t="str">
        <x:v>DATA-09</x:v>
      </x:c>
    </x:row>
    <x:row r="36" ht="46" customHeight="1">
      <x:c r="A36" s="20" t="str">
        <x:v>UI-32</x:v>
      </x:c>
      <x:c r="B36" s="20" t="str">
        <x:v>Yêu cầu xóa</x:v>
      </x:c>
      <x:c r="C36" s="20" t="str">
        <x:v>/app/privacy/delete</x:v>
      </x:c>
      <x:c r="D36" s="20" t="str">
        <x:v>user</x:v>
      </x:c>
      <x:c r="E36" s="20" t="str">
        <x:v>POST /subjects/{subjectId}/deletion-jobs</x:v>
      </x:c>
      <x:c r="F36" s="20" t="str">
        <x:v>Hold/pending/complete/backupexpiry</x:v>
      </x:c>
      <x:c r="G36" s="20" t="str">
        <x:v>DATA-07</x:v>
      </x:c>
    </x:row>
    <x:row r="37" ht="46" customHeight="1">
      <x:c r="A37" s="20" t="str">
        <x:v>UI-33</x:v>
      </x:c>
      <x:c r="B37" s="20" t="str">
        <x:v>Trung tâm tự động</x:v>
      </x:c>
      <x:c r="C37" s="20" t="str">
        <x:v>/app/automations</x:v>
      </x:c>
      <x:c r="D37" s="20" t="str">
        <x:v>user</x:v>
      </x:c>
      <x:c r="E37" s="20" t="str">
        <x:v>POST /automations</x:v>
      </x:c>
      <x:c r="F37" s="20" t="str">
        <x:v>Off/optin/capped/stopped</x:v>
      </x:c>
      <x:c r="G37" s="20" t="str">
        <x:v>AI-10</x:v>
      </x:c>
    </x:row>
    <x:row r="38" ht="46" customHeight="1">
      <x:c r="A38" s="20" t="str">
        <x:v>UI-34</x:v>
      </x:c>
      <x:c r="B38" s="20" t="str">
        <x:v>Gia đình</x:v>
      </x:c>
      <x:c r="C38" s="20" t="str">
        <x:v>/family</x:v>
      </x:c>
      <x:c r="D38" s="20" t="str">
        <x:v>authorized_adults</x:v>
      </x:c>
      <x:c r="E38" s="20" t="str">
        <x:v>GET /subjects</x:v>
      </x:c>
      <x:c r="F38" s="20" t="str">
        <x:v>No blanketguardianaccess</x:v>
      </x:c>
      <x:c r="G38" s="20" t="str">
        <x:v>EXPAND-05</x:v>
      </x:c>
    </x:row>
    <x:row r="39" ht="46" customHeight="1">
      <x:c r="A39" s="20" t="str">
        <x:v>UI-35</x:v>
      </x:c>
      <x:c r="B39" s="20" t="str">
        <x:v>Case chuyên gia</x:v>
      </x:c>
      <x:c r="C39" s="20" t="str">
        <x:v>/practice/cases</x:v>
      </x:c>
      <x:c r="D39" s="20" t="str">
        <x:v>practitioner</x:v>
      </x:c>
      <x:c r="E39" s="20" t="str">
        <x:v>GET /practice/cases</x:v>
      </x:c>
      <x:c r="F39" s="20" t="str">
        <x:v>Grantmissing/expired/closed</x:v>
      </x:c>
      <x:c r="G39" s="20" t="str">
        <x:v>ACADEMY-05</x:v>
      </x:c>
    </x:row>
    <x:row r="40" ht="46" customHeight="1">
      <x:c r="A40" s="20" t="str">
        <x:v>UI-36</x:v>
      </x:c>
      <x:c r="B40" s="20" t="str">
        <x:v>Duyệt báo cáo</x:v>
      </x:c>
      <x:c r="C40" s="20" t="str">
        <x:v>/practice/reviews/:id</x:v>
      </x:c>
      <x:c r="D40" s="20" t="str">
        <x:v>reviewer</x:v>
      </x:c>
      <x:c r="E40" s="20" t="str">
        <x:v>POST /reports/{reportId}/reviews</x:v>
      </x:c>
      <x:c r="F40" s="20" t="str">
        <x:v>Draft/revise/approved no direct publish</x:v>
      </x:c>
      <x:c r="G40" s="20" t="str">
        <x:v>REPORT-10</x:v>
      </x:c>
    </x:row>
    <x:row r="41" ht="46" customHeight="1">
      <x:c r="A41" s="20" t="str">
        <x:v>UI-37</x:v>
      </x:c>
      <x:c r="B41" s="20" t="str">
        <x:v>Academy</x:v>
      </x:c>
      <x:c r="C41" s="20" t="str">
        <x:v>/academy</x:v>
      </x:c>
      <x:c r="D41" s="20" t="str">
        <x:v>guest/user</x:v>
      </x:c>
      <x:c r="E41" s="20" t="str">
        <x:v>GET /academy/courses</x:v>
      </x:c>
      <x:c r="F41" s="20" t="str">
        <x:v>Planned/open/closedcohort</x:v>
      </x:c>
      <x:c r="G41" s="20" t="str">
        <x:v>ACADEMY-01</x:v>
      </x:c>
    </x:row>
    <x:row r="42" ht="46" customHeight="1">
      <x:c r="A42" s="20" t="str">
        <x:v>UI-38</x:v>
      </x:c>
      <x:c r="B42" s="20" t="str">
        <x:v>Học bài</x:v>
      </x:c>
      <x:c r="C42" s="20" t="str">
        <x:v>/academy/learn/:id</x:v>
      </x:c>
      <x:c r="D42" s="20" t="str">
        <x:v>enrolled</x:v>
      </x:c>
      <x:c r="E42" s="20" t="str">
        <x:v>POST /academy/assignments</x:v>
      </x:c>
      <x:c r="F42" s="20" t="str">
        <x:v>Lockedbyenrollment notprivateprofile</x:v>
      </x:c>
      <x:c r="G42" s="20" t="str">
        <x:v>ACADEMY-03</x:v>
      </x:c>
    </x:row>
    <x:row r="43" ht="46" customHeight="1">
      <x:c r="A43" s="20" t="str">
        <x:v>UI-39</x:v>
      </x:c>
      <x:c r="B43" s="20" t="str">
        <x:v>Chứng nhận</x:v>
      </x:c>
      <x:c r="C43" s="20" t="str">
        <x:v>/academy/verify/:id</x:v>
      </x:c>
      <x:c r="D43" s="20" t="str">
        <x:v>public_minimal</x:v>
      </x:c>
      <x:c r="E43" s="20" t="str">
        <x:v>GET /certificates/{certificateId}</x:v>
      </x:c>
      <x:c r="F43" s="20" t="str">
        <x:v>Valid/expired/revoked minimumPI</x:v>
      </x:c>
      <x:c r="G43" s="20" t="str">
        <x:v>ACADEMY-06</x:v>
      </x:c>
    </x:row>
    <x:row r="44" ht="46" customHeight="1">
      <x:c r="A44" s="20" t="str">
        <x:v>UI-40</x:v>
      </x:c>
      <x:c r="B44" s="20" t="str">
        <x:v>Workspace</x:v>
      </x:c>
      <x:c r="C44" s="20" t="str">
        <x:v>/workspace</x:v>
      </x:c>
      <x:c r="D44" s="20" t="str">
        <x:v>organization_member</x:v>
      </x:c>
      <x:c r="E44" s="20" t="str">
        <x:v>GET /organizations/{organizationId}/overview</x:v>
      </x:c>
      <x:c r="F44" s="20" t="str">
        <x:v>No journal/morphology analytics</x:v>
      </x:c>
      <x:c r="G44" s="20" t="str">
        <x:v>EXPAND-08</x:v>
      </x:c>
    </x:row>
    <x:row r="45" ht="46" customHeight="1">
      <x:c r="A45" s="20" t="str">
        <x:v>UI-41</x:v>
      </x:c>
      <x:c r="B45" s="20" t="str">
        <x:v>Partner</x:v>
      </x:c>
      <x:c r="C45" s="20" t="str">
        <x:v>/partner</x:v>
      </x:c>
      <x:c r="D45" s="20" t="str">
        <x:v>licensed_partner</x:v>
      </x:c>
      <x:c r="E45" s="20" t="str">
        <x:v>GET /partners/{partnerId}</x:v>
      </x:c>
      <x:c r="F45" s="20" t="str">
        <x:v>Suspended/countrynotapproved</x:v>
      </x:c>
      <x:c r="G45" s="20" t="str">
        <x:v>GLOBAL-05</x:v>
      </x:c>
    </x:row>
    <x:row r="46" ht="46" customHeight="1">
      <x:c r="A46" s="20" t="str">
        <x:v>UI-42</x:v>
      </x:c>
      <x:c r="B46" s="20" t="str">
        <x:v>Nguồn/phương pháp Admin</x:v>
      </x:c>
      <x:c r="C46" s="20" t="str">
        <x:v>/admin/methods</x:v>
      </x:c>
      <x:c r="D46" s="20" t="str">
        <x:v>method_editor</x:v>
      </x:c>
      <x:c r="E46" s="20" t="str">
        <x:v>POST /admin/method-releases</x:v>
      </x:c>
      <x:c r="F46" s="20" t="str">
        <x:v>Reviewer segregation required</x:v>
      </x:c>
      <x:c r="G46" s="20" t="str">
        <x:v>METHOD-10</x:v>
      </x:c>
    </x:row>
    <x:row r="47" ht="46" customHeight="1">
      <x:c r="A47" s="20" t="str">
        <x:v>UI-43</x:v>
      </x:c>
      <x:c r="B47" s="20" t="str">
        <x:v>Quality center</x:v>
      </x:c>
      <x:c r="C47" s="20" t="str">
        <x:v>/admin/quality</x:v>
      </x:c>
      <x:c r="D47" s="20" t="str">
        <x:v>quality_reviewer</x:v>
      </x:c>
      <x:c r="E47" s="20" t="str">
        <x:v>GET /admin/quality</x:v>
      </x:c>
      <x:c r="F47" s="20" t="str">
        <x:v>No universalPIaccess</x:v>
      </x:c>
      <x:c r="G47" s="20" t="str">
        <x:v>OPS-08</x:v>
      </x:c>
    </x:row>
    <x:row r="48" ht="46" customHeight="1">
      <x:c r="A48" s="20" t="str">
        <x:v>UI-44</x:v>
      </x:c>
      <x:c r="B48" s="20" t="str">
        <x:v>Ops center</x:v>
      </x:c>
      <x:c r="C48" s="20" t="str">
        <x:v>/admin/operations</x:v>
      </x:c>
      <x:c r="D48" s="20" t="str">
        <x:v>ops</x:v>
      </x:c>
      <x:c r="E48" s="20" t="str">
        <x:v>GET /admin/operations</x:v>
      </x:c>
      <x:c r="F48" s="20" t="str">
        <x:v>Kill switches A3approval</x:v>
      </x:c>
      <x:c r="G48" s="20" t="str">
        <x:v>OPS-04</x:v>
      </x:c>
    </x:row>
    <x:row r="49" ht="46" customHeight="1">
      <x:c r="A49" s="20" t="str">
        <x:v>UI-45</x:v>
      </x:c>
      <x:c r="B49" s="20" t="str">
        <x:v>Rights/legal center</x:v>
      </x:c>
      <x:c r="C49" s="20" t="str">
        <x:v>/admin/rights</x:v>
      </x:c>
      <x:c r="D49" s="20" t="str">
        <x:v>legal</x:v>
      </x:c>
      <x:c r="E49" s="20" t="str">
        <x:v>POST /admin/country-packs</x:v>
      </x:c>
      <x:c r="F49" s="20" t="str">
        <x:v>Pending/expired/restricted</x:v>
      </x:c>
      <x:c r="G49" s="20" t="str">
        <x:v>GLOBAL-01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078e0dc3c1424e9f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5" hidden="0" customWidth="1"/>
    <x:col min="3" max="3" width="26" hidden="0" customWidth="1"/>
    <x:col min="4" max="4" width="24" hidden="0" customWidth="1"/>
    <x:col min="5" max="5" width="112" hidden="0" customWidth="1"/>
  </x:cols>
  <x:sheetData>
    <x:row r="1" ht="34" customHeight="1">
      <x:c r="A1" s="3" t="str">
        <x:v>Cấp phép và quốc gia</x:v>
      </x:c>
      <x:c r="B1" s="3"/>
      <x:c r="C1" s="3"/>
      <x:c r="D1" s="3"/>
      <x:c r="E1" s="3"/>
    </x:row>
    <x:row r="2" ht="33" customHeight="1">
      <x:c r="A2" s="7" t="str">
        <x:v>Mọi country pack chưa được phê duyệt; không giả có quyền kinh doanh hoặc bảo hộ toàn cầu.</x:v>
      </x:c>
      <x:c r="B2" s="7"/>
      <x:c r="C2" s="7"/>
      <x:c r="D2" s="7"/>
      <x:c r="E2" s="7"/>
    </x:row>
    <x:row r="4" ht="28" customHeight="1">
      <x:c r="A4" s="16" t="str">
        <x:v>Mã</x:v>
      </x:c>
      <x:c r="B4" s="16" t="str">
        <x:v>Quốc gia</x:v>
      </x:c>
      <x:c r="C4" s="16" t="str">
        <x:v>Locale</x:v>
      </x:c>
      <x:c r="D4" s="16" t="str">
        <x:v>Status</x:v>
      </x:c>
      <x:c r="E4" s="16" t="str">
        <x:v>Ghi chú</x:v>
      </x:c>
    </x:row>
    <x:row r="5" ht="46" customHeight="1">
      <x:c r="A5" s="20" t="str">
        <x:v>VN</x:v>
      </x:c>
      <x:c r="B5" s="20" t="str">
        <x:v>Việt Nam</x:v>
      </x:c>
      <x:c r="C5" s="20" t="str">
        <x:v>vi-VN</x:v>
      </x:c>
      <x:c r="D5" s="20" t="str">
        <x:v>NOT_APPROVED</x:v>
      </x:c>
      <x:c r="E5" s="20" t="str">
        <x:v>Primary scope; legal applicability opinion required</x:v>
      </x:c>
    </x:row>
    <x:row r="6" ht="46" customHeight="1">
      <x:c r="A6" s="20" t="str">
        <x:v>EU-EEA</x:v>
      </x:c>
      <x:c r="B6" s="20" t="str">
        <x:v>EU/EEA</x:v>
      </x:c>
      <x:c r="C6" s="20" t="str">
        <x:v>country_specific</x:v>
      </x:c>
      <x:c r="D6" s="20" t="str">
        <x:v>NOT_APPROVED</x:v>
      </x:c>
      <x:c r="E6" s="20" t="str">
        <x:v>GDPR, AI Act consolidated timeline; local franchise/consumer rules</x:v>
      </x:c>
    </x:row>
    <x:row r="7" ht="46" customHeight="1">
      <x:c r="A7" s="20" t="str">
        <x:v>US</x:v>
      </x:c>
      <x:c r="B7" s="20" t="str">
        <x:v>Hoa Kỳ</x:v>
      </x:c>
      <x:c r="C7" s="20" t="str">
        <x:v>en-US</x:v>
      </x:c>
      <x:c r="D7" s="20" t="str">
        <x:v>NOT_APPROVED</x:v>
      </x:c>
      <x:c r="E7" s="20" t="str">
        <x:v>FTC federal franchise + state rules; privacy, children, claims counsel</x:v>
      </x:c>
    </x:row>
    <x:row r="8" ht="46" customHeight="1">
      <x:c r="A8" s="20" t="str">
        <x:v>AU</x:v>
      </x:c>
      <x:c r="B8" s="20" t="str">
        <x:v>Australia</x:v>
      </x:c>
      <x:c r="C8" s="20" t="str">
        <x:v>en-AU</x:v>
      </x:c>
      <x:c r="D8" s="20" t="str">
        <x:v>NOT_APPROVED</x:v>
      </x:c>
      <x:c r="E8" s="20" t="str">
        <x:v>Franchise Code, privacy, consumer; current duties by transaction</x:v>
      </x:c>
    </x:row>
    <x:row r="9" ht="46" customHeight="1">
      <x:c r="A9" s="20" t="str">
        <x:v>SG</x:v>
      </x:c>
      <x:c r="B9" s="20" t="str">
        <x:v>Singapore</x:v>
      </x:c>
      <x:c r="C9" s="20" t="str">
        <x:v>en-SG</x:v>
      </x:c>
      <x:c r="D9" s="20" t="str">
        <x:v>NOT_APPROVED</x:v>
      </x:c>
      <x:c r="E9" s="20" t="str">
        <x:v>PDPC source partial; dedicated full legal review pending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9c3809c3be24200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21" hidden="0" customWidth="1"/>
    <x:col min="3" max="3" width="21" hidden="0" customWidth="1"/>
    <x:col min="4" max="4" width="21" hidden="0" customWidth="1"/>
    <x:col min="5" max="5" width="29" hidden="0" customWidth="1"/>
    <x:col min="6" max="6" width="36" hidden="0" customWidth="1"/>
    <x:col min="7" max="7" width="36" hidden="0" customWidth="1"/>
  </x:cols>
  <x:sheetData>
    <x:row r="1" ht="34" customHeight="1">
      <x:c r="A1" s="3" t="str">
        <x:v>Mô hình ngân sách | Nhập đơn giá đã được duyệt</x:v>
      </x:c>
      <x:c r="B1" s="3"/>
      <x:c r="C1" s="3"/>
      <x:c r="D1" s="3"/>
      <x:c r="E1" s="3"/>
      <x:c r="F1" s="3"/>
      <x:c r="G1" s="3"/>
    </x:row>
    <x:row r="2" ht="33" customHeight="1">
      <x:c r="A2" s="7" t="str">
        <x:v>FTE/tháng là giả định cấu trúc đội beta. Đơn giá để trống có chủ đích: chưa có báo giá, không coi là 0 đồng.</x:v>
      </x:c>
      <x:c r="B2" s="7"/>
      <x:c r="C2" s="7"/>
      <x:c r="D2" s="7"/>
      <x:c r="E2" s="7"/>
      <x:c r="F2" s="7"/>
      <x:c r="G2" s="7"/>
    </x:row>
    <x:row r="4" ht="30" customHeight="1">
      <x:c r="A4" s="11" t="str">
        <x:v>Vai trò</x:v>
      </x:c>
      <x:c r="B4" s="11" t="str">
        <x:v>FTE giả định</x:v>
      </x:c>
      <x:c r="C4" s="11" t="str">
        <x:v>Số tháng</x:v>
      </x:c>
      <x:c r="D4" s="11" t="str">
        <x:v>Đơn giá/tháng VND</x:v>
      </x:c>
      <x:c r="E4" s="11" t="str">
        <x:v>Thành tiền VND</x:v>
      </x:c>
      <x:c r="F4" s="11" t="str">
        <x:v>Tình trạng</x:v>
      </x:c>
      <x:c r="G4" s="11" t="str">
        <x:v>Ghi chú</x:v>
      </x:c>
    </x:row>
    <x:row r="5" ht="44" customHeight="1">
      <x:c r="A5" s="14" t="str">
        <x:v>Tech Lead / Backend</x:v>
      </x:c>
      <x:c r="B5" s="34" t="n">
        <x:v>1</x:v>
      </x:c>
      <x:c r="C5" s="34" t="n">
        <x:v>6</x:v>
      </x:c>
      <x:c r="D5" s="40"/>
      <x:c r="E5" s="41" t="str">
        <x:f>IF(ISNUMBER(D5),B5*C5*D5,"")</x:f>
      </x:c>
      <x:c r="F5" s="14" t="str">
        <x:v>CẦN NHẬP ĐƠN GIÁ</x:v>
      </x:c>
      <x:c r="G5" s="14" t="str">
        <x:v>Giả định beta; có thể kiêm nhiệm sau khi duyệt</x:v>
      </x:c>
    </x:row>
    <x:row r="6" ht="44" customHeight="1">
      <x:c r="A6" s="14" t="str">
        <x:v>Backend / Data</x:v>
      </x:c>
      <x:c r="B6" s="34" t="n">
        <x:v>1</x:v>
      </x:c>
      <x:c r="C6" s="34" t="n">
        <x:v>6</x:v>
      </x:c>
      <x:c r="D6" s="40"/>
      <x:c r="E6" s="41" t="str">
        <x:f>IF(ISNUMBER(D6),B6*C6*D6,"")</x:f>
      </x:c>
      <x:c r="F6" s="14" t="str">
        <x:v>CẦN NHẬP ĐƠN GIÁ</x:v>
      </x:c>
      <x:c r="G6" s="14" t="str">
        <x:v>Giả định beta; có thể kiêm nhiệm sau khi duyệt</x:v>
      </x:c>
    </x:row>
    <x:row r="7" ht="44" customHeight="1">
      <x:c r="A7" s="14" t="str">
        <x:v>Frontend / UX</x:v>
      </x:c>
      <x:c r="B7" s="34" t="n">
        <x:v>1</x:v>
      </x:c>
      <x:c r="C7" s="34" t="n">
        <x:v>6</x:v>
      </x:c>
      <x:c r="D7" s="40"/>
      <x:c r="E7" s="41" t="str">
        <x:f>IF(ISNUMBER(D7),B7*C7*D7,"")</x:f>
      </x:c>
      <x:c r="F7" s="14" t="str">
        <x:v>CẦN NHẬP ĐƠN GIÁ</x:v>
      </x:c>
      <x:c r="G7" s="14" t="str">
        <x:v>Giả định beta; có thể kiêm nhiệm sau khi duyệt</x:v>
      </x:c>
    </x:row>
    <x:row r="8" ht="44" customHeight="1">
      <x:c r="A8" s="14" t="str">
        <x:v>AI / Knowledge</x:v>
      </x:c>
      <x:c r="B8" s="34" t="n">
        <x:v>1</x:v>
      </x:c>
      <x:c r="C8" s="34" t="n">
        <x:v>6</x:v>
      </x:c>
      <x:c r="D8" s="40"/>
      <x:c r="E8" s="41" t="str">
        <x:f>IF(ISNUMBER(D8),B8*C8*D8,"")</x:f>
      </x:c>
      <x:c r="F8" s="14" t="str">
        <x:v>CẦN NHẬP ĐƠN GIÁ</x:v>
      </x:c>
      <x:c r="G8" s="14" t="str">
        <x:v>Giả định beta; có thể kiêm nhiệm sau khi duyệt</x:v>
      </x:c>
    </x:row>
    <x:row r="9" ht="44" customHeight="1">
      <x:c r="A9" s="14" t="str">
        <x:v>Report / Full-stack</x:v>
      </x:c>
      <x:c r="B9" s="34" t="n">
        <x:v>1</x:v>
      </x:c>
      <x:c r="C9" s="34" t="n">
        <x:v>6</x:v>
      </x:c>
      <x:c r="D9" s="40"/>
      <x:c r="E9" s="41" t="str">
        <x:f>IF(ISNUMBER(D9),B9*C9*D9,"")</x:f>
      </x:c>
      <x:c r="F9" s="14" t="str">
        <x:v>CẦN NHẬP ĐƠN GIÁ</x:v>
      </x:c>
      <x:c r="G9" s="14" t="str">
        <x:v>Giả định beta; có thể kiêm nhiệm sau khi duyệt</x:v>
      </x:c>
    </x:row>
    <x:row r="10" ht="44" customHeight="1">
      <x:c r="A10" s="14" t="str">
        <x:v>QA Automation</x:v>
      </x:c>
      <x:c r="B10" s="34" t="n">
        <x:v>1</x:v>
      </x:c>
      <x:c r="C10" s="34" t="n">
        <x:v>6</x:v>
      </x:c>
      <x:c r="D10" s="40"/>
      <x:c r="E10" s="41" t="str">
        <x:f>IF(ISNUMBER(D10),B10*C10*D10,"")</x:f>
      </x:c>
      <x:c r="F10" s="14" t="str">
        <x:v>CẦN NHẬP ĐƠN GIÁ</x:v>
      </x:c>
      <x:c r="G10" s="14" t="str">
        <x:v>Giả định beta; có thể kiêm nhiệm sau khi duyệt</x:v>
      </x:c>
    </x:row>
    <x:row r="11" ht="44" customHeight="1">
      <x:c r="A11" s="14" t="str">
        <x:v>Platform / SRE</x:v>
      </x:c>
      <x:c r="B11" s="34" t="n">
        <x:v>1</x:v>
      </x:c>
      <x:c r="C11" s="34" t="n">
        <x:v>6</x:v>
      </x:c>
      <x:c r="D11" s="40"/>
      <x:c r="E11" s="41" t="str">
        <x:f>IF(ISNUMBER(D11),B11*C11*D11,"")</x:f>
      </x:c>
      <x:c r="F11" s="14" t="str">
        <x:v>CẦN NHẬP ĐƠN GIÁ</x:v>
      </x:c>
      <x:c r="G11" s="14" t="str">
        <x:v>Giả định beta; có thể kiêm nhiệm sau khi duyệt</x:v>
      </x:c>
    </x:row>
    <x:row r="12" ht="44" customHeight="1">
      <x:c r="A12" s="14" t="str">
        <x:v>Editorial / Product</x:v>
      </x:c>
      <x:c r="B12" s="34" t="n">
        <x:v>1</x:v>
      </x:c>
      <x:c r="C12" s="34" t="n">
        <x:v>6</x:v>
      </x:c>
      <x:c r="D12" s="40"/>
      <x:c r="E12" s="41" t="str">
        <x:f>IF(ISNUMBER(D12),B12*C12*D12,"")</x:f>
      </x:c>
      <x:c r="F12" s="14" t="str">
        <x:v>CẦN NHẬP ĐƠN GIÁ</x:v>
      </x:c>
      <x:c r="G12" s="14" t="str">
        <x:v>Giả định beta; có thể kiêm nhiệm sau khi duyệt</x:v>
      </x:c>
    </x:row>
    <x:row r="13">
      <x:c r="D13" s="42"/>
      <x:c r="E13" s="42"/>
    </x:row>
    <x:row r="14">
      <x:c r="A14" t="str">
        <x:v>Tổng nhân sự</x:v>
      </x:c>
      <x:c r="D14" s="42"/>
      <x:c r="E14" s="42" t="str">
        <x:f>IF(COUNT(D5:D12)=8,SUM(E5:E12),"CHƯA ĐỦ GIẢ ĐỊNH")</x:f>
        <x:v>CHƯA ĐỦ GIẢ ĐỊNH</x:v>
      </x:c>
    </x:row>
    <x:row r="15">
      <x:c r="D15" s="42"/>
      <x:c r="E15" s="42"/>
    </x:row>
    <x:row r="16">
      <x:c r="D16" s="42"/>
      <x:c r="E16" s="42"/>
    </x:row>
    <x:row r="17">
      <x:c r="A17" t="str">
        <x:v>Hạ tầng / AI 6 tháng</x:v>
      </x:c>
      <x:c r="B17" s="36"/>
      <x:c r="D17" s="42"/>
      <x:c r="E17" s="42"/>
    </x:row>
    <x:row r="18">
      <x:c r="A18" t="str">
        <x:v>Pháp lý / quyền nguồn</x:v>
      </x:c>
      <x:c r="B18" s="36"/>
      <x:c r="D18" s="42"/>
      <x:c r="E18" s="42"/>
    </x:row>
    <x:row r="19">
      <x:c r="A19" t="str">
        <x:v>Security review độc lập</x:v>
      </x:c>
      <x:c r="B19" s="36"/>
      <x:c r="D19" s="42"/>
      <x:c r="E19" s="42"/>
    </x:row>
    <x:row r="20">
      <x:c r="A20" t="str">
        <x:v>Dịch / bản địa hóa</x:v>
      </x:c>
      <x:c r="B20" s="36"/>
      <x:c r="D20" s="42"/>
      <x:c r="E20" s="42"/>
    </x:row>
    <x:row r="21">
      <x:c r="A21" t="str">
        <x:v>Dự phòng (%)</x:v>
      </x:c>
      <x:c r="B21" s="37" t="n">
        <x:v>0.15</x:v>
      </x:c>
      <x:c r="D21" s="42"/>
      <x:c r="E21" s="42"/>
    </x:row>
    <x:row r="22">
      <x:c r="D22" s="42"/>
      <x:c r="E22" s="42"/>
    </x:row>
    <x:row r="23">
      <x:c r="A23" t="str">
        <x:v>Tổng ngân sách</x:v>
      </x:c>
      <x:c r="D23" s="42"/>
      <x:c r="E23" s="42" t="str">
        <x:f>IF(AND(COUNT(D5:D12)=8,COUNT(B17:B20)=4),(SUM(E5:E12)+SUM(B17:B20))*(1+B21),"CHƯA ĐỦ GIẢ ĐỊNH")</x:f>
        <x:v>CHƯA ĐỦ GIẢ ĐỊNH</x:v>
      </x:c>
    </x:row>
    <x:row r="25" ht="26" customHeight="1">
      <x:c r="A25" s="31" t="str">
        <x:v>Không là báo giá thị trường. Không gồm ROI/thu nhập nhượng quyền. Nhập chi phí hợp lệ và thay số tháng theo scope trước khi dùng để quyết định.</x:v>
      </x:c>
      <x:c r="B25" s="31"/>
      <x:c r="C25" s="31"/>
      <x:c r="D25" s="31"/>
      <x:c r="E25" s="31"/>
      <x:c r="F25" s="31"/>
      <x:c r="G25" s="31"/>
    </x:row>
    <x:row r="26" ht="26" customHeight="1">
      <x:c r="A26" s="31"/>
      <x:c r="B26" s="31"/>
      <x:c r="C26" s="31"/>
      <x:c r="D26" s="31"/>
      <x:c r="E26" s="31"/>
      <x:c r="F26" s="31"/>
      <x:c r="G26" s="31"/>
    </x:row>
  </x:sheetData>
  <x:mergeCells>
    <x:mergeCell ref="A1:G1"/>
    <x:mergeCell ref="A2:G2"/>
    <x:mergeCell ref="A25:G2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4" customHeight="1">
      <x:c r="A1" s="3" t="str">
        <x:v>LIFE CODE OS | Tổng quan bàn giao</x:v>
      </x:c>
      <x:c r="B1" s="3"/>
      <x:c r="C1" s="3"/>
      <x:c r="D1" s="3"/>
      <x:c r="E1" s="3"/>
      <x:c r="F1" s="3"/>
      <x:c r="G1" s="3"/>
      <x:c r="H1" s="3"/>
    </x:row>
    <x:row r="2" ht="33" customHeight="1">
      <x:c r="A2" s="7" t="str">
        <x:v>Chỉ số dưới đây là trạng thái bảng kế hoạch; không chứng nhận readiness hoặc độ đúng của Life Code.</x:v>
      </x:c>
      <x:c r="B2" s="7"/>
      <x:c r="C2" s="7"/>
      <x:c r="D2" s="7"/>
      <x:c r="E2" s="7"/>
      <x:c r="F2" s="7"/>
      <x:c r="G2" s="7"/>
      <x:c r="H2" s="7"/>
    </x:row>
    <x:row r="4" ht="28" customHeight="1">
      <x:c r="A4" s="11" t="str">
        <x:v>Công việc</x:v>
      </x:c>
      <x:c r="B4" s="11" t="str">
        <x:v>Đã DONE</x:v>
      </x:c>
      <x:c r="C4" s="11" t="str">
        <x:v>Gates PASS</x:v>
      </x:c>
      <x:c r="D4" s="11" t="str">
        <x:v>Q đã duyệt</x:v>
      </x:c>
    </x:row>
    <x:row r="5" ht="45" customHeight="1">
      <x:c r="A5" s="47" t="n">
        <x:f>COUNTA(Backlog!A5:A144)</x:f>
        <x:v>140</x:v>
      </x:c>
      <x:c r="B5" s="47" t="n">
        <x:f>COUNTIF(Backlog!F5:F144,"DONE")</x:f>
        <x:v>0</x:v>
      </x:c>
      <x:c r="C5" s="47" t="n">
        <x:f>COUNTIF(Gates!D5:D16,"PASS")</x:f>
        <x:v>0</x:v>
      </x:c>
      <x:c r="D5" s="47" t="n">
        <x:f>COUNTIF(Decisions!C5:C24,"APPROVE")+COUNTIF(Decisions!C5:C24,"APPROVE_WITH_CONDITIONS")</x:f>
        <x:v>0</x:v>
      </x:c>
    </x:row>
    <x:row r="8">
      <x:c r="A8" s="11" t="str">
        <x:v>Phase</x:v>
      </x:c>
      <x:c r="B8" s="11" t="str">
        <x:v>Công việc</x:v>
      </x:c>
      <x:c r="C8" s="11" t="str">
        <x:v>Ngày công thấp</x:v>
      </x:c>
      <x:c r="D8" s="11" t="str">
        <x:v>Ngày công cao</x:v>
      </x:c>
      <x:c r="E8" s="11" t="str">
        <x:v>DONE</x:v>
      </x:c>
    </x:row>
    <x:row r="9" ht="25" customHeight="1">
      <x:c r="A9" t="str">
        <x:v>P0</x:v>
      </x:c>
      <x:c r="B9" t="n">
        <x:f>COUNTIF(Backlog!B$5:B$144,A9)</x:f>
        <x:v>10</x:v>
      </x:c>
      <x:c r="C9" t="n">
        <x:f>SUMIF(Backlog!B$5:B$144,A9,Backlog!G$5:G$144)</x:f>
        <x:v>10</x:v>
      </x:c>
      <x:c r="D9" t="n">
        <x:f>SUMIF(Backlog!B$5:B$144,A9,Backlog!H$5:H$144)</x:f>
        <x:v>20</x:v>
      </x:c>
      <x:c r="E9" t="n">
        <x:f>COUNTIFS(Backlog!B$5:B$144,A9,Backlog!F$5:F$144,"DONE")</x:f>
        <x:v>0</x:v>
      </x:c>
    </x:row>
    <x:row r="10" ht="25" customHeight="1">
      <x:c r="A10" t="str">
        <x:v>A</x:v>
      </x:c>
      <x:c r="B10" t="n">
        <x:f>COUNTIF(Backlog!B$5:B$144,A10)</x:f>
        <x:v>10</x:v>
      </x:c>
      <x:c r="C10" t="n">
        <x:f>SUMIF(Backlog!B$5:B$144,A10,Backlog!G$5:G$144)</x:f>
        <x:v>27</x:v>
      </x:c>
      <x:c r="D10" t="n">
        <x:f>SUMIF(Backlog!B$5:B$144,A10,Backlog!H$5:H$144)</x:f>
        <x:v>64</x:v>
      </x:c>
      <x:c r="E10" t="n">
        <x:f>COUNTIFS(Backlog!B$5:B$144,A10,Backlog!F$5:F$144,"DONE")</x:f>
        <x:v>0</x:v>
      </x:c>
    </x:row>
    <x:row r="11" ht="25" customHeight="1">
      <x:c r="A11" t="str">
        <x:v>B</x:v>
      </x:c>
      <x:c r="B11" t="n">
        <x:f>COUNTIF(Backlog!B$5:B$144,A11)</x:f>
        <x:v>20</x:v>
      </x:c>
      <x:c r="C11" t="n">
        <x:f>SUMIF(Backlog!B$5:B$144,A11,Backlog!G$5:G$144)</x:f>
        <x:v>54</x:v>
      </x:c>
      <x:c r="D11" t="n">
        <x:f>SUMIF(Backlog!B$5:B$144,A11,Backlog!H$5:H$144)</x:f>
        <x:v>128</x:v>
      </x:c>
      <x:c r="E11" t="n">
        <x:f>COUNTIFS(Backlog!B$5:B$144,A11,Backlog!F$5:F$144,"DONE")</x:f>
        <x:v>0</x:v>
      </x:c>
    </x:row>
    <x:row r="12" ht="25" customHeight="1">
      <x:c r="A12" t="str">
        <x:v>C</x:v>
      </x:c>
      <x:c r="B12" t="n">
        <x:f>COUNTIF(Backlog!B$5:B$144,A12)</x:f>
        <x:v>40</x:v>
      </x:c>
      <x:c r="C12" t="n">
        <x:f>SUMIF(Backlog!B$5:B$144,A12,Backlog!G$5:G$144)</x:f>
        <x:v>108</x:v>
      </x:c>
      <x:c r="D12" t="n">
        <x:f>SUMIF(Backlog!B$5:B$144,A12,Backlog!H$5:H$144)</x:f>
        <x:v>256</x:v>
      </x:c>
      <x:c r="E12" t="n">
        <x:f>COUNTIFS(Backlog!B$5:B$144,A12,Backlog!F$5:F$144,"DONE")</x:f>
        <x:v>0</x:v>
      </x:c>
    </x:row>
    <x:row r="13" ht="25" customHeight="1">
      <x:c r="A13" t="str">
        <x:v>D</x:v>
      </x:c>
      <x:c r="B13" t="n">
        <x:f>COUNTIF(Backlog!B$5:B$144,A13)</x:f>
        <x:v>30</x:v>
      </x:c>
      <x:c r="C13" t="n">
        <x:f>SUMIF(Backlog!B$5:B$144,A13,Backlog!G$5:G$144)</x:f>
        <x:v>81</x:v>
      </x:c>
      <x:c r="D13" t="n">
        <x:f>SUMIF(Backlog!B$5:B$144,A13,Backlog!H$5:H$144)</x:f>
        <x:v>192</x:v>
      </x:c>
      <x:c r="E13" t="n">
        <x:f>COUNTIFS(Backlog!B$5:B$144,A13,Backlog!F$5:F$144,"DONE")</x:f>
        <x:v>0</x:v>
      </x:c>
    </x:row>
    <x:row r="14" ht="25" customHeight="1">
      <x:c r="A14" t="str">
        <x:v>E</x:v>
      </x:c>
      <x:c r="B14" t="n">
        <x:f>COUNTIF(Backlog!B$5:B$144,A14)</x:f>
        <x:v>20</x:v>
      </x:c>
      <x:c r="C14" t="n">
        <x:f>SUMIF(Backlog!B$5:B$144,A14,Backlog!G$5:G$144)</x:f>
        <x:v>54</x:v>
      </x:c>
      <x:c r="D14" t="n">
        <x:f>SUMIF(Backlog!B$5:B$144,A14,Backlog!H$5:H$144)</x:f>
        <x:v>128</x:v>
      </x:c>
      <x:c r="E14" t="n">
        <x:f>COUNTIFS(Backlog!B$5:B$144,A14,Backlog!F$5:F$144,"DONE")</x:f>
        <x:v>0</x:v>
      </x:c>
    </x:row>
    <x:row r="15" ht="25" customHeight="1">
      <x:c r="A15" t="str">
        <x:v>F</x:v>
      </x:c>
      <x:c r="B15" t="n">
        <x:f>COUNTIF(Backlog!B$5:B$144,A15)</x:f>
        <x:v>10</x:v>
      </x:c>
      <x:c r="C15" t="n">
        <x:f>SUMIF(Backlog!B$5:B$144,A15,Backlog!G$5:G$144)</x:f>
        <x:v>27</x:v>
      </x:c>
      <x:c r="D15" t="n">
        <x:f>SUMIF(Backlog!B$5:B$144,A15,Backlog!H$5:H$144)</x:f>
        <x:v>64</x:v>
      </x:c>
      <x:c r="E15" t="n">
        <x:f>COUNTIFS(Backlog!B$5:B$144,A15,Backlog!F$5:F$144,"DONE")</x:f>
        <x:v>0</x:v>
      </x:c>
    </x:row>
    <x:row r="17" ht="26" customHeight="1">
      <x:c r="A17" s="50" t="str">
        <x:v>Tổng</x:v>
      </x:c>
      <x:c r="B17" s="50" t="n">
        <x:f>SUM(B9:B15)</x:f>
        <x:v>140</x:v>
      </x:c>
      <x:c r="C17" s="50" t="n">
        <x:f>SUM(C9:C15)</x:f>
        <x:v>361</x:v>
      </x:c>
      <x:c r="D17" s="50" t="n">
        <x:f>SUM(D9:D15)</x:f>
        <x:v>852</x:v>
      </x:c>
      <x:c r="E17" s="50" t="n">
        <x:f>SUM(E9:E15)</x:f>
        <x:v>0</x:v>
      </x:c>
    </x:row>
    <x:row r="20" ht="30" customHeight="1">
      <x:c r="A20" s="31" t="str">
        <x:v>SOURCE: main 99b4027… | audit 336ef35a… | deployed SHA chưa có receipt</x:v>
      </x:c>
      <x:c r="B20" s="31"/>
      <x:c r="C20" s="31"/>
      <x:c r="D20" s="31"/>
      <x:c r="E20" s="31"/>
      <x:c r="F20" s="31"/>
      <x:c r="G20" s="31"/>
      <x:c r="H20" s="31"/>
    </x:row>
    <x:row r="22" ht="26" customHeight="1">
      <x:c r="A22" s="53" t="str">
        <x:v>Bắt đầu: P0-01 → P0-10. Không deploy hoặc thu dữ liệu sâu dựa vào file kế hoạch. Kiểm thử tham chiếu 83/83 nằm riêng; chưa phải kiểm thử API production.</x:v>
      </x:c>
      <x:c r="B22" s="53"/>
      <x:c r="C22" s="53"/>
      <x:c r="D22" s="53"/>
      <x:c r="E22" s="53"/>
      <x:c r="F22" s="53"/>
      <x:c r="G22" s="53"/>
      <x:c r="H22" s="53"/>
    </x:row>
    <x:row r="23" ht="26" customHeight="1">
      <x:c r="A23" s="53"/>
      <x:c r="B23" s="53"/>
      <x:c r="C23" s="53"/>
      <x:c r="D23" s="53"/>
      <x:c r="E23" s="53"/>
      <x:c r="F23" s="53"/>
      <x:c r="G23" s="53"/>
      <x:c r="H23" s="53"/>
    </x:row>
  </x:sheetData>
  <x:mergeCells>
    <x:mergeCell ref="A1:H1"/>
    <x:mergeCell ref="A2:H2"/>
    <x:mergeCell ref="A20:H20"/>
    <x:mergeCell ref="A22:H2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48" hidden="0" customWidth="1"/>
    <x:col min="4" max="4" width="22" hidden="0" customWidth="1"/>
    <x:col min="5" max="5" width="20" hidden="0" customWidth="1"/>
    <x:col min="6" max="6" width="19" hidden="0" customWidth="1"/>
    <x:col min="7" max="7" width="13" hidden="0" customWidth="1"/>
    <x:col min="8" max="8" width="13" hidden="0" customWidth="1"/>
    <x:col min="9" max="9" width="45" hidden="0" customWidth="1"/>
    <x:col min="10" max="10" width="28" hidden="0" customWidth="1"/>
  </x:cols>
  <x:sheetData>
    <x:row r="1" ht="34" customHeight="1">
      <x:c r="A1" s="56" t="str">
        <x:v>68 công việc làm rõ phạm vi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34" customHeight="1">
      <x:c r="A2" s="58" t="str">
        <x:v>Đây là công việc con của backlog gốc; không cộng toàn bộ ước lượng hai lần. Production chưa bắt đầu.</x:v>
      </x:c>
      <x:c r="B2" s="58"/>
      <x:c r="C2" s="58"/>
      <x:c r="D2" s="58"/>
      <x:c r="E2" s="58"/>
      <x:c r="F2" s="58"/>
      <x:c r="G2" s="58"/>
      <x:c r="H2" s="58"/>
      <x:c r="I2" s="58"/>
      <x:c r="J2" s="58"/>
    </x:row>
    <x:row r="4" ht="28" customHeight="1">
      <x:c r="A4" s="61" t="str">
        <x:v>ID</x:v>
      </x:c>
      <x:c r="B4" s="61" t="str">
        <x:v>Việc gốc</x:v>
      </x:c>
      <x:c r="C4" s="61" t="str">
        <x:v>Công việc</x:v>
      </x:c>
      <x:c r="D4" s="61" t="str">
        <x:v>Chủ trì</x:v>
      </x:c>
      <x:c r="E4" s="61" t="str">
        <x:v>Phụ thuộc</x:v>
      </x:c>
      <x:c r="F4" s="61" t="str">
        <x:v>Trạng thái</x:v>
      </x:c>
      <x:c r="G4" s="61" t="str">
        <x:v>Ngày công thấp</x:v>
      </x:c>
      <x:c r="H4" s="61" t="str">
        <x:v>Ngày công cao</x:v>
      </x:c>
      <x:c r="I4" s="61" t="str">
        <x:v>Nghiệm thu</x:v>
      </x:c>
      <x:c r="J4" s="61" t="str">
        <x:v>Bằng chứng</x:v>
      </x:c>
    </x:row>
    <x:row r="5" ht="46" customHeight="1">
      <x:c r="A5" s="65" t="str">
        <x:v>V2-GOV-01</x:v>
      </x:c>
      <x:c r="B5" s="65" t="str">
        <x:v>GOV-01</x:v>
      </x:c>
      <x:c r="C5" s="65" t="str">
        <x:v>Khóa phạm vi V2 và baseline không mất tệp</x:v>
      </x:c>
      <x:c r="D5" s="65" t="str">
        <x:v>Governance</x:v>
      </x:c>
      <x:c r="E5" s="65" t="str">
        <x:v>GOV-01</x:v>
      </x:c>
      <x:c r="F5" s="65" t="str">
        <x:v>NOT_STARTED</x:v>
      </x:c>
      <x:c r="G5" s="65" t="n">
        <x:v>1</x:v>
      </x:c>
      <x:c r="H5" s="65" t="n">
        <x:v>4</x:v>
      </x:c>
      <x:c r="I5" s="65" t="str">
        <x:v>preservation checksums</x:v>
      </x:c>
      <x:c r="J5" s="65" t="str">
        <x:v>evidence/V2-GOV-01/</x:v>
      </x:c>
    </x:row>
    <x:row r="6" ht="46" customHeight="1">
      <x:c r="A6" s="64" t="str">
        <x:v>V2-GOV-02</x:v>
      </x:c>
      <x:c r="B6" s="64" t="str">
        <x:v>GOV-01</x:v>
      </x:c>
      <x:c r="C6" s="64" t="str">
        <x:v>Phê duyệt nguồn và quyền từng phương pháp</x:v>
      </x:c>
      <x:c r="D6" s="64" t="str">
        <x:v>Governance</x:v>
      </x:c>
      <x:c r="E6" s="64" t="str">
        <x:v>V2-GOV-01</x:v>
      </x:c>
      <x:c r="F6" s="64" t="str">
        <x:v>NOT_STARTED</x:v>
      </x:c>
      <x:c r="G6" s="64" t="n">
        <x:v>1</x:v>
      </x:c>
      <x:c r="H6" s="64" t="n">
        <x:v>4</x:v>
      </x:c>
      <x:c r="I6" s="64" t="str">
        <x:v>method passport review</x:v>
      </x:c>
      <x:c r="J6" s="64" t="str">
        <x:v>evidence/V2-GOV-02/</x:v>
      </x:c>
    </x:row>
    <x:row r="7" ht="46" customHeight="1">
      <x:c r="A7" s="65" t="str">
        <x:v>V2-GOV-03</x:v>
      </x:c>
      <x:c r="B7" s="65" t="str">
        <x:v>GOV-01</x:v>
      </x:c>
      <x:c r="C7" s="65" t="str">
        <x:v>Khóa loại claim và từ điển ngôn ngữ</x:v>
      </x:c>
      <x:c r="D7" s="65" t="str">
        <x:v>Governance</x:v>
      </x:c>
      <x:c r="E7" s="65" t="str">
        <x:v>V2-GOV-02</x:v>
      </x:c>
      <x:c r="F7" s="65" t="str">
        <x:v>NOT_STARTED</x:v>
      </x:c>
      <x:c r="G7" s="65" t="n">
        <x:v>1</x:v>
      </x:c>
      <x:c r="H7" s="65" t="n">
        <x:v>4</x:v>
      </x:c>
      <x:c r="I7" s="65" t="str">
        <x:v>claim schema negative tests</x:v>
      </x:c>
      <x:c r="J7" s="65" t="str">
        <x:v>evidence/V2-GOV-03/</x:v>
      </x:c>
    </x:row>
    <x:row r="8" ht="46" customHeight="1">
      <x:c r="A8" s="64" t="str">
        <x:v>V2-GOV-04</x:v>
      </x:c>
      <x:c r="B8" s="64" t="str">
        <x:v>GOV-01</x:v>
      </x:c>
      <x:c r="C8" s="64" t="str">
        <x:v>Chốt số dư 0 và phiên bản bảng 80</x:v>
      </x:c>
      <x:c r="D8" s="64" t="str">
        <x:v>Governance</x:v>
      </x:c>
      <x:c r="E8" s="64" t="str">
        <x:v>V2-GOV-03</x:v>
      </x:c>
      <x:c r="F8" s="64" t="str">
        <x:v>NOT_STARTED</x:v>
      </x:c>
      <x:c r="G8" s="64" t="n">
        <x:v>1</x:v>
      </x:c>
      <x:c r="H8" s="64" t="n">
        <x:v>4</x:v>
      </x:c>
      <x:c r="I8" s="64" t="str">
        <x:v>table zero policy decision</x:v>
      </x:c>
      <x:c r="J8" s="64" t="str">
        <x:v>evidence/V2-GOV-04/</x:v>
      </x:c>
    </x:row>
    <x:row r="9" ht="46" customHeight="1">
      <x:c r="A9" s="65" t="str">
        <x:v>V2-GOV-05</x:v>
      </x:c>
      <x:c r="B9" s="65" t="str">
        <x:v>GOV-01</x:v>
      </x:c>
      <x:c r="C9" s="65" t="str">
        <x:v>Rà phạm vi pháp lý theo quốc gia</x:v>
      </x:c>
      <x:c r="D9" s="65" t="str">
        <x:v>Governance</x:v>
      </x:c>
      <x:c r="E9" s="65" t="str">
        <x:v>V2-GOV-04</x:v>
      </x:c>
      <x:c r="F9" s="65" t="str">
        <x:v>NOT_STARTED</x:v>
      </x:c>
      <x:c r="G9" s="65" t="n">
        <x:v>1</x:v>
      </x:c>
      <x:c r="H9" s="65" t="n">
        <x:v>4</x:v>
      </x:c>
      <x:c r="I9" s="65" t="str">
        <x:v>country pack signoff</x:v>
      </x:c>
      <x:c r="J9" s="65" t="str">
        <x:v>evidence/V2-GOV-05/</x:v>
      </x:c>
    </x:row>
    <x:row r="10" ht="46" customHeight="1">
      <x:c r="A10" s="64" t="str">
        <x:v>V2-GOV-06</x:v>
      </x:c>
      <x:c r="B10" s="64" t="str">
        <x:v>GOV-01</x:v>
      </x:c>
      <x:c r="C10" s="64" t="str">
        <x:v>Chọn provider và legal entity</x:v>
      </x:c>
      <x:c r="D10" s="64" t="str">
        <x:v>Governance</x:v>
      </x:c>
      <x:c r="E10" s="64" t="str">
        <x:v>V2-GOV-05</x:v>
      </x:c>
      <x:c r="F10" s="64" t="str">
        <x:v>NOT_STARTED</x:v>
      </x:c>
      <x:c r="G10" s="64" t="n">
        <x:v>1</x:v>
      </x:c>
      <x:c r="H10" s="64" t="n">
        <x:v>4</x:v>
      </x:c>
      <x:c r="I10" s="64" t="str">
        <x:v>ADR/vendor assessment</x:v>
      </x:c>
      <x:c r="J10" s="64" t="str">
        <x:v>evidence/V2-GOV-06/</x:v>
      </x:c>
    </x:row>
    <x:row r="11" ht="46" customHeight="1">
      <x:c r="A11" s="65" t="str">
        <x:v>V2-BE-01</x:v>
      </x:c>
      <x:c r="B11" s="65" t="str">
        <x:v>METHOD-01</x:v>
      </x:c>
      <x:c r="C11" s="65" t="str">
        <x:v>Áp dụng snapshot đầu vào và hypothesis</x:v>
      </x:c>
      <x:c r="D11" s="65" t="str">
        <x:v>Backend</x:v>
      </x:c>
      <x:c r="E11" s="65" t="str">
        <x:v>METHOD-01</x:v>
      </x:c>
      <x:c r="F11" s="65" t="str">
        <x:v>NOT_STARTED</x:v>
      </x:c>
      <x:c r="G11" s="65" t="n">
        <x:v>2</x:v>
      </x:c>
      <x:c r="H11" s="65" t="n">
        <x:v>6</x:v>
      </x:c>
      <x:c r="I11" s="65" t="str">
        <x:v>snapshot immutability</x:v>
      </x:c>
      <x:c r="J11" s="65" t="str">
        <x:v>evidence/V2-BE-01/</x:v>
      </x:c>
    </x:row>
    <x:row r="12" ht="46" customHeight="1">
      <x:c r="A12" s="64" t="str">
        <x:v>V2-BE-02</x:v>
      </x:c>
      <x:c r="B12" s="64" t="str">
        <x:v>METHOD-01</x:v>
      </x:c>
      <x:c r="C12" s="64" t="str">
        <x:v>Triển khai normalizer Unicode và tên</x:v>
      </x:c>
      <x:c r="D12" s="64" t="str">
        <x:v>Backend</x:v>
      </x:c>
      <x:c r="E12" s="64" t="str">
        <x:v>V2-BE-01</x:v>
      </x:c>
      <x:c r="F12" s="64" t="str">
        <x:v>NOT_STARTED</x:v>
      </x:c>
      <x:c r="G12" s="64" t="n">
        <x:v>2</x:v>
      </x:c>
      <x:c r="H12" s="64" t="n">
        <x:v>6</x:v>
      </x:c>
      <x:c r="I12" s="64" t="str">
        <x:v>NFC/NFD golden cases</x:v>
      </x:c>
      <x:c r="J12" s="64" t="str">
        <x:v>evidence/V2-BE-02/</x:v>
      </x:c>
    </x:row>
    <x:row r="13" ht="46" customHeight="1">
      <x:c r="A13" s="65" t="str">
        <x:v>V2-BE-03</x:v>
      </x:c>
      <x:c r="B13" s="65" t="str">
        <x:v>METHOD-01</x:v>
      </x:c>
      <x:c r="C13" s="65" t="str">
        <x:v>Triển khai time adapter có DST fold/gap</x:v>
      </x:c>
      <x:c r="D13" s="65" t="str">
        <x:v>Backend</x:v>
      </x:c>
      <x:c r="E13" s="65" t="str">
        <x:v>V2-BE-02</x:v>
      </x:c>
      <x:c r="F13" s="65" t="str">
        <x:v>NOT_STARTED</x:v>
      </x:c>
      <x:c r="G13" s="65" t="n">
        <x:v>2</x:v>
      </x:c>
      <x:c r="H13" s="65" t="n">
        <x:v>6</x:v>
      </x:c>
      <x:c r="I13" s="65" t="str">
        <x:v>DST candidate fixtures</x:v>
      </x:c>
      <x:c r="J13" s="65" t="str">
        <x:v>evidence/V2-BE-03/</x:v>
      </x:c>
    </x:row>
    <x:row r="14" ht="46" customHeight="1">
      <x:c r="A14" s="64" t="str">
        <x:v>V2-BE-04</x:v>
      </x:c>
      <x:c r="B14" s="64" t="str">
        <x:v>METHOD-01</x:v>
      </x:c>
      <x:c r="C14" s="64" t="str">
        <x:v>Triển khai tuổi ngày nhuận 0–99</x:v>
      </x:c>
      <x:c r="D14" s="64" t="str">
        <x:v>Backend</x:v>
      </x:c>
      <x:c r="E14" s="64" t="str">
        <x:v>V2-BE-03</x:v>
      </x:c>
      <x:c r="F14" s="64" t="str">
        <x:v>NOT_STARTED</x:v>
      </x:c>
      <x:c r="G14" s="64" t="n">
        <x:v>2</x:v>
      </x:c>
      <x:c r="H14" s="64" t="n">
        <x:v>6</x:v>
      </x:c>
      <x:c r="I14" s="64" t="str">
        <x:v>100 half-open intervals</x:v>
      </x:c>
      <x:c r="J14" s="64" t="str">
        <x:v>evidence/V2-BE-04/</x:v>
      </x:c>
    </x:row>
    <x:row r="15" ht="46" customHeight="1">
      <x:c r="A15" s="65" t="str">
        <x:v>V2-BE-05</x:v>
      </x:c>
      <x:c r="B15" s="65" t="str">
        <x:v>METHOD-01</x:v>
      </x:c>
      <x:c r="C15" s="65" t="str">
        <x:v>Tích hợp bảng 64 cặp và unresolved 0/5</x:v>
      </x:c>
      <x:c r="D15" s="65" t="str">
        <x:v>Backend</x:v>
      </x:c>
      <x:c r="E15" s="65" t="str">
        <x:v>V2-BE-04</x:v>
      </x:c>
      <x:c r="F15" s="65" t="str">
        <x:v>NOT_STARTED</x:v>
      </x:c>
      <x:c r="G15" s="65" t="n">
        <x:v>2</x:v>
      </x:c>
      <x:c r="H15" s="65" t="n">
        <x:v>6</x:v>
      </x:c>
      <x:c r="I15" s="65" t="str">
        <x:v>all64pairs tests</x:v>
      </x:c>
      <x:c r="J15" s="65" t="str">
        <x:v>evidence/V2-BE-05/</x:v>
      </x:c>
    </x:row>
    <x:row r="16" ht="46" customHeight="1">
      <x:c r="A16" s="64" t="str">
        <x:v>V2-BE-06</x:v>
      </x:c>
      <x:c r="B16" s="64" t="str">
        <x:v>METHOD-01</x:v>
      </x:c>
      <x:c r="C16" s="64" t="str">
        <x:v>Tích hợp mãđuôi 80 với integer</x:v>
      </x:c>
      <x:c r="D16" s="64" t="str">
        <x:v>Backend</x:v>
      </x:c>
      <x:c r="E16" s="64" t="str">
        <x:v>V2-BE-05</x:v>
      </x:c>
      <x:c r="F16" s="64" t="str">
        <x:v>NOT_STARTED</x:v>
      </x:c>
      <x:c r="G16" s="64" t="n">
        <x:v>2</x:v>
      </x:c>
      <x:c r="H16" s="64" t="n">
        <x:v>6</x:v>
      </x:c>
      <x:c r="I16" s="64" t="str">
        <x:v>all10000tails tests</x:v>
      </x:c>
      <x:c r="J16" s="64" t="str">
        <x:v>evidence/V2-BE-06/</x:v>
      </x:c>
    </x:row>
    <x:row r="17" ht="46" customHeight="1">
      <x:c r="A17" s="65" t="str">
        <x:v>V2-BE-07</x:v>
      </x:c>
      <x:c r="B17" s="65" t="str">
        <x:v>METHOD-01</x:v>
      </x:c>
      <x:c r="C17" s="65" t="str">
        <x:v>Tạo DAG và impact analysis</x:v>
      </x:c>
      <x:c r="D17" s="65" t="str">
        <x:v>Backend</x:v>
      </x:c>
      <x:c r="E17" s="65" t="str">
        <x:v>V2-BE-06</x:v>
      </x:c>
      <x:c r="F17" s="65" t="str">
        <x:v>NOT_STARTED</x:v>
      </x:c>
      <x:c r="G17" s="65" t="n">
        <x:v>2</x:v>
      </x:c>
      <x:c r="H17" s="65" t="n">
        <x:v>6</x:v>
      </x:c>
      <x:c r="I17" s="65" t="str">
        <x:v>cycle detection and impact set</x:v>
      </x:c>
      <x:c r="J17" s="65" t="str">
        <x:v>evidence/V2-BE-07/</x:v>
      </x:c>
    </x:row>
    <x:row r="18" ht="46" customHeight="1">
      <x:c r="A18" s="64" t="str">
        <x:v>V2-BE-08</x:v>
      </x:c>
      <x:c r="B18" s="64" t="str">
        <x:v>METHOD-01</x:v>
      </x:c>
      <x:c r="C18" s="64" t="str">
        <x:v>Khóa cache tenant/subject/purpose/version</x:v>
      </x:c>
      <x:c r="D18" s="64" t="str">
        <x:v>Backend</x:v>
      </x:c>
      <x:c r="E18" s="64" t="str">
        <x:v>V2-BE-07</x:v>
      </x:c>
      <x:c r="F18" s="64" t="str">
        <x:v>NOT_STARTED</x:v>
      </x:c>
      <x:c r="G18" s="64" t="n">
        <x:v>2</x:v>
      </x:c>
      <x:c r="H18" s="64" t="n">
        <x:v>6</x:v>
      </x:c>
      <x:c r="I18" s="64" t="str">
        <x:v>tenant/revision key tests</x:v>
      </x:c>
      <x:c r="J18" s="64" t="str">
        <x:v>evidence/V2-BE-08/</x:v>
      </x:c>
    </x:row>
    <x:row r="19" ht="46" customHeight="1">
      <x:c r="A19" s="65" t="str">
        <x:v>V2-BE-09</x:v>
      </x:c>
      <x:c r="B19" s="65" t="str">
        <x:v>METHOD-01</x:v>
      </x:c>
      <x:c r="C19" s="65" t="str">
        <x:v>Tích hợp metrics theo cửa sổ</x:v>
      </x:c>
      <x:c r="D19" s="65" t="str">
        <x:v>Backend</x:v>
      </x:c>
      <x:c r="E19" s="65" t="str">
        <x:v>V2-BE-08</x:v>
      </x:c>
      <x:c r="F19" s="65" t="str">
        <x:v>NOT_STARTED</x:v>
      </x:c>
      <x:c r="G19" s="65" t="n">
        <x:v>2</x:v>
      </x:c>
      <x:c r="H19" s="65" t="n">
        <x:v>6</x:v>
      </x:c>
      <x:c r="I19" s="65" t="str">
        <x:v>empty denominator null</x:v>
      </x:c>
      <x:c r="J19" s="65" t="str">
        <x:v>evidence/V2-BE-09/</x:v>
      </x:c>
    </x:row>
    <x:row r="20" ht="46" customHeight="1">
      <x:c r="A20" s="64" t="str">
        <x:v>V2-BE-10</x:v>
      </x:c>
      <x:c r="B20" s="64" t="str">
        <x:v>METHOD-01</x:v>
      </x:c>
      <x:c r="C20" s="64" t="str">
        <x:v>Tạo schema claims và provenance</x:v>
      </x:c>
      <x:c r="D20" s="64" t="str">
        <x:v>Backend</x:v>
      </x:c>
      <x:c r="E20" s="64" t="str">
        <x:v>V2-BE-09</x:v>
      </x:c>
      <x:c r="F20" s="64" t="str">
        <x:v>NOT_STARTED</x:v>
      </x:c>
      <x:c r="G20" s="64" t="n">
        <x:v>2</x:v>
      </x:c>
      <x:c r="H20" s="64" t="n">
        <x:v>6</x:v>
      </x:c>
      <x:c r="I20" s="64" t="str">
        <x:v>claim_probability gate</x:v>
      </x:c>
      <x:c r="J20" s="64" t="str">
        <x:v>evidence/V2-BE-10/</x:v>
      </x:c>
    </x:row>
    <x:row r="21" ht="46" customHeight="1">
      <x:c r="A21" s="65" t="str">
        <x:v>V2-BE-11</x:v>
      </x:c>
      <x:c r="B21" s="65" t="str">
        <x:v>METHOD-01</x:v>
      </x:c>
      <x:c r="C21" s="65" t="str">
        <x:v>Tạo validation method-specific</x:v>
      </x:c>
      <x:c r="D21" s="65" t="str">
        <x:v>Backend</x:v>
      </x:c>
      <x:c r="E21" s="65" t="str">
        <x:v>V2-BE-10</x:v>
      </x:c>
      <x:c r="F21" s="65" t="str">
        <x:v>NOT_STARTED</x:v>
      </x:c>
      <x:c r="G21" s="65" t="n">
        <x:v>2</x:v>
      </x:c>
      <x:c r="H21" s="65" t="n">
        <x:v>6</x:v>
      </x:c>
      <x:c r="I21" s="65" t="str">
        <x:v>invalid inputs rejected</x:v>
      </x:c>
      <x:c r="J21" s="65" t="str">
        <x:v>evidence/V2-BE-11/</x:v>
      </x:c>
    </x:row>
    <x:row r="22" ht="46" customHeight="1">
      <x:c r="A22" s="64" t="str">
        <x:v>V2-BE-12</x:v>
      </x:c>
      <x:c r="B22" s="64" t="str">
        <x:v>METHOD-01</x:v>
      </x:c>
      <x:c r="C22" s="64" t="str">
        <x:v>Tách calculation/symbolic sections</x:v>
      </x:c>
      <x:c r="D22" s="64" t="str">
        <x:v>Backend</x:v>
      </x:c>
      <x:c r="E22" s="64" t="str">
        <x:v>V2-BE-11</x:v>
      </x:c>
      <x:c r="F22" s="64" t="str">
        <x:v>NOT_STARTED</x:v>
      </x:c>
      <x:c r="G22" s="64" t="n">
        <x:v>2</x:v>
      </x:c>
      <x:c r="H22" s="64" t="n">
        <x:v>6</x:v>
      </x:c>
      <x:c r="I22" s="64" t="str">
        <x:v>no fake facts</x:v>
      </x:c>
      <x:c r="J22" s="64" t="str">
        <x:v>evidence/V2-BE-12/</x:v>
      </x:c>
    </x:row>
    <x:row r="23" ht="46" customHeight="1">
      <x:c r="A23" s="65" t="str">
        <x:v>V2-BE-13</x:v>
      </x:c>
      <x:c r="B23" s="65" t="str">
        <x:v>METHOD-01</x:v>
      </x:c>
      <x:c r="C23" s="65" t="str">
        <x:v>Triển khai optimistic concurrency</x:v>
      </x:c>
      <x:c r="D23" s="65" t="str">
        <x:v>Backend</x:v>
      </x:c>
      <x:c r="E23" s="65" t="str">
        <x:v>V2-BE-12</x:v>
      </x:c>
      <x:c r="F23" s="65" t="str">
        <x:v>NOT_STARTED</x:v>
      </x:c>
      <x:c r="G23" s="65" t="n">
        <x:v>2</x:v>
      </x:c>
      <x:c r="H23" s="65" t="n">
        <x:v>6</x:v>
      </x:c>
      <x:c r="I23" s="65" t="str">
        <x:v>stale version rejected</x:v>
      </x:c>
      <x:c r="J23" s="65" t="str">
        <x:v>evidence/V2-BE-13/</x:v>
      </x:c>
    </x:row>
    <x:row r="24" ht="46" customHeight="1">
      <x:c r="A24" s="64" t="str">
        <x:v>V2-BE-14</x:v>
      </x:c>
      <x:c r="B24" s="64" t="str">
        <x:v>METHOD-01</x:v>
      </x:c>
      <x:c r="C24" s="64" t="str">
        <x:v>Tạo method release freeze/rollback</x:v>
      </x:c>
      <x:c r="D24" s="64" t="str">
        <x:v>Backend</x:v>
      </x:c>
      <x:c r="E24" s="64" t="str">
        <x:v>V2-BE-13</x:v>
      </x:c>
      <x:c r="F24" s="64" t="str">
        <x:v>NOT_STARTED</x:v>
      </x:c>
      <x:c r="G24" s="64" t="n">
        <x:v>2</x:v>
      </x:c>
      <x:c r="H24" s="64" t="n">
        <x:v>6</x:v>
      </x:c>
      <x:c r="I24" s="64" t="str">
        <x:v>impact receipt</x:v>
      </x:c>
      <x:c r="J24" s="64" t="str">
        <x:v>evidence/V2-BE-14/</x:v>
      </x:c>
    </x:row>
    <x:row r="25" ht="46" customHeight="1">
      <x:c r="A25" s="65" t="str">
        <x:v>V2-BE-15</x:v>
      </x:c>
      <x:c r="B25" s="65" t="str">
        <x:v>METHOD-01</x:v>
      </x:c>
      <x:c r="C25" s="65" t="str">
        <x:v>Tạo run trace theo quyền</x:v>
      </x:c>
      <x:c r="D25" s="65" t="str">
        <x:v>Backend</x:v>
      </x:c>
      <x:c r="E25" s="65" t="str">
        <x:v>V2-BE-14</x:v>
      </x:c>
      <x:c r="F25" s="65" t="str">
        <x:v>NOT_STARTED</x:v>
      </x:c>
      <x:c r="G25" s="65" t="n">
        <x:v>2</x:v>
      </x:c>
      <x:c r="H25" s="65" t="n">
        <x:v>6</x:v>
      </x:c>
      <x:c r="I25" s="65" t="str">
        <x:v>no PII log</x:v>
      </x:c>
      <x:c r="J25" s="65" t="str">
        <x:v>evidence/V2-BE-15/</x:v>
      </x:c>
    </x:row>
    <x:row r="26" ht="46" customHeight="1">
      <x:c r="A26" s="64" t="str">
        <x:v>V2-BE-16</x:v>
      </x:c>
      <x:c r="B26" s="64" t="str">
        <x:v>METHOD-01</x:v>
      </x:c>
      <x:c r="C26" s="64" t="str">
        <x:v>Tích hợp API compare/hypotheses</x:v>
      </x:c>
      <x:c r="D26" s="64" t="str">
        <x:v>Backend</x:v>
      </x:c>
      <x:c r="E26" s="64" t="str">
        <x:v>V2-BE-15</x:v>
      </x:c>
      <x:c r="F26" s="64" t="str">
        <x:v>NOT_STARTED</x:v>
      </x:c>
      <x:c r="G26" s="64" t="n">
        <x:v>2</x:v>
      </x:c>
      <x:c r="H26" s="64" t="n">
        <x:v>6</x:v>
      </x:c>
      <x:c r="I26" s="64" t="str">
        <x:v>OpenAPI contract tests</x:v>
      </x:c>
      <x:c r="J26" s="64" t="str">
        <x:v>evidence/V2-BE-16/</x:v>
      </x:c>
    </x:row>
    <x:row r="27" ht="46" customHeight="1">
      <x:c r="A27" s="65" t="str">
        <x:v>V2-SEC-01</x:v>
      </x:c>
      <x:c r="B27" s="65" t="str">
        <x:v>TRUST-01</x:v>
      </x:c>
      <x:c r="C27" s="65" t="str">
        <x:v>Thay identity/session legacy</x:v>
      </x:c>
      <x:c r="D27" s="65" t="str">
        <x:v>Security</x:v>
      </x:c>
      <x:c r="E27" s="65" t="str">
        <x:v>TRUST-01</x:v>
      </x:c>
      <x:c r="F27" s="65" t="str">
        <x:v>NOT_STARTED</x:v>
      </x:c>
      <x:c r="G27" s="65" t="n">
        <x:v>2</x:v>
      </x:c>
      <x:c r="H27" s="65" t="n">
        <x:v>6</x:v>
      </x:c>
      <x:c r="I27" s="65" t="str">
        <x:v>OIDC/session tests</x:v>
      </x:c>
      <x:c r="J27" s="65" t="str">
        <x:v>evidence/V2-SEC-01/</x:v>
      </x:c>
    </x:row>
    <x:row r="28" ht="46" customHeight="1">
      <x:c r="A28" s="64" t="str">
        <x:v>V2-SEC-02</x:v>
      </x:c>
      <x:c r="B28" s="64" t="str">
        <x:v>TRUST-01</x:v>
      </x:c>
      <x:c r="C28" s="64" t="str">
        <x:v>Khóa object authorization</x:v>
      </x:c>
      <x:c r="D28" s="64" t="str">
        <x:v>Security</x:v>
      </x:c>
      <x:c r="E28" s="64" t="str">
        <x:v>V2-SEC-01</x:v>
      </x:c>
      <x:c r="F28" s="64" t="str">
        <x:v>NOT_STARTED</x:v>
      </x:c>
      <x:c r="G28" s="64" t="n">
        <x:v>2</x:v>
      </x:c>
      <x:c r="H28" s="64" t="n">
        <x:v>6</x:v>
      </x:c>
      <x:c r="I28" s="64" t="str">
        <x:v>A/B subject matrix</x:v>
      </x:c>
      <x:c r="J28" s="64" t="str">
        <x:v>evidence/V2-SEC-02/</x:v>
      </x:c>
    </x:row>
    <x:row r="29" ht="46" customHeight="1">
      <x:c r="A29" s="65" t="str">
        <x:v>V2-SEC-03</x:v>
      </x:c>
      <x:c r="B29" s="65" t="str">
        <x:v>TRUST-01</x:v>
      </x:c>
      <x:c r="C29" s="65" t="str">
        <x:v>Chạy RLS runtime role</x:v>
      </x:c>
      <x:c r="D29" s="65" t="str">
        <x:v>Security</x:v>
      </x:c>
      <x:c r="E29" s="65" t="str">
        <x:v>V2-SEC-02</x:v>
      </x:c>
      <x:c r="F29" s="65" t="str">
        <x:v>NOT_STARTED</x:v>
      </x:c>
      <x:c r="G29" s="65" t="n">
        <x:v>2</x:v>
      </x:c>
      <x:c r="H29" s="65" t="n">
        <x:v>6</x:v>
      </x:c>
      <x:c r="I29" s="65" t="str">
        <x:v>PostgreSQL policy negative tests</x:v>
      </x:c>
      <x:c r="J29" s="65" t="str">
        <x:v>evidence/V2-SEC-03/</x:v>
      </x:c>
    </x:row>
    <x:row r="30" ht="46" customHeight="1">
      <x:c r="A30" s="64" t="str">
        <x:v>V2-SEC-04</x:v>
      </x:c>
      <x:c r="B30" s="64" t="str">
        <x:v>TRUST-01</x:v>
      </x:c>
      <x:c r="C30" s="64" t="str">
        <x:v>Chặn xử lý sau thu hồi quyền</x:v>
      </x:c>
      <x:c r="D30" s="64" t="str">
        <x:v>Security</x:v>
      </x:c>
      <x:c r="E30" s="64" t="str">
        <x:v>V2-SEC-03</x:v>
      </x:c>
      <x:c r="F30" s="64" t="str">
        <x:v>NOT_STARTED</x:v>
      </x:c>
      <x:c r="G30" s="64" t="n">
        <x:v>2</x:v>
      </x:c>
      <x:c r="H30" s="64" t="n">
        <x:v>6</x:v>
      </x:c>
      <x:c r="I30" s="64" t="str">
        <x:v>queued revoked job stops</x:v>
      </x:c>
      <x:c r="J30" s="64" t="str">
        <x:v>evidence/V2-SEC-04/</x:v>
      </x:c>
    </x:row>
    <x:row r="31" ht="46" customHeight="1">
      <x:c r="A31" s="65" t="str">
        <x:v>V2-SEC-05</x:v>
      </x:c>
      <x:c r="B31" s="65" t="str">
        <x:v>TRUST-01</x:v>
      </x:c>
      <x:c r="C31" s="65" t="str">
        <x:v>Thiết kế deletion xuyên hệ</x:v>
      </x:c>
      <x:c r="D31" s="65" t="str">
        <x:v>Security</x:v>
      </x:c>
      <x:c r="E31" s="65" t="str">
        <x:v>V2-SEC-04</x:v>
      </x:c>
      <x:c r="F31" s="65" t="str">
        <x:v>NOT_STARTED</x:v>
      </x:c>
      <x:c r="G31" s="65" t="n">
        <x:v>2</x:v>
      </x:c>
      <x:c r="H31" s="65" t="n">
        <x:v>6</x:v>
      </x:c>
      <x:c r="I31" s="65" t="str">
        <x:v>DB/R2/vector/cache deletion drill</x:v>
      </x:c>
      <x:c r="J31" s="65" t="str">
        <x:v>evidence/V2-SEC-05/</x:v>
      </x:c>
    </x:row>
    <x:row r="32" ht="46" customHeight="1">
      <x:c r="A32" s="64" t="str">
        <x:v>V2-SEC-06</x:v>
      </x:c>
      <x:c r="B32" s="64" t="str">
        <x:v>TRUST-01</x:v>
      </x:c>
      <x:c r="C32" s="64" t="str">
        <x:v>Kiểm soát report download</x:v>
      </x:c>
      <x:c r="D32" s="64" t="str">
        <x:v>Security</x:v>
      </x:c>
      <x:c r="E32" s="64" t="str">
        <x:v>V2-SEC-05</x:v>
      </x:c>
      <x:c r="F32" s="64" t="str">
        <x:v>NOT_STARTED</x:v>
      </x:c>
      <x:c r="G32" s="64" t="n">
        <x:v>2</x:v>
      </x:c>
      <x:c r="H32" s="64" t="n">
        <x:v>6</x:v>
      </x:c>
      <x:c r="I32" s="64" t="str">
        <x:v>expiry/revoke test</x:v>
      </x:c>
      <x:c r="J32" s="64" t="str">
        <x:v>evidence/V2-SEC-06/</x:v>
      </x:c>
    </x:row>
    <x:row r="33" ht="46" customHeight="1">
      <x:c r="A33" s="65" t="str">
        <x:v>V2-SEC-07</x:v>
      </x:c>
      <x:c r="B33" s="65" t="str">
        <x:v>TRUST-01</x:v>
      </x:c>
      <x:c r="C33" s="65" t="str">
        <x:v>Chặn prompt injection/RAG cross-tenant</x:v>
      </x:c>
      <x:c r="D33" s="65" t="str">
        <x:v>Security</x:v>
      </x:c>
      <x:c r="E33" s="65" t="str">
        <x:v>V2-SEC-06</x:v>
      </x:c>
      <x:c r="F33" s="65" t="str">
        <x:v>NOT_STARTED</x:v>
      </x:c>
      <x:c r="G33" s="65" t="n">
        <x:v>2</x:v>
      </x:c>
      <x:c r="H33" s="65" t="n">
        <x:v>6</x:v>
      </x:c>
      <x:c r="I33" s="65" t="str">
        <x:v>ACL and injection corpus</x:v>
      </x:c>
      <x:c r="J33" s="65" t="str">
        <x:v>evidence/V2-SEC-07/</x:v>
      </x:c>
    </x:row>
    <x:row r="34" ht="46" customHeight="1">
      <x:c r="A34" s="64" t="str">
        <x:v>V2-SEC-08</x:v>
      </x:c>
      <x:c r="B34" s="64" t="str">
        <x:v>TRUST-01</x:v>
      </x:c>
      <x:c r="C34" s="64" t="str">
        <x:v>Thiết kế sandbox render không egress</x:v>
      </x:c>
      <x:c r="D34" s="64" t="str">
        <x:v>Security</x:v>
      </x:c>
      <x:c r="E34" s="64" t="str">
        <x:v>V2-SEC-07</x:v>
      </x:c>
      <x:c r="F34" s="64" t="str">
        <x:v>NOT_STARTED</x:v>
      </x:c>
      <x:c r="G34" s="64" t="n">
        <x:v>2</x:v>
      </x:c>
      <x:c r="H34" s="64" t="n">
        <x:v>6</x:v>
      </x:c>
      <x:c r="I34" s="64" t="str">
        <x:v>SSRF denial</x:v>
      </x:c>
      <x:c r="J34" s="64" t="str">
        <x:v>evidence/V2-SEC-08/</x:v>
      </x:c>
    </x:row>
    <x:row r="35" ht="46" customHeight="1">
      <x:c r="A35" s="65" t="str">
        <x:v>V2-SEC-09</x:v>
      </x:c>
      <x:c r="B35" s="65" t="str">
        <x:v>TRUST-01</x:v>
      </x:c>
      <x:c r="C35" s="65" t="str">
        <x:v>Kiểm tra secrets/buildallowlist</x:v>
      </x:c>
      <x:c r="D35" s="65" t="str">
        <x:v>Security</x:v>
      </x:c>
      <x:c r="E35" s="65" t="str">
        <x:v>V2-SEC-08</x:v>
      </x:c>
      <x:c r="F35" s="65" t="str">
        <x:v>NOT_STARTED</x:v>
      </x:c>
      <x:c r="G35" s="65" t="n">
        <x:v>2</x:v>
      </x:c>
      <x:c r="H35" s="65" t="n">
        <x:v>6</x:v>
      </x:c>
      <x:c r="I35" s="65" t="str">
        <x:v>dist inventory and secret scan</x:v>
      </x:c>
      <x:c r="J35" s="65" t="str">
        <x:v>evidence/V2-SEC-09/</x:v>
      </x:c>
    </x:row>
    <x:row r="36" ht="46" customHeight="1">
      <x:c r="A36" s="64" t="str">
        <x:v>V2-SEC-10</x:v>
      </x:c>
      <x:c r="B36" s="64" t="str">
        <x:v>TRUST-01</x:v>
      </x:c>
      <x:c r="C36" s="64" t="str">
        <x:v>Đánh giá bảo mật độc lập</x:v>
      </x:c>
      <x:c r="D36" s="64" t="str">
        <x:v>Security</x:v>
      </x:c>
      <x:c r="E36" s="64" t="str">
        <x:v>V2-SEC-09</x:v>
      </x:c>
      <x:c r="F36" s="64" t="str">
        <x:v>NOT_STARTED</x:v>
      </x:c>
      <x:c r="G36" s="64" t="n">
        <x:v>2</x:v>
      </x:c>
      <x:c r="H36" s="64" t="n">
        <x:v>6</x:v>
      </x:c>
      <x:c r="I36" s="64" t="str">
        <x:v>independent retest</x:v>
      </x:c>
      <x:c r="J36" s="64" t="str">
        <x:v>evidence/V2-SEC-10/</x:v>
      </x:c>
    </x:row>
    <x:row r="37" ht="46" customHeight="1">
      <x:c r="A37" s="65" t="str">
        <x:v>V2-JOB-01</x:v>
      </x:c>
      <x:c r="B37" s="65" t="str">
        <x:v>COMMERCE-01</x:v>
      </x:c>
      <x:c r="C37" s="65" t="str">
        <x:v>Triển khai outbox transaction</x:v>
      </x:c>
      <x:c r="D37" s="65" t="str">
        <x:v>Jobs</x:v>
      </x:c>
      <x:c r="E37" s="65" t="str">
        <x:v>COMMERCE-01</x:v>
      </x:c>
      <x:c r="F37" s="65" t="str">
        <x:v>NOT_STARTED</x:v>
      </x:c>
      <x:c r="G37" s="65" t="n">
        <x:v>2</x:v>
      </x:c>
      <x:c r="H37" s="65" t="n">
        <x:v>6</x:v>
      </x:c>
      <x:c r="I37" s="65" t="str">
        <x:v>atomic commit/outbox</x:v>
      </x:c>
      <x:c r="J37" s="65" t="str">
        <x:v>evidence/V2-JOB-01/</x:v>
      </x:c>
    </x:row>
    <x:row r="38" ht="46" customHeight="1">
      <x:c r="A38" s="64" t="str">
        <x:v>V2-JOB-02</x:v>
      </x:c>
      <x:c r="B38" s="64" t="str">
        <x:v>COMMERCE-01</x:v>
      </x:c>
      <x:c r="C38" s="64" t="str">
        <x:v>Triển khai lease/retry/DLQ</x:v>
      </x:c>
      <x:c r="D38" s="64" t="str">
        <x:v>Jobs</x:v>
      </x:c>
      <x:c r="E38" s="64" t="str">
        <x:v>V2-JOB-01</x:v>
      </x:c>
      <x:c r="F38" s="64" t="str">
        <x:v>NOT_STARTED</x:v>
      </x:c>
      <x:c r="G38" s="64" t="n">
        <x:v>2</x:v>
      </x:c>
      <x:c r="H38" s="64" t="n">
        <x:v>6</x:v>
      </x:c>
      <x:c r="I38" s="64" t="str">
        <x:v>failure injection</x:v>
      </x:c>
      <x:c r="J38" s="64" t="str">
        <x:v>evidence/V2-JOB-02/</x:v>
      </x:c>
    </x:row>
    <x:row r="39" ht="46" customHeight="1">
      <x:c r="A39" s="65" t="str">
        <x:v>V2-JOB-03</x:v>
      </x:c>
      <x:c r="B39" s="65" t="str">
        <x:v>COMMERCE-01</x:v>
      </x:c>
      <x:c r="C39" s="65" t="str">
        <x:v>Idempotency bền vững đa worker</x:v>
      </x:c>
      <x:c r="D39" s="65" t="str">
        <x:v>Jobs</x:v>
      </x:c>
      <x:c r="E39" s="65" t="str">
        <x:v>V2-JOB-02</x:v>
      </x:c>
      <x:c r="F39" s="65" t="str">
        <x:v>NOT_STARTED</x:v>
      </x:c>
      <x:c r="G39" s="65" t="n">
        <x:v>2</x:v>
      </x:c>
      <x:c r="H39" s="65" t="n">
        <x:v>6</x:v>
      </x:c>
      <x:c r="I39" s="65" t="str">
        <x:v>concurrent duplicate tests</x:v>
      </x:c>
      <x:c r="J39" s="65" t="str">
        <x:v>evidence/V2-JOB-03/</x:v>
      </x:c>
    </x:row>
    <x:row r="40" ht="46" customHeight="1">
      <x:c r="A40" s="64" t="str">
        <x:v>V2-JOB-04</x:v>
      </x:c>
      <x:c r="B40" s="64" t="str">
        <x:v>COMMERCE-01</x:v>
      </x:c>
      <x:c r="C40" s="64" t="str">
        <x:v>Reconcile provider result</x:v>
      </x:c>
      <x:c r="D40" s="64" t="str">
        <x:v>Jobs</x:v>
      </x:c>
      <x:c r="E40" s="64" t="str">
        <x:v>V2-JOB-03</x:v>
      </x:c>
      <x:c r="F40" s="64" t="str">
        <x:v>NOT_STARTED</x:v>
      </x:c>
      <x:c r="G40" s="64" t="n">
        <x:v>2</x:v>
      </x:c>
      <x:c r="H40" s="64" t="n">
        <x:v>6</x:v>
      </x:c>
      <x:c r="I40" s="64" t="str">
        <x:v>late success reconciliation</x:v>
      </x:c>
      <x:c r="J40" s="64" t="str">
        <x:v>evidence/V2-JOB-04/</x:v>
      </x:c>
    </x:row>
    <x:row r="41" ht="46" customHeight="1">
      <x:c r="A41" s="65" t="str">
        <x:v>V2-JOB-05</x:v>
      </x:c>
      <x:c r="B41" s="65" t="str">
        <x:v>COMMERCE-01</x:v>
      </x:c>
      <x:c r="C41" s="65" t="str">
        <x:v>Webhook đúng số tiền và chữ ký</x:v>
      </x:c>
      <x:c r="D41" s="65" t="str">
        <x:v>Jobs</x:v>
      </x:c>
      <x:c r="E41" s="65" t="str">
        <x:v>V2-JOB-04</x:v>
      </x:c>
      <x:c r="F41" s="65" t="str">
        <x:v>NOT_STARTED</x:v>
      </x:c>
      <x:c r="G41" s="65" t="n">
        <x:v>2</x:v>
      </x:c>
      <x:c r="H41" s="65" t="n">
        <x:v>6</x:v>
      </x:c>
      <x:c r="I41" s="65" t="str">
        <x:v>sandbox provider test</x:v>
      </x:c>
      <x:c r="J41" s="65" t="str">
        <x:v>evidence/V2-JOB-05/</x:v>
      </x:c>
    </x:row>
    <x:row r="42" ht="46" customHeight="1">
      <x:c r="A42" s="64" t="str">
        <x:v>V2-JOB-06</x:v>
      </x:c>
      <x:c r="B42" s="64" t="str">
        <x:v>COMMERCE-01</x:v>
      </x:c>
      <x:c r="C42" s="64" t="str">
        <x:v>Tách paid/entitlement/fulfilled</x:v>
      </x:c>
      <x:c r="D42" s="64" t="str">
        <x:v>Jobs</x:v>
      </x:c>
      <x:c r="E42" s="64" t="str">
        <x:v>V2-JOB-05</x:v>
      </x:c>
      <x:c r="F42" s="64" t="str">
        <x:v>NOT_STARTED</x:v>
      </x:c>
      <x:c r="G42" s="64" t="n">
        <x:v>2</x:v>
      </x:c>
      <x:c r="H42" s="64" t="n">
        <x:v>6</x:v>
      </x:c>
      <x:c r="I42" s="64" t="str">
        <x:v>order state machine</x:v>
      </x:c>
      <x:c r="J42" s="64" t="str">
        <x:v>evidence/V2-JOB-06/</x:v>
      </x:c>
    </x:row>
    <x:row r="43" ht="46" customHeight="1">
      <x:c r="A43" s="65" t="str">
        <x:v>V2-JOB-07</x:v>
      </x:c>
      <x:c r="B43" s="65" t="str">
        <x:v>COMMERCE-01</x:v>
      </x:c>
      <x:c r="C43" s="65" t="str">
        <x:v>Refund và cancel rules</x:v>
      </x:c>
      <x:c r="D43" s="65" t="str">
        <x:v>Jobs</x:v>
      </x:c>
      <x:c r="E43" s="65" t="str">
        <x:v>V2-JOB-06</x:v>
      </x:c>
      <x:c r="F43" s="65" t="str">
        <x:v>NOT_STARTED</x:v>
      </x:c>
      <x:c r="G43" s="65" t="n">
        <x:v>2</x:v>
      </x:c>
      <x:c r="H43" s="65" t="n">
        <x:v>6</x:v>
      </x:c>
      <x:c r="I43" s="65" t="str">
        <x:v>refund replay-safe</x:v>
      </x:c>
      <x:c r="J43" s="65" t="str">
        <x:v>evidence/V2-JOB-07/</x:v>
      </x:c>
    </x:row>
    <x:row r="44" ht="46" customHeight="1">
      <x:c r="A44" s="64" t="str">
        <x:v>V2-JOB-08</x:v>
      </x:c>
      <x:c r="B44" s="64" t="str">
        <x:v>COMMERCE-01</x:v>
      </x:c>
      <x:c r="C44" s="64" t="str">
        <x:v>Backup restore có tombstone</x:v>
      </x:c>
      <x:c r="D44" s="64" t="str">
        <x:v>Jobs</x:v>
      </x:c>
      <x:c r="E44" s="64" t="str">
        <x:v>V2-JOB-07</x:v>
      </x:c>
      <x:c r="F44" s="64" t="str">
        <x:v>NOT_STARTED</x:v>
      </x:c>
      <x:c r="G44" s="64" t="n">
        <x:v>2</x:v>
      </x:c>
      <x:c r="H44" s="64" t="n">
        <x:v>6</x:v>
      </x:c>
      <x:c r="I44" s="64" t="str">
        <x:v>restore receipt</x:v>
      </x:c>
      <x:c r="J44" s="64" t="str">
        <x:v>evidence/V2-JOB-08/</x:v>
      </x:c>
    </x:row>
    <x:row r="45" ht="46" customHeight="1">
      <x:c r="A45" s="65" t="str">
        <x:v>V2-FE-01</x:v>
      </x:c>
      <x:c r="B45" s="65" t="str">
        <x:v>WEB-01</x:v>
      </x:c>
      <x:c r="C45" s="65" t="str">
        <x:v>Triển khai nhu cầu-first onboarding</x:v>
      </x:c>
      <x:c r="D45" s="65" t="str">
        <x:v>Frontend</x:v>
      </x:c>
      <x:c r="E45" s="65" t="str">
        <x:v>WEB-01</x:v>
      </x:c>
      <x:c r="F45" s="65" t="str">
        <x:v>NOT_STARTED</x:v>
      </x:c>
      <x:c r="G45" s="65" t="n">
        <x:v>2</x:v>
      </x:c>
      <x:c r="H45" s="65" t="n">
        <x:v>6</x:v>
      </x:c>
      <x:c r="I45" s="65" t="str">
        <x:v>usability script</x:v>
      </x:c>
      <x:c r="J45" s="65" t="str">
        <x:v>evidence/V2-FE-01/</x:v>
      </x:c>
    </x:row>
    <x:row r="46" ht="46" customHeight="1">
      <x:c r="A46" s="64" t="str">
        <x:v>V2-FE-02</x:v>
      </x:c>
      <x:c r="B46" s="64" t="str">
        <x:v>WEB-01</x:v>
      </x:c>
      <x:c r="C46" s="64" t="str">
        <x:v>Form dữ liệu thiếu/mâu thuẫn</x:v>
      </x:c>
      <x:c r="D46" s="64" t="str">
        <x:v>Frontend</x:v>
      </x:c>
      <x:c r="E46" s="64" t="str">
        <x:v>V2-FE-01</x:v>
      </x:c>
      <x:c r="F46" s="64" t="str">
        <x:v>NOT_STARTED</x:v>
      </x:c>
      <x:c r="G46" s="64" t="n">
        <x:v>2</x:v>
      </x:c>
      <x:c r="H46" s="64" t="n">
        <x:v>6</x:v>
      </x:c>
      <x:c r="I46" s="64" t="str">
        <x:v>no silent fill</x:v>
      </x:c>
      <x:c r="J46" s="64" t="str">
        <x:v>evidence/V2-FE-02/</x:v>
      </x:c>
    </x:row>
    <x:row r="47" ht="46" customHeight="1">
      <x:c r="A47" s="65" t="str">
        <x:v>V2-FE-03</x:v>
      </x:c>
      <x:c r="B47" s="65" t="str">
        <x:v>WEB-01</x:v>
      </x:c>
      <x:c r="C47" s="65" t="str">
        <x:v>Demo drawer trong app</x:v>
      </x:c>
      <x:c r="D47" s="65" t="str">
        <x:v>Frontend</x:v>
      </x:c>
      <x:c r="E47" s="65" t="str">
        <x:v>V2-FE-02</x:v>
      </x:c>
      <x:c r="F47" s="65" t="str">
        <x:v>NOT_STARTED</x:v>
      </x:c>
      <x:c r="G47" s="65" t="n">
        <x:v>2</x:v>
      </x:c>
      <x:c r="H47" s="65" t="n">
        <x:v>6</x:v>
      </x:c>
      <x:c r="I47" s="65" t="str">
        <x:v>safe synthetic route</x:v>
      </x:c>
      <x:c r="J47" s="65" t="str">
        <x:v>evidence/V2-FE-03/</x:v>
      </x:c>
    </x:row>
    <x:row r="48" ht="46" customHeight="1">
      <x:c r="A48" s="64" t="str">
        <x:v>V2-FE-04</x:v>
      </x:c>
      <x:c r="B48" s="64" t="str">
        <x:v>WEB-01</x:v>
      </x:c>
      <x:c r="C48" s="64" t="str">
        <x:v>Trace đọc được bằng người dùng</x:v>
      </x:c>
      <x:c r="D48" s="64" t="str">
        <x:v>Frontend</x:v>
      </x:c>
      <x:c r="E48" s="64" t="str">
        <x:v>V2-FE-03</x:v>
      </x:c>
      <x:c r="F48" s="64" t="str">
        <x:v>NOT_STARTED</x:v>
      </x:c>
      <x:c r="G48" s="64" t="n">
        <x:v>2</x:v>
      </x:c>
      <x:c r="H48" s="64" t="n">
        <x:v>6</x:v>
      </x:c>
      <x:c r="I48" s="64" t="str">
        <x:v>trace UI snapshot</x:v>
      </x:c>
      <x:c r="J48" s="64" t="str">
        <x:v>evidence/V2-FE-04/</x:v>
      </x:c>
    </x:row>
    <x:row r="49" ht="46" customHeight="1">
      <x:c r="A49" s="65" t="str">
        <x:v>V2-FE-05</x:v>
      </x:c>
      <x:c r="B49" s="65" t="str">
        <x:v>WEB-01</x:v>
      </x:c>
      <x:c r="C49" s="65" t="str">
        <x:v>Timeline nhiều đường riêng</x:v>
      </x:c>
      <x:c r="D49" s="65" t="str">
        <x:v>Frontend</x:v>
      </x:c>
      <x:c r="E49" s="65" t="str">
        <x:v>V2-FE-04</x:v>
      </x:c>
      <x:c r="F49" s="65" t="str">
        <x:v>NOT_STARTED</x:v>
      </x:c>
      <x:c r="G49" s="65" t="n">
        <x:v>2</x:v>
      </x:c>
      <x:c r="H49" s="65" t="n">
        <x:v>6</x:v>
      </x:c>
      <x:c r="I49" s="65" t="str">
        <x:v>track legend</x:v>
      </x:c>
      <x:c r="J49" s="65" t="str">
        <x:v>evidence/V2-FE-05/</x:v>
      </x:c>
    </x:row>
    <x:row r="50" ht="46" customHeight="1">
      <x:c r="A50" s="64" t="str">
        <x:v>V2-FE-06</x:v>
      </x:c>
      <x:c r="B50" s="64" t="str">
        <x:v>WEB-01</x:v>
      </x:c>
      <x:c r="C50" s="64" t="str">
        <x:v>State errors/empty/partial toàn diện</x:v>
      </x:c>
      <x:c r="D50" s="64" t="str">
        <x:v>Frontend</x:v>
      </x:c>
      <x:c r="E50" s="64" t="str">
        <x:v>V2-FE-05</x:v>
      </x:c>
      <x:c r="F50" s="64" t="str">
        <x:v>NOT_STARTED</x:v>
      </x:c>
      <x:c r="G50" s="64" t="n">
        <x:v>2</x:v>
      </x:c>
      <x:c r="H50" s="64" t="n">
        <x:v>6</x:v>
      </x:c>
      <x:c r="I50" s="64" t="str">
        <x:v>state matrix</x:v>
      </x:c>
      <x:c r="J50" s="64" t="str">
        <x:v>evidence/V2-FE-06/</x:v>
      </x:c>
    </x:row>
    <x:row r="51" ht="46" customHeight="1">
      <x:c r="A51" s="65" t="str">
        <x:v>V2-FE-07</x:v>
      </x:c>
      <x:c r="B51" s="65" t="str">
        <x:v>WEB-01</x:v>
      </x:c>
      <x:c r="C51" s="65" t="str">
        <x:v>Mobile layout 360 px</x:v>
      </x:c>
      <x:c r="D51" s="65" t="str">
        <x:v>Frontend</x:v>
      </x:c>
      <x:c r="E51" s="65" t="str">
        <x:v>V2-FE-06</x:v>
      </x:c>
      <x:c r="F51" s="65" t="str">
        <x:v>NOT_STARTED</x:v>
      </x:c>
      <x:c r="G51" s="65" t="n">
        <x:v>2</x:v>
      </x:c>
      <x:c r="H51" s="65" t="n">
        <x:v>6</x:v>
      </x:c>
      <x:c r="I51" s="65" t="str">
        <x:v>no overflow</x:v>
      </x:c>
      <x:c r="J51" s="65" t="str">
        <x:v>evidence/V2-FE-07/</x:v>
      </x:c>
    </x:row>
    <x:row r="52" ht="46" customHeight="1">
      <x:c r="A52" s="64" t="str">
        <x:v>V2-FE-08</x:v>
      </x:c>
      <x:c r="B52" s="64" t="str">
        <x:v>WEB-01</x:v>
      </x:c>
      <x:c r="C52" s="64" t="str">
        <x:v>Keyboard/a 11 y flow</x:v>
      </x:c>
      <x:c r="D52" s="64" t="str">
        <x:v>Frontend</x:v>
      </x:c>
      <x:c r="E52" s="64" t="str">
        <x:v>V2-FE-07</x:v>
      </x:c>
      <x:c r="F52" s="64" t="str">
        <x:v>NOT_STARTED</x:v>
      </x:c>
      <x:c r="G52" s="64" t="n">
        <x:v>2</x:v>
      </x:c>
      <x:c r="H52" s="64" t="n">
        <x:v>6</x:v>
      </x:c>
      <x:c r="I52" s="64" t="str">
        <x:v>keyboard and screenreader review</x:v>
      </x:c>
      <x:c r="J52" s="64" t="str">
        <x:v>evidence/V2-FE-08/</x:v>
      </x:c>
    </x:row>
    <x:row r="53" ht="46" customHeight="1">
      <x:c r="A53" s="65" t="str">
        <x:v>V2-FE-09</x:v>
      </x:c>
      <x:c r="B53" s="65" t="str">
        <x:v>WEB-01</x:v>
      </x:c>
      <x:c r="C53" s="65" t="str">
        <x:v>Offline conflict dialog</x:v>
      </x:c>
      <x:c r="D53" s="65" t="str">
        <x:v>Frontend</x:v>
      </x:c>
      <x:c r="E53" s="65" t="str">
        <x:v>V2-FE-08</x:v>
      </x:c>
      <x:c r="F53" s="65" t="str">
        <x:v>NOT_STARTED</x:v>
      </x:c>
      <x:c r="G53" s="65" t="n">
        <x:v>2</x:v>
      </x:c>
      <x:c r="H53" s="65" t="n">
        <x:v>6</x:v>
      </x:c>
      <x:c r="I53" s="65" t="str">
        <x:v>version conflict E2E</x:v>
      </x:c>
      <x:c r="J53" s="65" t="str">
        <x:v>evidence/V2-FE-09/</x:v>
      </x:c>
    </x:row>
    <x:row r="54" ht="46" customHeight="1">
      <x:c r="A54" s="64" t="str">
        <x:v>V2-FE-10</x:v>
      </x:c>
      <x:c r="B54" s="64" t="str">
        <x:v>WEB-01</x:v>
      </x:c>
      <x:c r="C54" s="64" t="str">
        <x:v>Consent và sharing console</x:v>
      </x:c>
      <x:c r="D54" s="64" t="str">
        <x:v>Frontend</x:v>
      </x:c>
      <x:c r="E54" s="64" t="str">
        <x:v>V2-FE-09</x:v>
      </x:c>
      <x:c r="F54" s="64" t="str">
        <x:v>NOT_STARTED</x:v>
      </x:c>
      <x:c r="G54" s="64" t="n">
        <x:v>2</x:v>
      </x:c>
      <x:c r="H54" s="64" t="n">
        <x:v>6</x:v>
      </x:c>
      <x:c r="I54" s="64" t="str">
        <x:v>revocation UX</x:v>
      </x:c>
      <x:c r="J54" s="64" t="str">
        <x:v>evidence/V2-FE-10/</x:v>
      </x:c>
    </x:row>
    <x:row r="55" ht="46" customHeight="1">
      <x:c r="A55" s="65" t="str">
        <x:v>V2-FE-11</x:v>
      </x:c>
      <x:c r="B55" s="65" t="str">
        <x:v>WEB-01</x:v>
      </x:c>
      <x:c r="C55" s="65" t="str">
        <x:v>Report outline và PDF download</x:v>
      </x:c>
      <x:c r="D55" s="65" t="str">
        <x:v>Frontend</x:v>
      </x:c>
      <x:c r="E55" s="65" t="str">
        <x:v>V2-FE-10</x:v>
      </x:c>
      <x:c r="F55" s="65" t="str">
        <x:v>NOT_STARTED</x:v>
      </x:c>
      <x:c r="G55" s="65" t="n">
        <x:v>2</x:v>
      </x:c>
      <x:c r="H55" s="65" t="n">
        <x:v>6</x:v>
      </x:c>
      <x:c r="I55" s="65" t="str">
        <x:v>permissions and download tests</x:v>
      </x:c>
      <x:c r="J55" s="65" t="str">
        <x:v>evidence/V2-FE-11/</x:v>
      </x:c>
    </x:row>
    <x:row r="56" ht="46" customHeight="1">
      <x:c r="A56" s="64" t="str">
        <x:v>V2-FE-12</x:v>
      </x:c>
      <x:c r="B56" s="64" t="str">
        <x:v>WEB-01</x:v>
      </x:c>
      <x:c r="C56" s="64" t="str">
        <x:v>Đa ngôn ngữ không đổi claim</x:v>
      </x:c>
      <x:c r="D56" s="64" t="str">
        <x:v>Frontend</x:v>
      </x:c>
      <x:c r="E56" s="64" t="str">
        <x:v>V2-FE-11</x:v>
      </x:c>
      <x:c r="F56" s="64" t="str">
        <x:v>NOT_STARTED</x:v>
      </x:c>
      <x:c r="G56" s="64" t="n">
        <x:v>2</x:v>
      </x:c>
      <x:c r="H56" s="64" t="n">
        <x:v>6</x:v>
      </x:c>
      <x:c r="I56" s="64" t="str">
        <x:v>translation review</x:v>
      </x:c>
      <x:c r="J56" s="64" t="str">
        <x:v>evidence/V2-FE-12/</x:v>
      </x:c>
    </x:row>
    <x:row r="57" ht="46" customHeight="1">
      <x:c r="A57" s="65" t="str">
        <x:v>V2-AI-01</x:v>
      </x:c>
      <x:c r="B57" s="65" t="str">
        <x:v>AI-01</x:v>
      </x:c>
      <x:c r="C57" s="65" t="str">
        <x:v>Tạo approved claims assembler</x:v>
      </x:c>
      <x:c r="D57" s="65" t="str">
        <x:v>AI/Content</x:v>
      </x:c>
      <x:c r="E57" s="65" t="str">
        <x:v>AI-01</x:v>
      </x:c>
      <x:c r="F57" s="65" t="str">
        <x:v>NOT_STARTED</x:v>
      </x:c>
      <x:c r="G57" s="65" t="n">
        <x:v>2</x:v>
      </x:c>
      <x:c r="H57" s="65" t="n">
        <x:v>6</x:v>
      </x:c>
      <x:c r="I57" s="65" t="str">
        <x:v>no unsupported claims</x:v>
      </x:c>
      <x:c r="J57" s="65" t="str">
        <x:v>evidence/V2-AI-01/</x:v>
      </x:c>
    </x:row>
    <x:row r="58" ht="46" customHeight="1">
      <x:c r="A58" s="64" t="str">
        <x:v>V2-AI-02</x:v>
      </x:c>
      <x:c r="B58" s="64" t="str">
        <x:v>AI-01</x:v>
      </x:c>
      <x:c r="C58" s="64" t="str">
        <x:v>Tạo writer dựa claim IDs</x:v>
      </x:c>
      <x:c r="D58" s="64" t="str">
        <x:v>AI/Content</x:v>
      </x:c>
      <x:c r="E58" s="64" t="str">
        <x:v>V2-AI-01</x:v>
      </x:c>
      <x:c r="F58" s="64" t="str">
        <x:v>NOT_STARTED</x:v>
      </x:c>
      <x:c r="G58" s="64" t="n">
        <x:v>2</x:v>
      </x:c>
      <x:c r="H58" s="64" t="n">
        <x:v>6</x:v>
      </x:c>
      <x:c r="I58" s="64" t="str">
        <x:v>retrieval scopes</x:v>
      </x:c>
      <x:c r="J58" s="64" t="str">
        <x:v>evidence/V2-AI-02/</x:v>
      </x:c>
    </x:row>
    <x:row r="59" ht="46" customHeight="1">
      <x:c r="A59" s="65" t="str">
        <x:v>V2-AI-03</x:v>
      </x:c>
      <x:c r="B59" s="65" t="str">
        <x:v>AI-01</x:v>
      </x:c>
      <x:c r="C59" s="65" t="str">
        <x:v>Tạo reviewer số liệu/nguồn</x:v>
      </x:c>
      <x:c r="D59" s="65" t="str">
        <x:v>AI/Content</x:v>
      </x:c>
      <x:c r="E59" s="65" t="str">
        <x:v>V2-AI-02</x:v>
      </x:c>
      <x:c r="F59" s="65" t="str">
        <x:v>NOT_STARTED</x:v>
      </x:c>
      <x:c r="G59" s="65" t="n">
        <x:v>2</x:v>
      </x:c>
      <x:c r="H59" s="65" t="n">
        <x:v>6</x:v>
      </x:c>
      <x:c r="I59" s="65" t="str">
        <x:v>numeric mismatch tests</x:v>
      </x:c>
      <x:c r="J59" s="65" t="str">
        <x:v>evidence/V2-AI-03/</x:v>
      </x:c>
    </x:row>
    <x:row r="60" ht="46" customHeight="1">
      <x:c r="A60" s="64" t="str">
        <x:v>V2-AI-04</x:v>
      </x:c>
      <x:c r="B60" s="64" t="str">
        <x:v>AI-01</x:v>
      </x:c>
      <x:c r="C60" s="64" t="str">
        <x:v>Tạo 9 template nội dung riêng</x:v>
      </x:c>
      <x:c r="D60" s="64" t="str">
        <x:v>AI/Content</x:v>
      </x:c>
      <x:c r="E60" s="64" t="str">
        <x:v>V2-AI-03</x:v>
      </x:c>
      <x:c r="F60" s="64" t="str">
        <x:v>NOT_STARTED</x:v>
      </x:c>
      <x:c r="G60" s="64" t="n">
        <x:v>2</x:v>
      </x:c>
      <x:c r="H60" s="64" t="n">
        <x:v>6</x:v>
      </x:c>
      <x:c r="I60" s="64" t="str">
        <x:v>no filler/missing sections</x:v>
      </x:c>
      <x:c r="J60" s="64" t="str">
        <x:v>evidence/V2-AI-04/</x:v>
      </x:c>
    </x:row>
    <x:row r="61" ht="46" customHeight="1">
      <x:c r="A61" s="65" t="str">
        <x:v>V2-AI-05</x:v>
      </x:c>
      <x:c r="B61" s="65" t="str">
        <x:v>AI-01</x:v>
      </x:c>
      <x:c r="C61" s="65" t="str">
        <x:v>Tạo 3 case Level 1 đủ/thiếu/hypothesis</x:v>
      </x:c>
      <x:c r="D61" s="65" t="str">
        <x:v>AI/Content</x:v>
      </x:c>
      <x:c r="E61" s="65" t="str">
        <x:v>V2-AI-04</x:v>
      </x:c>
      <x:c r="F61" s="65" t="str">
        <x:v>NOT_STARTED</x:v>
      </x:c>
      <x:c r="G61" s="65" t="n">
        <x:v>2</x:v>
      </x:c>
      <x:c r="H61" s="65" t="n">
        <x:v>6</x:v>
      </x:c>
      <x:c r="I61" s="65" t="str">
        <x:v>case walkthrough</x:v>
      </x:c>
      <x:c r="J61" s="65" t="str">
        <x:v>evidence/V2-AI-05/</x:v>
      </x:c>
    </x:row>
    <x:row r="62" ht="46" customHeight="1">
      <x:c r="A62" s="64" t="str">
        <x:v>V2-AI-06</x:v>
      </x:c>
      <x:c r="B62" s="64" t="str">
        <x:v>AI-01</x:v>
      </x:c>
      <x:c r="C62" s="64" t="str">
        <x:v>Tạo budget/quota/circuit breaker</x:v>
      </x:c>
      <x:c r="D62" s="64" t="str">
        <x:v>AI/Content</x:v>
      </x:c>
      <x:c r="E62" s="64" t="str">
        <x:v>V2-AI-05</x:v>
      </x:c>
      <x:c r="F62" s="64" t="str">
        <x:v>NOT_STARTED</x:v>
      </x:c>
      <x:c r="G62" s="64" t="n">
        <x:v>2</x:v>
      </x:c>
      <x:c r="H62" s="64" t="n">
        <x:v>6</x:v>
      </x:c>
      <x:c r="I62" s="64" t="str">
        <x:v>cost limits/fallback</x:v>
      </x:c>
      <x:c r="J62" s="64" t="str">
        <x:v>evidence/V2-AI-06/</x:v>
      </x:c>
    </x:row>
    <x:row r="63" ht="46" customHeight="1">
      <x:c r="A63" s="65" t="str">
        <x:v>V2-AI-07</x:v>
      </x:c>
      <x:c r="B63" s="65" t="str">
        <x:v>AI-01</x:v>
      </x:c>
      <x:c r="C63" s="65" t="str">
        <x:v>Biên tập VI và nguồn đa ngôn ngữ</x:v>
      </x:c>
      <x:c r="D63" s="65" t="str">
        <x:v>AI/Content</x:v>
      </x:c>
      <x:c r="E63" s="65" t="str">
        <x:v>V2-AI-06</x:v>
      </x:c>
      <x:c r="F63" s="65" t="str">
        <x:v>NOT_STARTED</x:v>
      </x:c>
      <x:c r="G63" s="65" t="n">
        <x:v>2</x:v>
      </x:c>
      <x:c r="H63" s="65" t="n">
        <x:v>6</x:v>
      </x:c>
      <x:c r="I63" s="65" t="str">
        <x:v>editor signoff</x:v>
      </x:c>
      <x:c r="J63" s="65" t="str">
        <x:v>evidence/V2-AI-07/</x:v>
      </x:c>
    </x:row>
    <x:row r="64" ht="46" customHeight="1">
      <x:c r="A64" s="64" t="str">
        <x:v>V2-AI-08</x:v>
      </x:c>
      <x:c r="B64" s="64" t="str">
        <x:v>AI-01</x:v>
      </x:c>
      <x:c r="C64" s="64" t="str">
        <x:v>Theo dõi correction/outcome</x:v>
      </x:c>
      <x:c r="D64" s="64" t="str">
        <x:v>AI/Content</x:v>
      </x:c>
      <x:c r="E64" s="64" t="str">
        <x:v>V2-AI-07</x:v>
      </x:c>
      <x:c r="F64" s="64" t="str">
        <x:v>NOT_STARTED</x:v>
      </x:c>
      <x:c r="G64" s="64" t="n">
        <x:v>2</x:v>
      </x:c>
      <x:c r="H64" s="64" t="n">
        <x:v>6</x:v>
      </x:c>
      <x:c r="I64" s="64" t="str">
        <x:v>feedback not automatic validation</x:v>
      </x:c>
      <x:c r="J64" s="64" t="str">
        <x:v>evidence/V2-AI-08/</x:v>
      </x:c>
    </x:row>
    <x:row r="65" ht="46" customHeight="1">
      <x:c r="A65" s="65" t="str">
        <x:v>V2-OPS-01</x:v>
      </x:c>
      <x:c r="B65" s="65" t="str">
        <x:v>OPS-01</x:v>
      </x:c>
      <x:c r="C65" s="65" t="str">
        <x:v>Khóa source/artifact/runtime receipt</x:v>
      </x:c>
      <x:c r="D65" s="65" t="str">
        <x:v>Operations</x:v>
      </x:c>
      <x:c r="E65" s="65" t="str">
        <x:v>OPS-01</x:v>
      </x:c>
      <x:c r="F65" s="65" t="str">
        <x:v>NOT_STARTED</x:v>
      </x:c>
      <x:c r="G65" s="65" t="n">
        <x:v>2</x:v>
      </x:c>
      <x:c r="H65" s="65" t="n">
        <x:v>6</x:v>
      </x:c>
      <x:c r="I65" s="65" t="str">
        <x:v>exactSHA manifest</x:v>
      </x:c>
      <x:c r="J65" s="65" t="str">
        <x:v>evidence/V2-OPS-01/</x:v>
      </x:c>
    </x:row>
    <x:row r="66" ht="46" customHeight="1">
      <x:c r="A66" s="64" t="str">
        <x:v>V2-OPS-02</x:v>
      </x:c>
      <x:c r="B66" s="64" t="str">
        <x:v>OPS-01</x:v>
      </x:c>
      <x:c r="C66" s="64" t="str">
        <x:v>CI kiểm schema/code/report</x:v>
      </x:c>
      <x:c r="D66" s="64" t="str">
        <x:v>Operations</x:v>
      </x:c>
      <x:c r="E66" s="64" t="str">
        <x:v>V2-OPS-01</x:v>
      </x:c>
      <x:c r="F66" s="64" t="str">
        <x:v>NOT_STARTED</x:v>
      </x:c>
      <x:c r="G66" s="64" t="n">
        <x:v>2</x:v>
      </x:c>
      <x:c r="H66" s="64" t="n">
        <x:v>6</x:v>
      </x:c>
      <x:c r="I66" s="64" t="str">
        <x:v>CI artifact logs</x:v>
      </x:c>
      <x:c r="J66" s="64" t="str">
        <x:v>evidence/V2-OPS-02/</x:v>
      </x:c>
    </x:row>
    <x:row r="67" ht="46" customHeight="1">
      <x:c r="A67" s="65" t="str">
        <x:v>V2-OPS-03</x:v>
      </x:c>
      <x:c r="B67" s="65" t="str">
        <x:v>OPS-01</x:v>
      </x:c>
      <x:c r="C67" s="65" t="str">
        <x:v>Load test staging</x:v>
      </x:c>
      <x:c r="D67" s="65" t="str">
        <x:v>Operations</x:v>
      </x:c>
      <x:c r="E67" s="65" t="str">
        <x:v>V2-OPS-02</x:v>
      </x:c>
      <x:c r="F67" s="65" t="str">
        <x:v>NOT_STARTED</x:v>
      </x:c>
      <x:c r="G67" s="65" t="n">
        <x:v>2</x:v>
      </x:c>
      <x:c r="H67" s="65" t="n">
        <x:v>6</x:v>
      </x:c>
      <x:c r="I67" s="65" t="str">
        <x:v>load workload defined</x:v>
      </x:c>
      <x:c r="J67" s="65" t="str">
        <x:v>evidence/V2-OPS-03/</x:v>
      </x:c>
    </x:row>
    <x:row r="68" ht="46" customHeight="1">
      <x:c r="A68" s="64" t="str">
        <x:v>V2-OPS-04</x:v>
      </x:c>
      <x:c r="B68" s="64" t="str">
        <x:v>OPS-01</x:v>
      </x:c>
      <x:c r="C68" s="64" t="str">
        <x:v>SLO/alert/runbook</x:v>
      </x:c>
      <x:c r="D68" s="64" t="str">
        <x:v>Operations</x:v>
      </x:c>
      <x:c r="E68" s="64" t="str">
        <x:v>V2-OPS-03</x:v>
      </x:c>
      <x:c r="F68" s="64" t="str">
        <x:v>NOT_STARTED</x:v>
      </x:c>
      <x:c r="G68" s="64" t="n">
        <x:v>2</x:v>
      </x:c>
      <x:c r="H68" s="64" t="n">
        <x:v>6</x:v>
      </x:c>
      <x:c r="I68" s="64" t="str">
        <x:v>owner and errorbudget</x:v>
      </x:c>
      <x:c r="J68" s="64" t="str">
        <x:v>evidence/V2-OPS-04/</x:v>
      </x:c>
    </x:row>
    <x:row r="69" ht="46" customHeight="1">
      <x:c r="A69" s="65" t="str">
        <x:v>V2-OPS-05</x:v>
      </x:c>
      <x:c r="B69" s="65" t="str">
        <x:v>OPS-01</x:v>
      </x:c>
      <x:c r="C69" s="65" t="str">
        <x:v>Diễn tập rollback về safe mode</x:v>
      </x:c>
      <x:c r="D69" s="65" t="str">
        <x:v>Operations</x:v>
      </x:c>
      <x:c r="E69" s="65" t="str">
        <x:v>V2-OPS-04</x:v>
      </x:c>
      <x:c r="F69" s="65" t="str">
        <x:v>NOT_STARTED</x:v>
      </x:c>
      <x:c r="G69" s="65" t="n">
        <x:v>2</x:v>
      </x:c>
      <x:c r="H69" s="65" t="n">
        <x:v>6</x:v>
      </x:c>
      <x:c r="I69" s="65" t="str">
        <x:v>rollback receipt</x:v>
      </x:c>
      <x:c r="J69" s="65" t="str">
        <x:v>evidence/V2-OPS-05/</x:v>
      </x:c>
    </x:row>
    <x:row r="70" ht="46" customHeight="1">
      <x:c r="A70" s="64" t="str">
        <x:v>V2-OPS-06</x:v>
      </x:c>
      <x:c r="B70" s="64" t="str">
        <x:v>OPS-01</x:v>
      </x:c>
      <x:c r="C70" s="64" t="str">
        <x:v>Pilot người lớn có đồng ý</x:v>
      </x:c>
      <x:c r="D70" s="64" t="str">
        <x:v>Operations</x:v>
      </x:c>
      <x:c r="E70" s="64" t="str">
        <x:v>V2-OPS-05</x:v>
      </x:c>
      <x:c r="F70" s="64" t="str">
        <x:v>NOT_STARTED</x:v>
      </x:c>
      <x:c r="G70" s="64" t="n">
        <x:v>2</x:v>
      </x:c>
      <x:c r="H70" s="64" t="n">
        <x:v>6</x:v>
      </x:c>
      <x:c r="I70" s="64" t="str">
        <x:v>pilot protocol</x:v>
      </x:c>
      <x:c r="J70" s="64" t="str">
        <x:v>evidence/V2-OPS-06/</x:v>
      </x:c>
    </x:row>
    <x:row r="71" ht="46" customHeight="1">
      <x:c r="A71" s="65" t="str">
        <x:v>V2-OPS-07</x:v>
      </x:c>
      <x:c r="B71" s="65" t="str">
        <x:v>OPS-01</x:v>
      </x:c>
      <x:c r="C71" s="65" t="str">
        <x:v>Đào tạo chuyên gia và reviewer</x:v>
      </x:c>
      <x:c r="D71" s="65" t="str">
        <x:v>Operations</x:v>
      </x:c>
      <x:c r="E71" s="65" t="str">
        <x:v>V2-OPS-06</x:v>
      </x:c>
      <x:c r="F71" s="65" t="str">
        <x:v>NOT_STARTED</x:v>
      </x:c>
      <x:c r="G71" s="65" t="n">
        <x:v>2</x:v>
      </x:c>
      <x:c r="H71" s="65" t="n">
        <x:v>6</x:v>
      </x:c>
      <x:c r="I71" s="65" t="str">
        <x:v>rubric and scope</x:v>
      </x:c>
      <x:c r="J71" s="65" t="str">
        <x:v>evidence/V2-OPS-07/</x:v>
      </x:c>
    </x:row>
    <x:row r="72" ht="46" customHeight="1">
      <x:c r="A72" s="64" t="str">
        <x:v>V2-OPS-08</x:v>
      </x:c>
      <x:c r="B72" s="64" t="str">
        <x:v>OPS-01</x:v>
      </x:c>
      <x:c r="C72" s="64" t="str">
        <x:v>Thử partner không độc quyền</x:v>
      </x:c>
      <x:c r="D72" s="64" t="str">
        <x:v>Operations</x:v>
      </x:c>
      <x:c r="E72" s="64" t="str">
        <x:v>V2-OPS-07</x:v>
      </x:c>
      <x:c r="F72" s="64" t="str">
        <x:v>NOT_STARTED</x:v>
      </x:c>
      <x:c r="G72" s="64" t="n">
        <x:v>2</x:v>
      </x:c>
      <x:c r="H72" s="64" t="n">
        <x:v>6</x:v>
      </x:c>
      <x:c r="I72" s="64" t="str">
        <x:v>country/legal/support gates</x:v>
      </x:c>
      <x:c r="J72" s="64" t="str">
        <x:v>evidence/V2-OPS-08/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1843da5326494ef8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35" hidden="0" customWidth="1"/>
    <x:col min="4" max="4" width="43" hidden="0" customWidth="1"/>
    <x:col min="5" max="5" width="36" hidden="0" customWidth="1"/>
    <x:col min="6" max="6" width="45" hidden="0" customWidth="1"/>
    <x:col min="7" max="7" width="43" hidden="0" customWidth="1"/>
    <x:col min="8" max="8" width="40" hidden="0" customWidth="1"/>
  </x:cols>
  <x:sheetData>
    <x:row r="1" ht="34" customHeight="1">
      <x:c r="A1" s="56" t="str">
        <x:v>32 bản ghi công thức và adapter</x:v>
      </x:c>
      <x:c r="B1" s="56"/>
      <x:c r="C1" s="56"/>
      <x:c r="D1" s="56"/>
      <x:c r="E1" s="56"/>
      <x:c r="F1" s="56"/>
      <x:c r="G1" s="56"/>
      <x:c r="H1" s="56"/>
    </x:row>
    <x:row r="2" ht="34" customHeight="1">
      <x:c r="A2" s="58" t="str">
        <x:v>16 họ phép tính có mã tham chiếu; phần nâng cao vẫn giữ trong nghiên cứu/đặc tả. Không đồng nghĩa đã chứng minh dự báo.</x:v>
      </x:c>
      <x:c r="B2" s="58"/>
      <x:c r="C2" s="58"/>
      <x:c r="D2" s="58"/>
      <x:c r="E2" s="58"/>
      <x:c r="F2" s="58"/>
      <x:c r="G2" s="58"/>
      <x:c r="H2" s="58"/>
    </x:row>
    <x:row r="4" ht="28" customHeight="1">
      <x:c r="A4" s="61" t="str">
        <x:v>ID</x:v>
      </x:c>
      <x:c r="B4" s="61" t="str">
        <x:v>Tên</x:v>
      </x:c>
      <x:c r="C4" s="61" t="str">
        <x:v>Trạng thái</x:v>
      </x:c>
      <x:c r="D4" s="61" t="str">
        <x:v>Công thức</x:v>
      </x:c>
      <x:c r="E4" s="61" t="str">
        <x:v>Đầu vào</x:v>
      </x:c>
      <x:c r="F4" s="61" t="str">
        <x:v>Biên / thiếu dữ liệu</x:v>
      </x:c>
      <x:c r="G4" s="61" t="str">
        <x:v>Demo</x:v>
      </x:c>
      <x:c r="H4" s="61" t="str">
        <x:v>Mã tham chiếu</x:v>
      </x:c>
    </x:row>
    <x:row r="5" ht="46" customHeight="1">
      <x:c r="A5" s="65" t="str">
        <x:v>LCF-01</x:v>
      </x:c>
      <x:c r="B5" s="65" t="str">
        <x:v>Mã đuôi 80</x:v>
      </x:c>
      <x:c r="C5" s="65" t="str">
        <x:v>REFERENCE_IMPLEMENTED_NOT_PRODUCTION</x:v>
      </x:c>
      <x:c r="D5" s="65" t="str">
        <x:v>r = N mod 80; q = floor(N / 80)</x:v>
      </x:c>
      <x:c r="E5" s="65" t="str">
        <x:v>Chuỗi đúng bốn chữ số ASCII và chính sách zero_policy.</x:v>
      </x:c>
      <x:c r="F5" s="65" t="str">
        <x:v>Giữ nguyên số 0 đầu; số dư 0 mặc định chưa ánh xạ. Chỉ dùng as80 khi được chọn rõ; không tính qua số thực.</x:v>
      </x:c>
      <x:c r="G5" s="65" t="str">
        <x:v>DEMO-001, DEMO-002, DEMO-003, DEMO-004, DEMO-005, DEMO-006, DEMO-007, DEMO-008, DEMO-009</x:v>
      </x:c>
      <x:c r="H5" s="65" t="str">
        <x:v>06_DEMO_LAB/src/numbers.mjs</x:v>
      </x:c>
    </x:row>
    <x:row r="6" ht="46" customHeight="1">
      <x:c r="A6" s="64" t="str">
        <x:v>LCF-02</x:v>
      </x:c>
      <x:c r="B6" s="64" t="str">
        <x:v>Cặp số chồng lấn</x:v>
      </x:c>
      <x:c r="C6" s="64" t="str">
        <x:v>REFERENCE_IMPLEMENTED_NOT_PRODUCTION</x:v>
      </x:c>
      <x:c r="D6" s="64" t="str">
        <x:v>p_i = (d_i, d_(i+1)), với i từ 0 đến n−2</x:v>
      </x:c>
      <x:c r="E6" s="64" t="str">
        <x:v>Chuỗi 2–32 chữ số; chọn strict hoặc bridge5_diagnostic.</x:v>
      </x:c>
      <x:c r="F6" s="64" t="str">
        <x:v>Trong strict, cặp có 0 hoặc 5 chưa được gán nhóm. Cặp 55 không mặc nhiên là Phục vị.</x:v>
      </x:c>
      <x:c r="G6" s="64" t="str">
        <x:v>DEMO-010, DEMO-011, DEMO-012, DEMO-013, DEMO-014, DEMO-015, DEMO-016</x:v>
      </x:c>
      <x:c r="H6" s="64" t="str">
        <x:v>06_DEMO_LAB/src/numbers.mjs</x:v>
      </x:c>
    </x:row>
    <x:row r="7" ht="46" customHeight="1">
      <x:c r="A7" s="65" t="str">
        <x:v>LCF-03</x:v>
      </x:c>
      <x:c r="B7" s="65" t="str">
        <x:v>Ma trận chữ số thô</x:v>
      </x:c>
      <x:c r="C7" s="65" t="str">
        <x:v>REFERENCE_IMPLEMENTED_NOT_PRODUCTION</x:v>
      </x:c>
      <x:c r="D7" s="65" t="str">
        <x:v>count(k) = Σ I(d_i = k); tổng đường = Σ count(k)</x:v>
      </x:c>
      <x:c r="E7" s="65" t="str">
        <x:v>Chuỗi chữ số gốc theo phạm vi của công cụ.</x:v>
      </x:c>
      <x:c r="F7" s="65" t="str">
        <x:v>Không thêm các số làm việc khi chưa có quy tắc nguồn. Số 0 được ghi riêng.</x:v>
      </x:c>
      <x:c r="G7" s="65" t="str">
        <x:v>DEMO-017</x:v>
      </x:c>
      <x:c r="H7" s="65" t="str">
        <x:v>06_DEMO_LAB/src/numbers.mjs</x:v>
      </x:c>
    </x:row>
    <x:row r="8" ht="46" customHeight="1">
      <x:c r="A8" s="64" t="str">
        <x:v>LCF-04</x:v>
      </x:c>
      <x:c r="B8" s="64" t="str">
        <x:v>Đặc trưng dãy số</x:v>
      </x:c>
      <x:c r="C8" s="64" t="str">
        <x:v>REFERENCE_IMPLEMENTED_NOT_PRODUCTION</x:v>
      </x:c>
      <x:c r="D8" s="64" t="str">
        <x:v>Tổng chữ số; căn rút gọn; nhóm lặp; tính đối xứng</x:v>
      </x:c>
      <x:c r="E8" s="64" t="str">
        <x:v>Chuỗi chữ số với giới hạn độ dài được kiểm tra.</x:v>
      </x:c>
      <x:c r="F8" s="64" t="str">
        <x:v>Chuỗi đối xứng không tự chứng minh dễ nhớ đối với người sử dụng.</x:v>
      </x:c>
      <x:c r="G8" s="64" t="str">
        <x:v>DEMO-018</x:v>
      </x:c>
      <x:c r="H8" s="64" t="str">
        <x:v>06_DEMO_LAB/src/numbers.mjs</x:v>
      </x:c>
    </x:row>
    <x:row r="9" ht="46" customHeight="1">
      <x:c r="A9" s="65" t="str">
        <x:v>LCF-05</x:v>
      </x:c>
      <x:c r="B9" s="65" t="str">
        <x:v>Quy đổi tên Latin có truy vết</x:v>
      </x:c>
      <x:c r="C9" s="65" t="str">
        <x:v>REFERENCE_IMPLEMENTED_NOT_PRODUCTION</x:v>
      </x:c>
      <x:c r="D9" s="65" t="str">
        <x:v>value(c) = ((ord(c) − 65) mod 9) + 1, với c thuộc A–Z</x:v>
      </x:c>
      <x:c r="E9" s="65" t="str">
        <x:v>Tên Việt hoặc Latin; cấu hình chữ Y và cách giữ số đặc biệt.</x:v>
      </x:c>
      <x:c r="F9" s="65" t="str">
        <x:v>Giữ tên gốc; chuẩn hóa NFC; quy đổi Đ thành D ở chuỗi dẫn xuất. Từ chối văn tự chưa được hỗ trợ.</x:v>
      </x:c>
      <x:c r="G9" s="65" t="str">
        <x:v>DEMO-021, DEMO-022, DEMO-023, DEMO-024, DEMO-025, DEMO-026, DEMO-027, DEMO-028, DEMO-029</x:v>
      </x:c>
      <x:c r="H9" s="65" t="str">
        <x:v>06_DEMO_LAB/src/names.mjs</x:v>
      </x:c>
    </x:row>
    <x:row r="10" ht="46" customHeight="1">
      <x:c r="A10" s="64" t="str">
        <x:v>LCF-06</x:v>
      </x:c>
      <x:c r="B10" s="64" t="str">
        <x:v>Khoảng tuổi 0–99</x:v>
      </x:c>
      <x:c r="C10" s="64" t="str">
        <x:v>REFERENCE_IMPLEMENTED_NOT_PRODUCTION</x:v>
      </x:c>
      <x:c r="D10" s="64" t="str">
        <x:v>[anniv(B, a), anniv(B, a+1))</x:v>
      </x:c>
      <x:c r="E10" s="64" t="str">
        <x:v>Ngày sinh ISO, ngày đối chiếu as_of và chính sách ngày nhuận.</x:v>
      </x:c>
      <x:c r="F10" s="64" t="str">
        <x:v>Ngày 29/02 dùng chính sách feb28 hoặc mar01 đã chọn rõ. Không suy đoán tuổi thọ.</x:v>
      </x:c>
      <x:c r="G10" s="64" t="str">
        <x:v>DEMO-037, DEMO-038</x:v>
      </x:c>
      <x:c r="H10" s="64" t="str">
        <x:v>06_DEMO_LAB/src/time.mjs</x:v>
      </x:c>
    </x:row>
    <x:row r="11" ht="46" customHeight="1">
      <x:c r="A11" s="65" t="str">
        <x:v>LCF-07</x:v>
      </x:c>
      <x:c r="B11" s="65" t="str">
        <x:v>Quy đổi ngày sinh</x:v>
      </x:c>
      <x:c r="C11" s="65" t="str">
        <x:v>REFERENCE_IMPLEMENTED_NOT_PRODUCTION</x:v>
      </x:c>
      <x:c r="D11" s="65" t="str">
        <x:v>all_digits hoặc reduced_components theo cấu hình</x:v>
      </x:c>
      <x:c r="E11" s="65" t="str">
        <x:v>Ngày sinh ISO, biến thể cộng và quy tắc rút gọn.</x:v>
      </x:c>
      <x:c r="F11" s="65" t="str">
        <x:v>Không trộn cách giữ 11, 22, 33 giữa các phương pháp.</x:v>
      </x:c>
      <x:c r="G11" s="65" t="str">
        <x:v>DEMO-030, DEMO-031, DEMO-032, DEMO-033, DEMO-034</x:v>
      </x:c>
      <x:c r="H11" s="65" t="str">
        <x:v>06_DEMO_LAB/src/time.mjs</x:v>
      </x:c>
    </x:row>
    <x:row r="12" ht="46" customHeight="1">
      <x:c r="A12" s="64" t="str">
        <x:v>LCF-08</x:v>
      </x:c>
      <x:c r="B12" s="64" t="str">
        <x:v>Chu kỳ năm và tháng biểu tượng</x:v>
      </x:c>
      <x:c r="C12" s="64" t="str">
        <x:v>REFERENCE_IMPLEMENTED_NOT_PRODUCTION</x:v>
      </x:c>
      <x:c r="D12" s="64" t="str">
        <x:v>r(r(ngày) + r(tháng) + r(tổng chữ số năm))</x:v>
      </x:c>
      <x:c r="E12" s="64" t="str">
        <x:v>Ngày sinh; năm xét; quy ước năm dương lịch hoặc từ sinh nhật; as_of khi cần.</x:v>
      </x:c>
      <x:c r="F12" s="64" t="str">
        <x:v>Giữ rõ chính sách chuyển năm và không gọi mã số là năm cưới, năm giàu hoặc năm tai họa.</x:v>
      </x:c>
      <x:c r="G12" s="64" t="str">
        <x:v>DEMO-035, DEMO-036</x:v>
      </x:c>
      <x:c r="H12" s="64" t="str">
        <x:v>06_DEMO_LAB/src/time.mjs</x:v>
      </x:c>
    </x:row>
    <x:row r="13" ht="46" customHeight="1">
      <x:c r="A13" s="65" t="str">
        <x:v>LCF-09</x:v>
      </x:c>
      <x:c r="B13" s="65" t="str">
        <x:v>Thời điểm UTC ứng viên từ giờ địa phương</x:v>
      </x:c>
      <x:c r="C13" s="65" t="str">
        <x:v>REFERENCE_IMPLEMENTED_NOT_PRODUCTION</x:v>
      </x:c>
      <x:c r="D13" s="65" t="str">
        <x:v>Liệt kê độ lệch múi giờ; đối chiếu ngược về giờ địa phương</x:v>
      </x:c>
      <x:c r="E13" s="65" t="str">
        <x:v>Ngày, giờ địa phương và định danh múi giờ IANA.</x:v>
      </x:c>
      <x:c r="F13" s="65" t="str">
        <x:v>Phạm vi demo 1900–2100; ghi phiên bản Intl/ICU. Không thay thư viện lịch pháp hoặc thiên văn đầy đủ.</x:v>
      </x:c>
      <x:c r="G13" s="65" t="str">
        <x:v>DEMO-040, DEMO-041, DEMO-042, DEMO-043, DEMO-044</x:v>
      </x:c>
      <x:c r="H13" s="65" t="str">
        <x:v>06_DEMO_LAB/src/time.mjs</x:v>
      </x:c>
    </x:row>
    <x:row r="14" ht="46" customHeight="1">
      <x:c r="A14" s="64" t="str">
        <x:v>LCF-10</x:v>
      </x:c>
      <x:c r="B14" s="64" t="str">
        <x:v>So sánh giả thuyết ngày sinh</x:v>
      </x:c>
      <x:c r="C14" s="64" t="str">
        <x:v>REFERENCE_IMPLEMENTED_NOT_PRODUCTION</x:v>
      </x:c>
      <x:c r="D14" s="64" t="str">
        <x:v>Tính độc lập cho từng giả thuyết, không trộn đầu vào</x:v>
      </x:c>
      <x:c r="E14" s="64" t="str">
        <x:v>Từ hai đến năm phương án có ID và ngày ISO hợp lệ.</x:v>
      </x:c>
      <x:c r="F14" s="64" t="str">
        <x:v>Không lấy trung bình ngày sinh và không tự chọn phương án vì lời diễn giải hấp dẫn hơn.</x:v>
      </x:c>
      <x:c r="G14" s="64" t="str">
        <x:v>DEMO-039</x:v>
      </x:c>
      <x:c r="H14" s="64" t="str">
        <x:v>06_DEMO_LAB/src/time.mjs</x:v>
      </x:c>
    </x:row>
    <x:row r="15" ht="46" customHeight="1">
      <x:c r="A15" s="65" t="str">
        <x:v>LCF-11</x:v>
      </x:c>
      <x:c r="B15" s="65" t="str">
        <x:v>Độ đầy đủ đầu vào</x:v>
      </x:c>
      <x:c r="C15" s="65" t="str">
        <x:v>REFERENCE_IMPLEMENTED_NOT_PRODUCTION</x:v>
      </x:c>
      <x:c r="D15" s="65" t="str">
        <x:v>Σ(trọng số máy chủ × có dữ liệu) / Σ(trọng số máy chủ)</x:v>
      </x:c>
      <x:c r="E15" s="65" t="str">
        <x:v>Mã phiên bản sản phẩm và danh sách trường đầu vào hợp lệ.</x:v>
      </x:c>
      <x:c r="F15" s="65" t="str">
        <x:v>Mẫu số do máy chủ khóa; điểm và trọng số tự gửi từ client bị từ chối.</x:v>
      </x:c>
      <x:c r="G15" s="65" t="str">
        <x:v>DEMO-045, DEMO-046</x:v>
      </x:c>
      <x:c r="H15" s="65" t="str">
        <x:v>06_DEMO_LAB/src/metrics.mjs</x:v>
      </x:c>
    </x:row>
    <x:row r="16" ht="46" customHeight="1">
      <x:c r="A16" s="64" t="str">
        <x:v>LCF-12</x:v>
      </x:c>
      <x:c r="B16" s="64" t="str">
        <x:v>Tiến độ công việc đến hạn</x:v>
      </x:c>
      <x:c r="C16" s="64" t="str">
        <x:v>REFERENCE_IMPLEMENTED_NOT_PRODUCTION</x:v>
      </x:c>
      <x:c r="D16" s="64" t="str">
        <x:v>Số việc hoàn thành đến hạn / số việc không hủy đến hạn trong cửa sổ</x:v>
      </x:c>
      <x:c r="E16" s="64" t="str">
        <x:v>Danh sách công việc và khoảng ngày đối chiếu.</x:v>
      </x:c>
      <x:c r="F16" s="64" t="str">
        <x:v>Loại việc hủy và việc ngoài cửa sổ; mẫu số 0 trả null, không giả thành 100%.</x:v>
      </x:c>
      <x:c r="G16" s="64" t="str">
        <x:v>DEMO-047, DEMO-048</x:v>
      </x:c>
      <x:c r="H16" s="64" t="str">
        <x:v>06_DEMO_LAB/src/metrics.mjs</x:v>
      </x:c>
    </x:row>
    <x:row r="17" ht="46" customHeight="1">
      <x:c r="A17" s="65" t="str">
        <x:v>LCF-13</x:v>
      </x:c>
      <x:c r="B17" s="65" t="str">
        <x:v>Dòng tiền theo đơn vị nhỏ nhất</x:v>
      </x:c>
      <x:c r="C17" s="65" t="str">
        <x:v>REFERENCE_IMPLEMENTED_NOT_PRODUCTION</x:v>
      </x:c>
      <x:c r="D17" s="65" t="str">
        <x:v>Tổng tiền vào − tổng tiền ra, tách theo từng loại tiền</x:v>
      </x:c>
      <x:c r="E17" s="65" t="str">
        <x:v>Mã tiền tệ và các số tiền ở dạng chuỗi số nguyên của đơn vị nhỏ nhất.</x:v>
      </x:c>
      <x:c r="F17" s="65" t="str">
        <x:v>Dùng BigInt; không cộng lẫn các loại tiền hoặc tự quy đổi tỷ giá. Không dự báo lợi nhuận.</x:v>
      </x:c>
      <x:c r="G17" s="65" t="str">
        <x:v>DEMO-049, DEMO-050</x:v>
      </x:c>
      <x:c r="H17" s="65" t="str">
        <x:v>06_DEMO_LAB/src/metrics.mjs</x:v>
      </x:c>
    </x:row>
    <x:row r="18" ht="46" customHeight="1">
      <x:c r="A18" s="64" t="str">
        <x:v>LCF-14</x:v>
      </x:c>
      <x:c r="B18" s="64" t="str">
        <x:v>Tổng hợp nhật ký tự khai</x:v>
      </x:c>
      <x:c r="C18" s="64" t="str">
        <x:v>REFERENCE_IMPLEMENTED_NOT_PRODUCTION</x:v>
      </x:c>
      <x:c r="D18" s="64" t="str">
        <x:v>Số quan sát, trung bình và trung vị theo từng trường</x:v>
      </x:c>
      <x:c r="E18" s="64" t="str">
        <x:v>Ngày, mã trường môi trường và điểm tự khai từ 0 đến 10.</x:v>
      </x:c>
      <x:c r="F18" s="64" t="str">
        <x:v>Không suy ra quan hệ nhân quả, hiệu quả điều trị hoặc thang đo sinh học.</x:v>
      </x:c>
      <x:c r="G18" s="64" t="str">
        <x:v>DEMO-051</x:v>
      </x:c>
      <x:c r="H18" s="64" t="str">
        <x:v>06_DEMO_LAB/src/metrics.mjs</x:v>
      </x:c>
    </x:row>
    <x:row r="19" ht="46" customHeight="1">
      <x:c r="A19" s="65" t="str">
        <x:v>LCF-15</x:v>
      </x:c>
      <x:c r="B19" s="65" t="str">
        <x:v>So sánh tiêu chí do người dùng chọn</x:v>
      </x:c>
      <x:c r="C19" s="65" t="str">
        <x:v>REFERENCE_IMPLEMENTED_NOT_PRODUCTION</x:v>
      </x:c>
      <x:c r="D19" s="65" t="str">
        <x:v>Σ(trọng số × điểm tiêu chí) / 100</x:v>
      </x:c>
      <x:c r="E19" s="65" t="str">
        <x:v>Bộ tiêu chí có tổng trọng số 100 và điểm của từng phương án.</x:v>
      </x:c>
      <x:c r="F19" s="65" t="str">
        <x:v>Thiếu dữ liệu chặn xếp hạng toàn bộ; không tự chuẩn hóa lại mẫu số để làm đẹp kết quả.</x:v>
      </x:c>
      <x:c r="G19" s="65" t="str">
        <x:v>DEMO-052, DEMO-053</x:v>
      </x:c>
      <x:c r="H19" s="65" t="str">
        <x:v>06_DEMO_LAB/src/metrics.mjs</x:v>
      </x:c>
    </x:row>
    <x:row r="20" ht="46" customHeight="1">
      <x:c r="A20" s="64" t="str">
        <x:v>LCF-16</x:v>
      </x:c>
      <x:c r="B20" s="64" t="str">
        <x:v>Biến đổi sáu hào</x:v>
      </x:c>
      <x:c r="C20" s="64" t="str">
        <x:v>REFERENCE_IMPLEMENTED_NOT_PRODUCTION</x:v>
      </x:c>
      <x:c r="D20" s="64" t="str">
        <x:v>Quẻ biến = quẻ gốc XOR mặt nạ hào động</x:v>
      </x:c>
      <x:c r="E20" s="64" t="str">
        <x:v>Sáu bit từ dưới lên; 0 là âm, 1 là dương; các hào động 1–6 không trùng.</x:v>
      </x:c>
      <x:c r="F20" s="64" t="str">
        <x:v>Chỉ số nhị phân không phải thứ tự Văn Vương. Demo không kèm tên quẻ hoặc lời quẻ chưa được khóa nguồn.</x:v>
      </x:c>
      <x:c r="G20" s="64" t="str">
        <x:v>DEMO-054</x:v>
      </x:c>
      <x:c r="H20" s="64" t="str">
        <x:v>06_DEMO_LAB/src/symbolic.mjs</x:v>
      </x:c>
    </x:row>
    <x:row r="21" ht="46" customHeight="1">
      <x:c r="A21" s="65" t="str">
        <x:v>SPEC-BAZI_PILLARS</x:v>
      </x:c>
      <x:c r="B21" s="65" t="str">
        <x:v>Bát tự bốn trụ</x:v>
      </x:c>
      <x:c r="C21" s="65" t="str">
        <x:v>RESEARCH_OR_IMPLEMENTATION_PENDING</x:v>
      </x:c>
      <x:c r="D21" s="65" t="str"/>
      <x:c r="E21" s="65" t="str"/>
      <x:c r="F21" s="65" t="str">
        <x:v>Tiết khí, múi giờ lịch sử, ranh giới ngày và chính sách trường phái.</x:v>
      </x:c>
      <x:c r="G21" s="65" t="str"/>
      <x:c r="H21" s="65" t="str"/>
    </x:row>
    <x:row r="22" ht="46" customHeight="1">
      <x:c r="A22" s="64" t="str">
        <x:v>SPEC-BAZI_STRENGTH</x:v>
      </x:c>
      <x:c r="B22" s="64" t="str">
        <x:v>Vượng–suy/dụng thần</x:v>
      </x:c>
      <x:c r="C22" s="64" t="str">
        <x:v>RESEARCH_OR_IMPLEMENTATION_PENDING</x:v>
      </x:c>
      <x:c r="D22" s="64" t="str"/>
      <x:c r="E22" s="64" t="str"/>
      <x:c r="F22" s="64" t="str">
        <x:v>Quy tắc nguồn, ví dụ độc lập và cách xử lý khác biệt trường phái.</x:v>
      </x:c>
      <x:c r="G22" s="64" t="str"/>
      <x:c r="H22" s="64" t="str"/>
    </x:row>
    <x:row r="23" ht="46" customHeight="1">
      <x:c r="A23" s="65" t="str">
        <x:v>SPEC-ZIWEI_PLACEMENT</x:v>
      </x:c>
      <x:c r="B23" s="65" t="str">
        <x:v>Tử Vi an sao</x:v>
      </x:c>
      <x:c r="C23" s="65" t="str">
        <x:v>RESEARCH_OR_IMPLEMENTATION_PENDING</x:v>
      </x:c>
      <x:c r="D23" s="65" t="str"/>
      <x:c r="E23" s="65" t="str"/>
      <x:c r="F23" s="65" t="str">
        <x:v>Lịch âm, tháng nhuận, quy tắc an Mệnh, cục và hệ sao.</x:v>
      </x:c>
      <x:c r="G23" s="65" t="str"/>
      <x:c r="H23" s="65" t="str"/>
    </x:row>
    <x:row r="24" ht="46" customHeight="1">
      <x:c r="A24" s="64" t="str">
        <x:v>SPEC-ZIWEI_CYCLES</x:v>
      </x:c>
      <x:c r="B24" s="64" t="str">
        <x:v>Đại hạn/tiểu hạn</x:v>
      </x:c>
      <x:c r="C24" s="64" t="str">
        <x:v>RESEARCH_OR_IMPLEMENTATION_PENDING</x:v>
      </x:c>
      <x:c r="D24" s="64" t="str"/>
      <x:c r="E24" s="64" t="str"/>
      <x:c r="F24" s="64" t="str">
        <x:v>Cách tính tuổi và chính sách chu kỳ theo trường phái.</x:v>
      </x:c>
      <x:c r="G24" s="64" t="str"/>
      <x:c r="H24" s="64" t="str"/>
    </x:row>
    <x:row r="25" ht="46" customHeight="1">
      <x:c r="A25" s="65" t="str">
        <x:v>SPEC-WESTERN_ASTRO</x:v>
      </x:c>
      <x:c r="B25" s="65" t="str">
        <x:v>Thiên thể và hệ nhà</x:v>
      </x:c>
      <x:c r="C25" s="65" t="str">
        <x:v>RESEARCH_OR_IMPLEMENTATION_PENDING</x:v>
      </x:c>
      <x:c r="D25" s="65" t="str"/>
      <x:c r="E25" s="65" t="str"/>
      <x:c r="F25" s="65" t="str">
        <x:v>Giấy phép và phiên bản ephemeris; múi giờ; cấu hình hệ nhà.</x:v>
      </x:c>
      <x:c r="G25" s="65" t="str"/>
      <x:c r="H25" s="65" t="str"/>
    </x:row>
    <x:row r="26" ht="46" customHeight="1">
      <x:c r="A26" s="64" t="str">
        <x:v>SPEC-JYOTISH_DASHA</x:v>
      </x:c>
      <x:c r="B26" s="64" t="str">
        <x:v>Jyotish và daśā</x:v>
      </x:c>
      <x:c r="C26" s="64" t="str">
        <x:v>RESEARCH_OR_IMPLEMENTATION_PENDING</x:v>
      </x:c>
      <x:c r="D26" s="64" t="str"/>
      <x:c r="E26" s="64" t="str"/>
      <x:c r="F26" s="64" t="str">
        <x:v>Ayanāṃśa, nakshatra và phiên bản các quy tắc daśā.</x:v>
      </x:c>
      <x:c r="G26" s="64" t="str"/>
      <x:c r="H26" s="64" t="str"/>
    </x:row>
    <x:row r="27" ht="46" customHeight="1">
      <x:c r="A27" s="65" t="str">
        <x:v>SPEC-QIMEN_BOARD</x:v>
      </x:c>
      <x:c r="B27" s="65" t="str">
        <x:v>Kỳ Môn lập bàn</x:v>
      </x:c>
      <x:c r="C27" s="65" t="str">
        <x:v>RESEARCH_OR_IMPLEMENTATION_PENDING</x:v>
      </x:c>
      <x:c r="D27" s="65" t="str"/>
      <x:c r="E27" s="65" t="str"/>
      <x:c r="F27" s="65" t="str">
        <x:v>Quy tắc lập cục, tiết khí và nguồn tham chiếu.</x:v>
      </x:c>
      <x:c r="G27" s="65" t="str"/>
      <x:c r="H27" s="65" t="str"/>
    </x:row>
    <x:row r="28" ht="46" customHeight="1">
      <x:c r="A28" s="64" t="str">
        <x:v>SPEC-LIUYAO_RELATIONS</x:v>
      </x:c>
      <x:c r="B28" s="64" t="str">
        <x:v>Lục Hào</x:v>
      </x:c>
      <x:c r="C28" s="64" t="str">
        <x:v>RESEARCH_OR_IMPLEMENTATION_PENDING</x:v>
      </x:c>
      <x:c r="D28" s="64" t="str"/>
      <x:c r="E28" s="64" t="str"/>
      <x:c r="F28" s="64" t="str">
        <x:v>Nguồn lấy quẻ, quy tắc lục thân, Thế–Ứng và ngày tháng.</x:v>
      </x:c>
      <x:c r="G28" s="64" t="str"/>
      <x:c r="H28" s="64" t="str"/>
    </x:row>
    <x:row r="29" ht="46" customHeight="1">
      <x:c r="A29" s="65" t="str">
        <x:v>SPEC-NAME_NON_LATIN</x:v>
      </x:c>
      <x:c r="B29" s="65" t="str">
        <x:v>Tên ngoài Latin</x:v>
      </x:c>
      <x:c r="C29" s="65" t="str">
        <x:v>RESEARCH_OR_IMPLEMENTATION_PENDING</x:v>
      </x:c>
      <x:c r="D29" s="65" t="str"/>
      <x:c r="E29" s="65" t="str"/>
      <x:c r="F29" s="65" t="str">
        <x:v>Văn tự gốc, cách đọc, bảng quy đổi và người rà soát bản ngữ.</x:v>
      </x:c>
      <x:c r="G29" s="65" t="str"/>
      <x:c r="H29" s="65" t="str"/>
    </x:row>
    <x:row r="30" ht="46" customHeight="1">
      <x:c r="A30" s="64" t="str">
        <x:v>SPEC-NADI_LIBRARY</x:v>
      </x:c>
      <x:c r="B30" s="64" t="str">
        <x:v>Kho Nadi</x:v>
      </x:c>
      <x:c r="C30" s="64" t="str">
        <x:v>RESEARCH_OR_IMPLEMENTATION_PENDING</x:v>
      </x:c>
      <x:c r="D30" s="64" t="str"/>
      <x:c r="E30" s="64" t="str"/>
      <x:c r="F30" s="64" t="str">
        <x:v>Bản thảo có quyền sử dụng; không giả định đã có mọi cuộc đời.</x:v>
      </x:c>
      <x:c r="G30" s="64" t="str"/>
      <x:c r="H30" s="64" t="str"/>
    </x:row>
    <x:row r="31" ht="46" customHeight="1">
      <x:c r="A31" s="65" t="str">
        <x:v>SPEC-IMAGE_MEASURE</x:v>
      </x:c>
      <x:c r="B31" s="65" t="str">
        <x:v>Quan sát hình thái</x:v>
      </x:c>
      <x:c r="C31" s="65" t="str">
        <x:v>RESEARCH_OR_IMPLEMENTATION_PENDING</x:v>
      </x:c>
      <x:c r="D31" s="65" t="str"/>
      <x:c r="E31" s="65" t="str"/>
      <x:c r="F31" s="65" t="str">
        <x:v>Quyền xử lý ảnh, điều kiện chụp và hiệu chỉnh; không suy nhân cách từ hình thái.</x:v>
      </x:c>
      <x:c r="G31" s="65" t="str"/>
      <x:c r="H31" s="65" t="str"/>
    </x:row>
    <x:row r="32" ht="46" customHeight="1">
      <x:c r="A32" s="64" t="str">
        <x:v>SPEC-VOICE_MEASURE</x:v>
      </x:c>
      <x:c r="B32" s="64" t="str">
        <x:v>Quan sát giọng nói</x:v>
      </x:c>
      <x:c r="C32" s="64" t="str">
        <x:v>RESEARCH_OR_IMPLEMENTATION_PENDING</x:v>
      </x:c>
      <x:c r="D32" s="64" t="str"/>
      <x:c r="E32" s="64" t="str"/>
      <x:c r="F32" s="64" t="str">
        <x:v>Quyền xử lý âm thanh, microphone và hiệu chỉnh tín hiệu; không suy đạo đức.</x:v>
      </x:c>
      <x:c r="G32" s="64" t="str"/>
      <x:c r="H32" s="64" t="str"/>
    </x:row>
    <x:row r="33" ht="46" customHeight="1">
      <x:c r="A33" s="65" t="str">
        <x:v>SPEC-BEHAVIOR_INSTRUMENT</x:v>
      </x:c>
      <x:c r="B33" s="65" t="str">
        <x:v>Thang hành vi phù hợp</x:v>
      </x:c>
      <x:c r="C33" s="65" t="str">
        <x:v>RESEARCH_OR_IMPLEMENTATION_PENDING</x:v>
      </x:c>
      <x:c r="D33" s="65" t="str"/>
      <x:c r="E33" s="65" t="str"/>
      <x:c r="F33" s="65" t="str">
        <x:v>Quyền sử dụng, bản dịch, cách chấm và đánh giá phạm vi áp dụng.</x:v>
      </x:c>
      <x:c r="G33" s="65" t="str"/>
      <x:c r="H33" s="65" t="str"/>
    </x:row>
    <x:row r="34" ht="46" customHeight="1">
      <x:c r="A34" s="64" t="str">
        <x:v>SPEC-OUTCOME_PROBABILITY</x:v>
      </x:c>
      <x:c r="B34" s="64" t="str">
        <x:v>Xác suất mục tiêu cụ thể</x:v>
      </x:c>
      <x:c r="C34" s="64" t="str">
        <x:v>RESEARCH_OR_IMPLEMENTATION_PENDING</x:v>
      </x:c>
      <x:c r="D34" s="64" t="str"/>
      <x:c r="E34" s="64" t="str"/>
      <x:c r="F34" s="64" t="str">
        <x:v>Mục tiêu dự báo, thời hạn, nhóm áp dụng, hiệu chỉnh và đánh giá độc lập.</x:v>
      </x:c>
      <x:c r="G34" s="64" t="str"/>
      <x:c r="H34" s="64" t="str"/>
    </x:row>
    <x:row r="35" ht="46" customHeight="1">
      <x:c r="A35" s="65" t="str">
        <x:v>SPEC-RLS_POSTGRES</x:v>
      </x:c>
      <x:c r="B35" s="65" t="str">
        <x:v>Phân quyền cơ sở dữ liệu thực tế</x:v>
      </x:c>
      <x:c r="C35" s="65" t="str">
        <x:v>RESEARCH_OR_IMPLEMENTATION_PENDING</x:v>
      </x:c>
      <x:c r="D35" s="65" t="str"/>
      <x:c r="E35" s="65" t="str"/>
      <x:c r="F35" s="65" t="str">
        <x:v>Tài khoản runtime, chính sách và kiểm thử từ chối truy cập trên staging.</x:v>
      </x:c>
      <x:c r="G35" s="65" t="str"/>
      <x:c r="H35" s="65" t="str"/>
    </x:row>
    <x:row r="36" ht="46" customHeight="1">
      <x:c r="A36" s="64" t="str">
        <x:v>SPEC-OUTBOX_DURABLE</x:v>
      </x:c>
      <x:c r="B36" s="64" t="str">
        <x:v>Idempotency bền vững</x:v>
      </x:c>
      <x:c r="C36" s="64" t="str">
        <x:v>RESEARCH_OR_IMPLEMENTATION_PENDING</x:v>
      </x:c>
      <x:c r="D36" s="64" t="str"/>
      <x:c r="E36" s="64" t="str"/>
      <x:c r="F36" s="64" t="str">
        <x:v>Giao dịch cơ sở dữ liệu, ràng buộc duy nhất, lease và đối soát tác vụ.</x:v>
      </x:c>
      <x:c r="G36" s="64" t="str"/>
      <x:c r="H36" s="64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7ffca8d37254713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2" hidden="0" customWidth="1"/>
    <x:col min="3" max="3" width="52" hidden="0" customWidth="1"/>
    <x:col min="4" max="4" width="23" hidden="0" customWidth="1"/>
    <x:col min="5" max="5" width="36" hidden="0" customWidth="1"/>
    <x:col min="6" max="6" width="64" hidden="0" customWidth="1"/>
    <x:col min="7" max="7" width="16" hidden="0" customWidth="1"/>
  </x:cols>
  <x:sheetData>
    <x:row r="1" ht="34" customHeight="1">
      <x:c r="A1" s="56" t="str">
        <x:v>90 tình huống chạy cục bộ</x:v>
      </x:c>
      <x:c r="B1" s="56"/>
      <x:c r="C1" s="56"/>
      <x:c r="D1" s="56"/>
      <x:c r="E1" s="56"/>
      <x:c r="F1" s="56"/>
      <x:c r="G1" s="56"/>
    </x:row>
    <x:row r="2" ht="34" customHeight="1">
      <x:c r="A2" s="58" t="str">
        <x:v>Bao gồm kết quả đúng, từ chối hợp lệ, dữ liệu thiếu và ba hồ sơ xuyên suốt. Không gọi production.</x:v>
      </x:c>
      <x:c r="B2" s="58"/>
      <x:c r="C2" s="58"/>
      <x:c r="D2" s="58"/>
      <x:c r="E2" s="58"/>
      <x:c r="F2" s="58"/>
      <x:c r="G2" s="58"/>
    </x:row>
    <x:row r="4" ht="28" customHeight="1">
      <x:c r="A4" s="61" t="str">
        <x:v>Mã</x:v>
      </x:c>
      <x:c r="B4" s="61" t="str">
        <x:v>Nhóm</x:v>
      </x:c>
      <x:c r="C4" s="61" t="str">
        <x:v>Tình huống</x:v>
      </x:c>
      <x:c r="D4" s="61" t="str">
        <x:v>Công cụ</x:v>
      </x:c>
      <x:c r="E4" s="61" t="str">
        <x:v>Kết quả kỳ vọng</x:v>
      </x:c>
      <x:c r="F4" s="61" t="str">
        <x:v>Giải thích</x:v>
      </x:c>
      <x:c r="G4" s="61" t="str">
        <x:v>Dữ liệu</x:v>
      </x:c>
    </x:row>
    <x:row r="5" ht="46" customHeight="1">
      <x:c r="A5" s="65" t="str">
        <x:v>DEMO-001</x:v>
      </x:c>
      <x:c r="B5" s="65" t="str">
        <x:v>Bộ số</x:v>
      </x:c>
      <x:c r="C5" s="65" t="str">
        <x:v>Đuôi 6789 · quy tắc unmapped</x:v>
      </x:c>
      <x:c r="D5" s="65" t="str">
        <x:v>tail80</x:v>
      </x:c>
      <x:c r="E5" s="65" t="str">
        <x:v>CALCULATION_RESULT</x:v>
      </x:c>
      <x:c r="F5" s="65" t="str">
        <x:v>Phép chia số nguyên có truy vết; nhãn nguồn không phải dự báo.</x:v>
      </x:c>
      <x:c r="G5" s="65" t="str">
        <x:v>SYNTHETIC</x:v>
      </x:c>
    </x:row>
    <x:row r="6" ht="46" customHeight="1">
      <x:c r="A6" s="64" t="str">
        <x:v>DEMO-002</x:v>
      </x:c>
      <x:c r="B6" s="64" t="str">
        <x:v>Bộ số</x:v>
      </x:c>
      <x:c r="C6" s="64" t="str">
        <x:v>Đuôi 0000 · quy tắc unmapped</x:v>
      </x:c>
      <x:c r="D6" s="64" t="str">
        <x:v>tail80</x:v>
      </x:c>
      <x:c r="E6" s="64" t="str">
        <x:v>CALCULATION_RESULT</x:v>
      </x:c>
      <x:c r="F6" s="64" t="str">
        <x:v>Phép chia số nguyên có truy vết; nhãn nguồn không phải dự báo.</x:v>
      </x:c>
      <x:c r="G6" s="64" t="str">
        <x:v>SYNTHETIC</x:v>
      </x:c>
    </x:row>
    <x:row r="7" ht="46" customHeight="1">
      <x:c r="A7" s="65" t="str">
        <x:v>DEMO-003</x:v>
      </x:c>
      <x:c r="B7" s="65" t="str">
        <x:v>Bộ số</x:v>
      </x:c>
      <x:c r="C7" s="65" t="str">
        <x:v>Đuôi 0080 · quy tắc as80</x:v>
      </x:c>
      <x:c r="D7" s="65" t="str">
        <x:v>tail80</x:v>
      </x:c>
      <x:c r="E7" s="65" t="str">
        <x:v>CALCULATION_RESULT</x:v>
      </x:c>
      <x:c r="F7" s="65" t="str">
        <x:v>Phép chia số nguyên có truy vết; nhãn nguồn không phải dự báo.</x:v>
      </x:c>
      <x:c r="G7" s="65" t="str">
        <x:v>SYNTHETIC</x:v>
      </x:c>
    </x:row>
    <x:row r="8" ht="46" customHeight="1">
      <x:c r="A8" s="64" t="str">
        <x:v>DEMO-004</x:v>
      </x:c>
      <x:c r="B8" s="64" t="str">
        <x:v>Bộ số</x:v>
      </x:c>
      <x:c r="C8" s="64" t="str">
        <x:v>Đuôi 0001 · quy tắc unmapped</x:v>
      </x:c>
      <x:c r="D8" s="64" t="str">
        <x:v>tail80</x:v>
      </x:c>
      <x:c r="E8" s="64" t="str">
        <x:v>CALCULATION_RESULT</x:v>
      </x:c>
      <x:c r="F8" s="64" t="str">
        <x:v>Phép chia số nguyên có truy vết; nhãn nguồn không phải dự báo.</x:v>
      </x:c>
      <x:c r="G8" s="64" t="str">
        <x:v>SYNTHETIC</x:v>
      </x:c>
    </x:row>
    <x:row r="9" ht="46" customHeight="1">
      <x:c r="A9" s="65" t="str">
        <x:v>DEMO-005</x:v>
      </x:c>
      <x:c r="B9" s="65" t="str">
        <x:v>Bộ số</x:v>
      </x:c>
      <x:c r="C9" s="65" t="str">
        <x:v>Đuôi 9999 · quy tắc unmapped</x:v>
      </x:c>
      <x:c r="D9" s="65" t="str">
        <x:v>tail80</x:v>
      </x:c>
      <x:c r="E9" s="65" t="str">
        <x:v>CALCULATION_RESULT</x:v>
      </x:c>
      <x:c r="F9" s="65" t="str">
        <x:v>Phép chia số nguyên có truy vết; nhãn nguồn không phải dự báo.</x:v>
      </x:c>
      <x:c r="G9" s="65" t="str">
        <x:v>SYNTHETIC</x:v>
      </x:c>
    </x:row>
    <x:row r="10" ht="46" customHeight="1">
      <x:c r="A10" s="64" t="str">
        <x:v>DEMO-006</x:v>
      </x:c>
      <x:c r="B10" s="64" t="str">
        <x:v>Bộ số</x:v>
      </x:c>
      <x:c r="C10" s="64" t="str">
        <x:v>Đuôi 6231 · quy tắc unmapped</x:v>
      </x:c>
      <x:c r="D10" s="64" t="str">
        <x:v>tail80</x:v>
      </x:c>
      <x:c r="E10" s="64" t="str">
        <x:v>CALCULATION_RESULT</x:v>
      </x:c>
      <x:c r="F10" s="64" t="str">
        <x:v>Phép chia số nguyên có truy vết; nhãn nguồn không phải dự báo.</x:v>
      </x:c>
      <x:c r="G10" s="64" t="str">
        <x:v>SYNTHETIC</x:v>
      </x:c>
    </x:row>
    <x:row r="11" ht="46" customHeight="1">
      <x:c r="A11" s="65" t="str">
        <x:v>DEMO-007</x:v>
      </x:c>
      <x:c r="B11" s="65" t="str">
        <x:v>Bộ số</x:v>
      </x:c>
      <x:c r="C11" s="65" t="str">
        <x:v>Đuôi 1986 · quy tắc unmapped</x:v>
      </x:c>
      <x:c r="D11" s="65" t="str">
        <x:v>tail80</x:v>
      </x:c>
      <x:c r="E11" s="65" t="str">
        <x:v>CALCULATION_RESULT</x:v>
      </x:c>
      <x:c r="F11" s="65" t="str">
        <x:v>Phép chia số nguyên có truy vết; nhãn nguồn không phải dự báo.</x:v>
      </x:c>
      <x:c r="G11" s="65" t="str">
        <x:v>SYNTHETIC</x:v>
      </x:c>
    </x:row>
    <x:row r="12" ht="46" customHeight="1">
      <x:c r="A12" s="64" t="str">
        <x:v>DEMO-008</x:v>
      </x:c>
      <x:c r="B12" s="64" t="str">
        <x:v>Bộ số</x:v>
      </x:c>
      <x:c r="C12" s="64" t="str">
        <x:v>Đuôi 3468 · quy tắc unmapped</x:v>
      </x:c>
      <x:c r="D12" s="64" t="str">
        <x:v>tail80</x:v>
      </x:c>
      <x:c r="E12" s="64" t="str">
        <x:v>CALCULATION_RESULT</x:v>
      </x:c>
      <x:c r="F12" s="64" t="str">
        <x:v>Phép chia số nguyên có truy vết; nhãn nguồn không phải dự báo.</x:v>
      </x:c>
      <x:c r="G12" s="64" t="str">
        <x:v>SYNTHETIC</x:v>
      </x:c>
    </x:row>
    <x:row r="13" ht="46" customHeight="1">
      <x:c r="A13" s="65" t="str">
        <x:v>DEMO-009</x:v>
      </x:c>
      <x:c r="B13" s="65" t="str">
        <x:v>Bộ số</x:v>
      </x:c>
      <x:c r="C13" s="65" t="str">
        <x:v>Đầu vào ba chữ số phải bị từ chối</x:v>
      </x:c>
      <x:c r="D13" s="65" t="str">
        <x:v>tail80</x:v>
      </x:c>
      <x:c r="E13" s="65" t="str">
        <x:v>INVALID_SUFFIX</x:v>
      </x:c>
      <x:c r="F13" s="65" t="str">
        <x:v>Đối chiếu kết quả với cấu hình đã chọn; không lấp dữ liệu thiếu hoặc tự tạo nhận định về con người.</x:v>
      </x:c>
      <x:c r="G13" s="65" t="str">
        <x:v>SYNTHETIC</x:v>
      </x:c>
    </x:row>
    <x:row r="14" ht="46" customHeight="1">
      <x:c r="A14" s="64" t="str">
        <x:v>DEMO-010</x:v>
      </x:c>
      <x:c r="B14" s="64" t="str">
        <x:v>Bộ số</x:v>
      </x:c>
      <x:c r="C14" s="64" t="str">
        <x:v>Chuỗi 1234 · giữ phần chưa biết</x:v>
      </x:c>
      <x:c r="D14" s="64" t="str">
        <x:v>pairs</x:v>
      </x:c>
      <x:c r="E14" s="64" t="str">
        <x:v>CALCULATION_RESULT</x:v>
      </x:c>
      <x:c r="F14" s="64" t="str">
        <x:v>Không biến 55 thành Phục vị. Số 0/5 chưa có nhãn trong cấu hình strict.</x:v>
      </x:c>
      <x:c r="G14" s="64" t="str">
        <x:v>SYNTHETIC</x:v>
      </x:c>
    </x:row>
    <x:row r="15" ht="46" customHeight="1">
      <x:c r="A15" s="65" t="str">
        <x:v>DEMO-011</x:v>
      </x:c>
      <x:c r="B15" s="65" t="str">
        <x:v>Bộ số</x:v>
      </x:c>
      <x:c r="C15" s="65" t="str">
        <x:v>Chuỗi 1819 · giữ phần chưa biết</x:v>
      </x:c>
      <x:c r="D15" s="65" t="str">
        <x:v>pairs</x:v>
      </x:c>
      <x:c r="E15" s="65" t="str">
        <x:v>CALCULATION_RESULT</x:v>
      </x:c>
      <x:c r="F15" s="65" t="str">
        <x:v>Không biến 55 thành Phục vị. Số 0/5 chưa có nhãn trong cấu hình strict.</x:v>
      </x:c>
      <x:c r="G15" s="65" t="str">
        <x:v>SYNTHETIC</x:v>
      </x:c>
    </x:row>
    <x:row r="16" ht="46" customHeight="1">
      <x:c r="A16" s="64" t="str">
        <x:v>DEMO-012</x:v>
      </x:c>
      <x:c r="B16" s="64" t="str">
        <x:v>Bộ số</x:v>
      </x:c>
      <x:c r="C16" s="64" t="str">
        <x:v>Chuỗi 1413 · giữ phần chưa biết</x:v>
      </x:c>
      <x:c r="D16" s="64" t="str">
        <x:v>pairs</x:v>
      </x:c>
      <x:c r="E16" s="64" t="str">
        <x:v>CALCULATION_RESULT</x:v>
      </x:c>
      <x:c r="F16" s="64" t="str">
        <x:v>Không biến 55 thành Phục vị. Số 0/5 chưa có nhãn trong cấu hình strict.</x:v>
      </x:c>
      <x:c r="G16" s="64" t="str">
        <x:v>SYNTHETIC</x:v>
      </x:c>
    </x:row>
    <x:row r="17" ht="46" customHeight="1">
      <x:c r="A17" s="65" t="str">
        <x:v>DEMO-013</x:v>
      </x:c>
      <x:c r="B17" s="65" t="str">
        <x:v>Bộ số</x:v>
      </x:c>
      <x:c r="C17" s="65" t="str">
        <x:v>Chuỗi 5555 · giữ phần chưa biết</x:v>
      </x:c>
      <x:c r="D17" s="65" t="str">
        <x:v>pairs</x:v>
      </x:c>
      <x:c r="E17" s="65" t="str">
        <x:v>CALCULATION_RESULT</x:v>
      </x:c>
      <x:c r="F17" s="65" t="str">
        <x:v>Không biến 55 thành Phục vị. Số 0/5 chưa có nhãn trong cấu hình strict.</x:v>
      </x:c>
      <x:c r="G17" s="65" t="str">
        <x:v>SYNTHETIC</x:v>
      </x:c>
    </x:row>
    <x:row r="18" ht="46" customHeight="1">
      <x:c r="A18" s="64" t="str">
        <x:v>DEMO-014</x:v>
      </x:c>
      <x:c r="B18" s="64" t="str">
        <x:v>Bộ số</x:v>
      </x:c>
      <x:c r="C18" s="64" t="str">
        <x:v>Chuỗi 8553 · giữ phần chưa biết</x:v>
      </x:c>
      <x:c r="D18" s="64" t="str">
        <x:v>pairs</x:v>
      </x:c>
      <x:c r="E18" s="64" t="str">
        <x:v>CALCULATION_RESULT</x:v>
      </x:c>
      <x:c r="F18" s="64" t="str">
        <x:v>Không biến 55 thành Phục vị. Số 0/5 chưa có nhãn trong cấu hình strict.</x:v>
      </x:c>
      <x:c r="G18" s="64" t="str">
        <x:v>SYNTHETIC</x:v>
      </x:c>
    </x:row>
    <x:row r="19" ht="46" customHeight="1">
      <x:c r="A19" s="65" t="str">
        <x:v>DEMO-015</x:v>
      </x:c>
      <x:c r="B19" s="65" t="str">
        <x:v>Bộ số</x:v>
      </x:c>
      <x:c r="C19" s="65" t="str">
        <x:v>Chuỗi 0000 · giữ phần chưa biết</x:v>
      </x:c>
      <x:c r="D19" s="65" t="str">
        <x:v>pairs</x:v>
      </x:c>
      <x:c r="E19" s="65" t="str">
        <x:v>CALCULATION_RESULT</x:v>
      </x:c>
      <x:c r="F19" s="65" t="str">
        <x:v>Không biến 55 thành Phục vị. Số 0/5 chưa có nhãn trong cấu hình strict.</x:v>
      </x:c>
      <x:c r="G19" s="65" t="str">
        <x:v>SYNTHETIC</x:v>
      </x:c>
    </x:row>
    <x:row r="20" ht="46" customHeight="1">
      <x:c r="A20" s="64" t="str">
        <x:v>DEMO-016</x:v>
      </x:c>
      <x:c r="B20" s="64" t="str">
        <x:v>Bộ số</x:v>
      </x:c>
      <x:c r="C20" s="64" t="str">
        <x:v>Nối qua 5 chỉ để đối chiếu độ nhạy</x:v>
      </x:c>
      <x:c r="D20" s="64" t="str">
        <x:v>pairs</x:v>
      </x:c>
      <x:c r="E20" s="64" t="str">
        <x:v>CALCULATION_RESULT</x:v>
      </x:c>
      <x:c r="F20" s="64" t="str">
        <x:v>Đối chiếu kết quả với cấu hình đã chọn; không lấp dữ liệu thiếu hoặc tự tạo nhận định về con người.</x:v>
      </x:c>
      <x:c r="G20" s="64" t="str">
        <x:v>SYNTHETIC</x:v>
      </x:c>
    </x:row>
    <x:row r="21" ht="46" customHeight="1">
      <x:c r="A21" s="65" t="str">
        <x:v>DEMO-017</x:v>
      </x:c>
      <x:c r="B21" s="65" t="str">
        <x:v>Bộ số</x:v>
      </x:c>
      <x:c r="C21" s="65" t="str">
        <x:v>Đếm tần suất chữ số thô</x:v>
      </x:c>
      <x:c r="D21" s="65" t="str">
        <x:v>digit_matrix</x:v>
      </x:c>
      <x:c r="E21" s="65" t="str">
        <x:v>CALCULATION_RESULT</x:v>
      </x:c>
      <x:c r="F21" s="65" t="str">
        <x:v>Đối chiếu kết quả với cấu hình đã chọn; không lấp dữ liệu thiếu hoặc tự tạo nhận định về con người.</x:v>
      </x:c>
      <x:c r="G21" s="65" t="str">
        <x:v>SYNTHETIC</x:v>
      </x:c>
    </x:row>
    <x:row r="22" ht="46" customHeight="1">
      <x:c r="A22" s="64" t="str">
        <x:v>DEMO-018</x:v>
      </x:c>
      <x:c r="B22" s="64" t="str">
        <x:v>Bộ số</x:v>
      </x:c>
      <x:c r="C22" s="64" t="str">
        <x:v>Chuỗi đối xứng không phải số phận</x:v>
      </x:c>
      <x:c r="D22" s="64" t="str">
        <x:v>sequence</x:v>
      </x:c>
      <x:c r="E22" s="64" t="str">
        <x:v>CALCULATION_RESULT</x:v>
      </x:c>
      <x:c r="F22" s="64" t="str">
        <x:v>Đối chiếu kết quả với cấu hình đã chọn; không lấp dữ liệu thiếu hoặc tự tạo nhận định về con người.</x:v>
      </x:c>
      <x:c r="G22" s="64" t="str">
        <x:v>SYNTHETIC</x:v>
      </x:c>
    </x:row>
    <x:row r="23" ht="46" customHeight="1">
      <x:c r="A23" s="65" t="str">
        <x:v>DEMO-019</x:v>
      </x:c>
      <x:c r="B23" s="65" t="str">
        <x:v>Bộ số</x:v>
      </x:c>
      <x:c r="C23" s="65" t="str">
        <x:v>Ký hiệu nội địa</x:v>
      </x:c>
      <x:c r="D23" s="65" t="str">
        <x:v>phone</x:v>
      </x:c>
      <x:c r="E23" s="65" t="str">
        <x:v>CALCULATION_RESULT</x:v>
      </x:c>
      <x:c r="F23" s="65" t="str">
        <x:v>Đối chiếu kết quả với cấu hình đã chọn; không lấp dữ liệu thiếu hoặc tự tạo nhận định về con người.</x:v>
      </x:c>
      <x:c r="G23" s="65" t="str">
        <x:v>SYNTHETIC</x:v>
      </x:c>
    </x:row>
    <x:row r="24" ht="46" customHeight="1">
      <x:c r="A24" s="64" t="str">
        <x:v>DEMO-020</x:v>
      </x:c>
      <x:c r="B24" s="64" t="str">
        <x:v>Bộ số</x:v>
      </x:c>
      <x:c r="C24" s="64" t="str">
        <x:v>Ký hiệu quốc tế cùng chuỗi nội địa</x:v>
      </x:c>
      <x:c r="D24" s="64" t="str">
        <x:v>phone</x:v>
      </x:c>
      <x:c r="E24" s="64" t="str">
        <x:v>CALCULATION_RESULT</x:v>
      </x:c>
      <x:c r="F24" s="64" t="str">
        <x:v>Đối chiếu kết quả với cấu hình đã chọn; không lấp dữ liệu thiếu hoặc tự tạo nhận định về con người.</x:v>
      </x:c>
      <x:c r="G24" s="64" t="str">
        <x:v>SYNTHETIC</x:v>
      </x:c>
    </x:row>
    <x:row r="25" ht="46" customHeight="1">
      <x:c r="A25" s="65" t="str">
        <x:v>DEMO-021</x:v>
      </x:c>
      <x:c r="B25" s="65" t="str">
        <x:v>Tên</x:v>
      </x:c>
      <x:c r="C25" s="65" t="str">
        <x:v>Quy đổi có giữ nguyên tên: Đỗ An</x:v>
      </x:c>
      <x:c r="D25" s="65" t="str">
        <x:v>name</x:v>
      </x:c>
      <x:c r="E25" s="65" t="str">
        <x:v>CALCULATION_RESULT</x:v>
      </x:c>
      <x:c r="F25" s="65" t="str">
        <x:v>Tên minh họa; không khẳng định đây là hồ sơ một người có thật.</x:v>
      </x:c>
      <x:c r="G25" s="65" t="str">
        <x:v>SYNTHETIC</x:v>
      </x:c>
    </x:row>
    <x:row r="26" ht="46" customHeight="1">
      <x:c r="A26" s="64" t="str">
        <x:v>DEMO-022</x:v>
      </x:c>
      <x:c r="B26" s="64" t="str">
        <x:v>Tên</x:v>
      </x:c>
      <x:c r="C26" s="64" t="str">
        <x:v>Quy đổi có giữ nguyên tên: ĐỖ AN</x:v>
      </x:c>
      <x:c r="D26" s="64" t="str">
        <x:v>name</x:v>
      </x:c>
      <x:c r="E26" s="64" t="str">
        <x:v>CALCULATION_RESULT</x:v>
      </x:c>
      <x:c r="F26" s="64" t="str">
        <x:v>Tên minh họa; không khẳng định đây là hồ sơ một người có thật.</x:v>
      </x:c>
      <x:c r="G26" s="64" t="str">
        <x:v>SYNTHETIC</x:v>
      </x:c>
    </x:row>
    <x:row r="27" ht="46" customHeight="1">
      <x:c r="A27" s="65" t="str">
        <x:v>DEMO-023</x:v>
      </x:c>
      <x:c r="B27" s="65" t="str">
        <x:v>Tên</x:v>
      </x:c>
      <x:c r="C27" s="65" t="str">
        <x:v>Quy đổi có giữ nguyên tên: Lê Bình</x:v>
      </x:c>
      <x:c r="D27" s="65" t="str">
        <x:v>name</x:v>
      </x:c>
      <x:c r="E27" s="65" t="str">
        <x:v>CALCULATION_RESULT</x:v>
      </x:c>
      <x:c r="F27" s="65" t="str">
        <x:v>Tên minh họa; không khẳng định đây là hồ sơ một người có thật.</x:v>
      </x:c>
      <x:c r="G27" s="65" t="str">
        <x:v>SYNTHETIC</x:v>
      </x:c>
    </x:row>
    <x:row r="28" ht="46" customHeight="1">
      <x:c r="A28" s="64" t="str">
        <x:v>DEMO-024</x:v>
      </x:c>
      <x:c r="B28" s="64" t="str">
        <x:v>Tên</x:v>
      </x:c>
      <x:c r="C28" s="64" t="str">
        <x:v>Quy đổi có giữ nguyên tên: Nguyễn An</x:v>
      </x:c>
      <x:c r="D28" s="64" t="str">
        <x:v>name</x:v>
      </x:c>
      <x:c r="E28" s="64" t="str">
        <x:v>CALCULATION_RESULT</x:v>
      </x:c>
      <x:c r="F28" s="64" t="str">
        <x:v>Tên minh họa; không khẳng định đây là hồ sơ một người có thật.</x:v>
      </x:c>
      <x:c r="G28" s="64" t="str">
        <x:v>SYNTHETIC</x:v>
      </x:c>
    </x:row>
    <x:row r="29" ht="46" customHeight="1">
      <x:c r="A29" s="65" t="str">
        <x:v>DEMO-025</x:v>
      </x:c>
      <x:c r="B29" s="65" t="str">
        <x:v>Tên</x:v>
      </x:c>
      <x:c r="C29" s="65" t="str">
        <x:v>Quy đổi có giữ nguyên tên: Demo An</x:v>
      </x:c>
      <x:c r="D29" s="65" t="str">
        <x:v>name</x:v>
      </x:c>
      <x:c r="E29" s="65" t="str">
        <x:v>CALCULATION_RESULT</x:v>
      </x:c>
      <x:c r="F29" s="65" t="str">
        <x:v>Tên minh họa; không khẳng định đây là hồ sơ một người có thật.</x:v>
      </x:c>
      <x:c r="G29" s="65" t="str">
        <x:v>SYNTHETIC</x:v>
      </x:c>
    </x:row>
    <x:row r="30" ht="46" customHeight="1">
      <x:c r="A30" s="64" t="str">
        <x:v>DEMO-026</x:v>
      </x:c>
      <x:c r="B30" s="64" t="str">
        <x:v>Tên</x:v>
      </x:c>
      <x:c r="C30" s="64" t="str">
        <x:v>Y được tính như nguyên âm theo lựa chọn</x:v>
      </x:c>
      <x:c r="D30" s="64" t="str">
        <x:v>name</x:v>
      </x:c>
      <x:c r="E30" s="64" t="str">
        <x:v>CALCULATION_RESULT</x:v>
      </x:c>
      <x:c r="F30" s="64" t="str">
        <x:v>Đối chiếu kết quả với cấu hình đã chọn; không lấp dữ liệu thiếu hoặc tự tạo nhận định về con người.</x:v>
      </x:c>
      <x:c r="G30" s="64" t="str">
        <x:v>SYNTHETIC</x:v>
      </x:c>
    </x:row>
    <x:row r="31" ht="46" customHeight="1">
      <x:c r="A31" s="65" t="str">
        <x:v>DEMO-027</x:v>
      </x:c>
      <x:c r="B31" s="65" t="str">
        <x:v>Tên</x:v>
      </x:c>
      <x:c r="C31" s="65" t="str">
        <x:v>Y không tính như nguyên âm</x:v>
      </x:c>
      <x:c r="D31" s="65" t="str">
        <x:v>name</x:v>
      </x:c>
      <x:c r="E31" s="65" t="str">
        <x:v>CALCULATION_RESULT</x:v>
      </x:c>
      <x:c r="F31" s="65" t="str">
        <x:v>Đối chiếu kết quả với cấu hình đã chọn; không lấp dữ liệu thiếu hoặc tự tạo nhận định về con người.</x:v>
      </x:c>
      <x:c r="G31" s="65" t="str">
        <x:v>SYNTHETIC</x:v>
      </x:c>
    </x:row>
    <x:row r="32" ht="46" customHeight="1">
      <x:c r="A32" s="64" t="str">
        <x:v>DEMO-028</x:v>
      </x:c>
      <x:c r="B32" s="64" t="str">
        <x:v>Tên</x:v>
      </x:c>
      <x:c r="C32" s="64" t="str">
        <x:v>Không ép chữ Hán vào bảng Latin</x:v>
      </x:c>
      <x:c r="D32" s="64" t="str">
        <x:v>name</x:v>
      </x:c>
      <x:c r="E32" s="64" t="str">
        <x:v>UNSUPPORTED_SCRIPT</x:v>
      </x:c>
      <x:c r="F32" s="64" t="str">
        <x:v>Đối chiếu kết quả với cấu hình đã chọn; không lấp dữ liệu thiếu hoặc tự tạo nhận định về con người.</x:v>
      </x:c>
      <x:c r="G32" s="64" t="str">
        <x:v>SYNTHETIC</x:v>
      </x:c>
    </x:row>
    <x:row r="33" ht="46" customHeight="1">
      <x:c r="A33" s="65" t="str">
        <x:v>DEMO-029</x:v>
      </x:c>
      <x:c r="B33" s="65" t="str">
        <x:v>Tên</x:v>
      </x:c>
      <x:c r="C33" s="65" t="str">
        <x:v>Ký tự điều khiển bị từ chối</x:v>
      </x:c>
      <x:c r="D33" s="65" t="str">
        <x:v>name</x:v>
      </x:c>
      <x:c r="E33" s="65" t="str">
        <x:v>INVALID_NAME</x:v>
      </x:c>
      <x:c r="F33" s="65" t="str">
        <x:v>Đối chiếu kết quả với cấu hình đã chọn; không lấp dữ liệu thiếu hoặc tự tạo nhận định về con người.</x:v>
      </x:c>
      <x:c r="G33" s="65" t="str">
        <x:v>SYNTHETIC</x:v>
      </x:c>
    </x:row>
    <x:row r="34" ht="46" customHeight="1">
      <x:c r="A34" s="64" t="str">
        <x:v>DEMO-030</x:v>
      </x:c>
      <x:c r="B34" s="64" t="str">
        <x:v>Ngày và lịch</x:v>
      </x:c>
      <x:c r="C34" s="64" t="str">
        <x:v>Ngày nhuận hợp lệ</x:v>
      </x:c>
      <x:c r="D34" s="64" t="str">
        <x:v>birth</x:v>
      </x:c>
      <x:c r="E34" s="64" t="str">
        <x:v>CALCULATION_RESULT</x:v>
      </x:c>
      <x:c r="F34" s="64" t="str">
        <x:v>Đối chiếu kết quả với cấu hình đã chọn; không lấp dữ liệu thiếu hoặc tự tạo nhận định về con người.</x:v>
      </x:c>
      <x:c r="G34" s="64" t="str">
        <x:v>SYNTHETIC</x:v>
      </x:c>
    </x:row>
    <x:row r="35" ht="46" customHeight="1">
      <x:c r="A35" s="65" t="str">
        <x:v>DEMO-031</x:v>
      </x:c>
      <x:c r="B35" s="65" t="str">
        <x:v>Ngày và lịch</x:v>
      </x:c>
      <x:c r="C35" s="65" t="str">
        <x:v>Ngày không tồn tại</x:v>
      </x:c>
      <x:c r="D35" s="65" t="str">
        <x:v>birth</x:v>
      </x:c>
      <x:c r="E35" s="65" t="str">
        <x:v>INVALID_INTEGER</x:v>
      </x:c>
      <x:c r="F35" s="65" t="str">
        <x:v>Đối chiếu kết quả với cấu hình đã chọn; không lấp dữ liệu thiếu hoặc tự tạo nhận định về con người.</x:v>
      </x:c>
      <x:c r="G35" s="65" t="str">
        <x:v>SYNTHETIC</x:v>
      </x:c>
    </x:row>
    <x:row r="36" ht="46" customHeight="1">
      <x:c r="A36" s="64" t="str">
        <x:v>DEMO-032</x:v>
      </x:c>
      <x:c r="B36" s="64" t="str">
        <x:v>Ngày và lịch</x:v>
      </x:c>
      <x:c r="C36" s="64" t="str">
        <x:v>Không đoán định dạng ngày</x:v>
      </x:c>
      <x:c r="D36" s="64" t="str">
        <x:v>birth</x:v>
      </x:c>
      <x:c r="E36" s="64" t="str">
        <x:v>INVALID_DATE</x:v>
      </x:c>
      <x:c r="F36" s="64" t="str">
        <x:v>Đối chiếu kết quả với cấu hình đã chọn; không lấp dữ liệu thiếu hoặc tự tạo nhận định về con người.</x:v>
      </x:c>
      <x:c r="G36" s="64" t="str">
        <x:v>SYNTHETIC</x:v>
      </x:c>
    </x:row>
    <x:row r="37" ht="46" customHeight="1">
      <x:c r="A37" s="65" t="str">
        <x:v>DEMO-033</x:v>
      </x:c>
      <x:c r="B37" s="65" t="str">
        <x:v>Ngày và lịch</x:v>
      </x:c>
      <x:c r="C37" s="65" t="str">
        <x:v>Giữ số 11/22/33 khi được chọn</x:v>
      </x:c>
      <x:c r="D37" s="65" t="str">
        <x:v>birth</x:v>
      </x:c>
      <x:c r="E37" s="65" t="str">
        <x:v>CALCULATION_RESULT</x:v>
      </x:c>
      <x:c r="F37" s="65" t="str">
        <x:v>Đối chiếu kết quả với cấu hình đã chọn; không lấp dữ liệu thiếu hoặc tự tạo nhận định về con người.</x:v>
      </x:c>
      <x:c r="G37" s="65" t="str">
        <x:v>SYNTHETIC</x:v>
      </x:c>
    </x:row>
    <x:row r="38" ht="46" customHeight="1">
      <x:c r="A38" s="64" t="str">
        <x:v>DEMO-034</x:v>
      </x:c>
      <x:c r="B38" s="64" t="str">
        <x:v>Ngày và lịch</x:v>
      </x:c>
      <x:c r="C38" s="64" t="str">
        <x:v>Đối chiếu cộng theo thành phần</x:v>
      </x:c>
      <x:c r="D38" s="64" t="str">
        <x:v>birth</x:v>
      </x:c>
      <x:c r="E38" s="64" t="str">
        <x:v>CALCULATION_RESULT</x:v>
      </x:c>
      <x:c r="F38" s="64" t="str">
        <x:v>Đối chiếu kết quả với cấu hình đã chọn; không lấp dữ liệu thiếu hoặc tự tạo nhận định về con người.</x:v>
      </x:c>
      <x:c r="G38" s="64" t="str">
        <x:v>SYNTHETIC</x:v>
      </x:c>
    </x:row>
    <x:row r="39" ht="46" customHeight="1">
      <x:c r="A39" s="65" t="str">
        <x:v>DEMO-035</x:v>
      </x:c>
      <x:c r="B39" s="65" t="str">
        <x:v>Ngày và lịch</x:v>
      </x:c>
      <x:c r="C39" s="65" t="str">
        <x:v>Chu kỳ biểu tượng theo năm dương lịch</x:v>
      </x:c>
      <x:c r="D39" s="65" t="str">
        <x:v>cycle</x:v>
      </x:c>
      <x:c r="E39" s="65" t="str">
        <x:v>CALCULATION_RESULT</x:v>
      </x:c>
      <x:c r="F39" s="65" t="str">
        <x:v>Đối chiếu kết quả với cấu hình đã chọn; không lấp dữ liệu thiếu hoặc tự tạo nhận định về con người.</x:v>
      </x:c>
      <x:c r="G39" s="65" t="str">
        <x:v>SYNTHETIC</x:v>
      </x:c>
    </x:row>
    <x:row r="40" ht="46" customHeight="1">
      <x:c r="A40" s="64" t="str">
        <x:v>DEMO-036</x:v>
      </x:c>
      <x:c r="B40" s="64" t="str">
        <x:v>Ngày và lịch</x:v>
      </x:c>
      <x:c r="C40" s="64" t="str">
        <x:v>Chu kỳ theo sinh nhật trước ngày chuyển</x:v>
      </x:c>
      <x:c r="D40" s="64" t="str">
        <x:v>cycle</x:v>
      </x:c>
      <x:c r="E40" s="64" t="str">
        <x:v>CALCULATION_RESULT</x:v>
      </x:c>
      <x:c r="F40" s="64" t="str">
        <x:v>Đối chiếu kết quả với cấu hình đã chọn; không lấp dữ liệu thiếu hoặc tự tạo nhận định về con người.</x:v>
      </x:c>
      <x:c r="G40" s="64" t="str">
        <x:v>SYNTHETIC</x:v>
      </x:c>
    </x:row>
    <x:row r="41" ht="46" customHeight="1">
      <x:c r="A41" s="65" t="str">
        <x:v>DEMO-037</x:v>
      </x:c>
      <x:c r="B41" s="65" t="str">
        <x:v>Ngày và lịch</x:v>
      </x:c>
      <x:c r="C41" s="65" t="str">
        <x:v>Timeline 100 khoảng tuổi, không biến cố</x:v>
      </x:c>
      <x:c r="D41" s="65" t="str">
        <x:v>timeline</x:v>
      </x:c>
      <x:c r="E41" s="65" t="str">
        <x:v>CALCULATION_RESULT</x:v>
      </x:c>
      <x:c r="F41" s="65" t="str">
        <x:v>Đối chiếu kết quả với cấu hình đã chọn; không lấp dữ liệu thiếu hoặc tự tạo nhận định về con người.</x:v>
      </x:c>
      <x:c r="G41" s="65" t="str">
        <x:v>SYNTHETIC</x:v>
      </x:c>
    </x:row>
    <x:row r="42" ht="46" customHeight="1">
      <x:c r="A42" s="64" t="str">
        <x:v>DEMO-038</x:v>
      </x:c>
      <x:c r="B42" s="64" t="str">
        <x:v>Ngày và lịch</x:v>
      </x:c>
      <x:c r="C42" s="64" t="str">
        <x:v>Ngày nhuận chọn mốc 01/03</x:v>
      </x:c>
      <x:c r="D42" s="64" t="str">
        <x:v>timeline</x:v>
      </x:c>
      <x:c r="E42" s="64" t="str">
        <x:v>CALCULATION_RESULT</x:v>
      </x:c>
      <x:c r="F42" s="64" t="str">
        <x:v>Đối chiếu kết quả với cấu hình đã chọn; không lấp dữ liệu thiếu hoặc tự tạo nhận định về con người.</x:v>
      </x:c>
      <x:c r="G42" s="64" t="str">
        <x:v>SYNTHETIC</x:v>
      </x:c>
    </x:row>
    <x:row r="43" ht="46" customHeight="1">
      <x:c r="A43" s="65" t="str">
        <x:v>DEMO-039</x:v>
      </x:c>
      <x:c r="B43" s="65" t="str">
        <x:v>Ngày và lịch</x:v>
      </x:c>
      <x:c r="C43" s="65" t="str">
        <x:v>Hai phương án năm sinh giữ riêng</x:v>
      </x:c>
      <x:c r="D43" s="65" t="str">
        <x:v>hypotheses</x:v>
      </x:c>
      <x:c r="E43" s="65" t="str">
        <x:v>CALCULATION_RESULT</x:v>
      </x:c>
      <x:c r="F43" s="65" t="str">
        <x:v>Đối chiếu kết quả với cấu hình đã chọn; không lấp dữ liệu thiếu hoặc tự tạo nhận định về con người.</x:v>
      </x:c>
      <x:c r="G43" s="65" t="str">
        <x:v>SYNTHETIC</x:v>
      </x:c>
    </x:row>
    <x:row r="44" ht="46" customHeight="1">
      <x:c r="A44" s="64" t="str">
        <x:v>DEMO-040</x:v>
      </x:c>
      <x:c r="B44" s="64" t="str">
        <x:v>Múi giờ</x:v>
      </x:c>
      <x:c r="C44" s="64" t="str">
        <x:v>Việt Nam · thời điểm duy nhất</x:v>
      </x:c>
      <x:c r="D44" s="64" t="str">
        <x:v>time</x:v>
      </x:c>
      <x:c r="E44" s="64" t="str">
        <x:v>CALCULATION_RESULT</x:v>
      </x:c>
      <x:c r="F44" s="64" t="str">
        <x:v>Đối chiếu kết quả với cấu hình đã chọn; không lấp dữ liệu thiếu hoặc tự tạo nhận định về con người.</x:v>
      </x:c>
      <x:c r="G44" s="64" t="str">
        <x:v>SYNTHETIC</x:v>
      </x:c>
    </x:row>
    <x:row r="45" ht="46" customHeight="1">
      <x:c r="A45" s="65" t="str">
        <x:v>DEMO-041</x:v>
      </x:c>
      <x:c r="B45" s="65" t="str">
        <x:v>Múi giờ</x:v>
      </x:c>
      <x:c r="C45" s="65" t="str">
        <x:v>Berlin · giờ lặp lại cần lựa chọn</x:v>
      </x:c>
      <x:c r="D45" s="65" t="str">
        <x:v>time</x:v>
      </x:c>
      <x:c r="E45" s="65" t="str">
        <x:v>CALCULATION_RESULT</x:v>
      </x:c>
      <x:c r="F45" s="65" t="str">
        <x:v>Đối chiếu kết quả với cấu hình đã chọn; không lấp dữ liệu thiếu hoặc tự tạo nhận định về con người.</x:v>
      </x:c>
      <x:c r="G45" s="65" t="str">
        <x:v>SYNTHETIC</x:v>
      </x:c>
    </x:row>
    <x:row r="46" ht="46" customHeight="1">
      <x:c r="A46" s="64" t="str">
        <x:v>DEMO-042</x:v>
      </x:c>
      <x:c r="B46" s="64" t="str">
        <x:v>Múi giờ</x:v>
      </x:c>
      <x:c r="C46" s="64" t="str">
        <x:v>Berlin · giờ không tồn tại</x:v>
      </x:c>
      <x:c r="D46" s="64" t="str">
        <x:v>time</x:v>
      </x:c>
      <x:c r="E46" s="64" t="str">
        <x:v>CALCULATION_RESULT</x:v>
      </x:c>
      <x:c r="F46" s="64" t="str">
        <x:v>Đối chiếu kết quả với cấu hình đã chọn; không lấp dữ liệu thiếu hoặc tự tạo nhận định về con người.</x:v>
      </x:c>
      <x:c r="G46" s="64" t="str">
        <x:v>SYNTHETIC</x:v>
      </x:c>
    </x:row>
    <x:row r="47" ht="46" customHeight="1">
      <x:c r="A47" s="65" t="str">
        <x:v>DEMO-043</x:v>
      </x:c>
      <x:c r="B47" s="65" t="str">
        <x:v>Múi giờ</x:v>
      </x:c>
      <x:c r="C47" s="65" t="str">
        <x:v>New York · giờ lặp lại</x:v>
      </x:c>
      <x:c r="D47" s="65" t="str">
        <x:v>time</x:v>
      </x:c>
      <x:c r="E47" s="65" t="str">
        <x:v>CALCULATION_RESULT</x:v>
      </x:c>
      <x:c r="F47" s="65" t="str">
        <x:v>Đối chiếu kết quả với cấu hình đã chọn; không lấp dữ liệu thiếu hoặc tự tạo nhận định về con người.</x:v>
      </x:c>
      <x:c r="G47" s="65" t="str">
        <x:v>SYNTHETIC</x:v>
      </x:c>
    </x:row>
    <x:row r="48" ht="46" customHeight="1">
      <x:c r="A48" s="64" t="str">
        <x:v>DEMO-044</x:v>
      </x:c>
      <x:c r="B48" s="64" t="str">
        <x:v>Múi giờ</x:v>
      </x:c>
      <x:c r="C48" s="64" t="str">
        <x:v>Múi giờ chưa được cung cấp</x:v>
      </x:c>
      <x:c r="D48" s="64" t="str">
        <x:v>time</x:v>
      </x:c>
      <x:c r="E48" s="64" t="str">
        <x:v>TIMEZONE_REQUIRED</x:v>
      </x:c>
      <x:c r="F48" s="64" t="str">
        <x:v>Đối chiếu kết quả với cấu hình đã chọn; không lấp dữ liệu thiếu hoặc tự tạo nhận định về con người.</x:v>
      </x:c>
      <x:c r="G48" s="64" t="str">
        <x:v>SYNTHETIC</x:v>
      </x:c>
    </x:row>
    <x:row r="49" ht="46" customHeight="1">
      <x:c r="A49" s="65" t="str">
        <x:v>DEMO-045</x:v>
      </x:c>
      <x:c r="B49" s="65" t="str">
        <x:v>Quan sát</x:v>
      </x:c>
      <x:c r="C49" s="65" t="str">
        <x:v>Coverage lấy mẫu số từ registry</x:v>
      </x:c>
      <x:c r="D49" s="65" t="str">
        <x:v>coverage</x:v>
      </x:c>
      <x:c r="E49" s="65" t="str">
        <x:v>CALCULATION_RESULT</x:v>
      </x:c>
      <x:c r="F49" s="65" t="str">
        <x:v>Đối chiếu kết quả với cấu hình đã chọn; không lấp dữ liệu thiếu hoặc tự tạo nhận định về con người.</x:v>
      </x:c>
      <x:c r="G49" s="65" t="str">
        <x:v>SYNTHETIC</x:v>
      </x:c>
    </x:row>
    <x:row r="50" ht="46" customHeight="1">
      <x:c r="A50" s="64" t="str">
        <x:v>DEMO-046</x:v>
      </x:c>
      <x:c r="B50" s="64" t="str">
        <x:v>Quan sát</x:v>
      </x:c>
      <x:c r="C50" s="64" t="str">
        <x:v>Client không được đặt lại trọng số</x:v>
      </x:c>
      <x:c r="D50" s="64" t="str">
        <x:v>coverage</x:v>
      </x:c>
      <x:c r="E50" s="64" t="str">
        <x:v>CLIENT_SCORES_FORBIDDEN</x:v>
      </x:c>
      <x:c r="F50" s="64" t="str">
        <x:v>Đối chiếu kết quả với cấu hình đã chọn; không lấp dữ liệu thiếu hoặc tự tạo nhận định về con người.</x:v>
      </x:c>
      <x:c r="G50" s="64" t="str">
        <x:v>SYNTHETIC</x:v>
      </x:c>
    </x:row>
    <x:row r="51" ht="46" customHeight="1">
      <x:c r="A51" s="65" t="str">
        <x:v>DEMO-047</x:v>
      </x:c>
      <x:c r="B51" s="65" t="str">
        <x:v>Quan sát</x:v>
      </x:c>
      <x:c r="C51" s="65" t="str">
        <x:v>Tiến độ có thời hạn và quy tắc hủy</x:v>
      </x:c>
      <x:c r="D51" s="65" t="str">
        <x:v>actions</x:v>
      </x:c>
      <x:c r="E51" s="65" t="str">
        <x:v>CALCULATION_RESULT</x:v>
      </x:c>
      <x:c r="F51" s="65" t="str">
        <x:v>Đối chiếu kết quả với cấu hình đã chọn; không lấp dữ liệu thiếu hoặc tự tạo nhận định về con người.</x:v>
      </x:c>
      <x:c r="G51" s="65" t="str">
        <x:v>SYNTHETIC</x:v>
      </x:c>
    </x:row>
    <x:row r="52" ht="46" customHeight="1">
      <x:c r="A52" s="64" t="str">
        <x:v>DEMO-048</x:v>
      </x:c>
      <x:c r="B52" s="64" t="str">
        <x:v>Quan sát</x:v>
      </x:c>
      <x:c r="C52" s="64" t="str">
        <x:v>Không có việc đến hạn trả null</x:v>
      </x:c>
      <x:c r="D52" s="64" t="str">
        <x:v>actions</x:v>
      </x:c>
      <x:c r="E52" s="64" t="str">
        <x:v>CALCULATION_RESULT</x:v>
      </x:c>
      <x:c r="F52" s="64" t="str">
        <x:v>Đối chiếu kết quả với cấu hình đã chọn; không lấp dữ liệu thiếu hoặc tự tạo nhận định về con người.</x:v>
      </x:c>
      <x:c r="G52" s="64" t="str">
        <x:v>SYNTHETIC</x:v>
      </x:c>
    </x:row>
    <x:row r="53" ht="46" customHeight="1">
      <x:c r="A53" s="65" t="str">
        <x:v>DEMO-049</x:v>
      </x:c>
      <x:c r="B53" s="65" t="str">
        <x:v>Quan sát</x:v>
      </x:c>
      <x:c r="C53" s="65" t="str">
        <x:v>Dòng tiền số nguyên · không dự báo</x:v>
      </x:c>
      <x:c r="D53" s="65" t="str">
        <x:v>cashflow</x:v>
      </x:c>
      <x:c r="E53" s="65" t="str">
        <x:v>CALCULATION_RESULT</x:v>
      </x:c>
      <x:c r="F53" s="65" t="str">
        <x:v>Đối chiếu kết quả với cấu hình đã chọn; không lấp dữ liệu thiếu hoặc tự tạo nhận định về con người.</x:v>
      </x:c>
      <x:c r="G53" s="65" t="str">
        <x:v>SYNTHETIC</x:v>
      </x:c>
    </x:row>
    <x:row r="54" ht="46" customHeight="1">
      <x:c r="A54" s="64" t="str">
        <x:v>DEMO-050</x:v>
      </x:c>
      <x:c r="B54" s="64" t="str">
        <x:v>Quan sát</x:v>
      </x:c>
      <x:c r="C54" s="64" t="str">
        <x:v>Không cộng lẫn VND và USD</x:v>
      </x:c>
      <x:c r="D54" s="64" t="str">
        <x:v>cashflow</x:v>
      </x:c>
      <x:c r="E54" s="64" t="str">
        <x:v>MIXED_CURRENCY</x:v>
      </x:c>
      <x:c r="F54" s="64" t="str">
        <x:v>Đối chiếu kết quả với cấu hình đã chọn; không lấp dữ liệu thiếu hoặc tự tạo nhận định về con người.</x:v>
      </x:c>
      <x:c r="G54" s="64" t="str">
        <x:v>SYNTHETIC</x:v>
      </x:c>
    </x:row>
    <x:row r="55" ht="46" customHeight="1">
      <x:c r="A55" s="65" t="str">
        <x:v>DEMO-051</x:v>
      </x:c>
      <x:c r="B55" s="65" t="str">
        <x:v>Quan sát</x:v>
      </x:c>
      <x:c r="C55" s="65" t="str">
        <x:v>Đồng nhịp · mô tả cảm nhận không suy nhân quả</x:v>
      </x:c>
      <x:c r="D55" s="65" t="str">
        <x:v>resonance</x:v>
      </x:c>
      <x:c r="E55" s="65" t="str">
        <x:v>CALCULATION_RESULT</x:v>
      </x:c>
      <x:c r="F55" s="65" t="str">
        <x:v>Đối chiếu kết quả với cấu hình đã chọn; không lấp dữ liệu thiếu hoặc tự tạo nhận định về con người.</x:v>
      </x:c>
      <x:c r="G55" s="65" t="str">
        <x:v>SYNTHETIC</x:v>
      </x:c>
    </x:row>
    <x:row r="56" ht="46" customHeight="1">
      <x:c r="A56" s="64" t="str">
        <x:v>DEMO-052</x:v>
      </x:c>
      <x:c r="B56" s="64" t="str">
        <x:v>Quan sát</x:v>
      </x:c>
      <x:c r="C56" s="64" t="str">
        <x:v>Ma trận ưu tiên do người dùng lựa chọn</x:v>
      </x:c>
      <x:c r="D56" s="64" t="str">
        <x:v>preference</x:v>
      </x:c>
      <x:c r="E56" s="64" t="str">
        <x:v>CALCULATION_RESULT</x:v>
      </x:c>
      <x:c r="F56" s="64" t="str">
        <x:v>Đối chiếu kết quả với cấu hình đã chọn; không lấp dữ liệu thiếu hoặc tự tạo nhận định về con người.</x:v>
      </x:c>
      <x:c r="G56" s="64" t="str">
        <x:v>SYNTHETIC</x:v>
      </x:c>
    </x:row>
    <x:row r="57" ht="46" customHeight="1">
      <x:c r="A57" s="65" t="str">
        <x:v>DEMO-053</x:v>
      </x:c>
      <x:c r="B57" s="65" t="str">
        <x:v>Quan sát</x:v>
      </x:c>
      <x:c r="C57" s="65" t="str">
        <x:v>Tiêu chí thiếu không tự chuẩn hóa thành 100</x:v>
      </x:c>
      <x:c r="D57" s="65" t="str">
        <x:v>preference</x:v>
      </x:c>
      <x:c r="E57" s="65" t="str">
        <x:v>CALCULATION_RESULT</x:v>
      </x:c>
      <x:c r="F57" s="65" t="str">
        <x:v>Đối chiếu kết quả với cấu hình đã chọn; không lấp dữ liệu thiếu hoặc tự tạo nhận định về con người.</x:v>
      </x:c>
      <x:c r="G57" s="65" t="str">
        <x:v>SYNTHETIC</x:v>
      </x:c>
    </x:row>
    <x:row r="58" ht="46" customHeight="1">
      <x:c r="A58" s="64" t="str">
        <x:v>DEMO-054</x:v>
      </x:c>
      <x:c r="B58" s="64" t="str">
        <x:v>Cấu trúc biểu tượng</x:v>
      </x:c>
      <x:c r="C58" s="64" t="str">
        <x:v>Biến đổi sáu hào từ dưới lên</x:v>
      </x:c>
      <x:c r="D58" s="64" t="str">
        <x:v>hexagram</x:v>
      </x:c>
      <x:c r="E58" s="64" t="str">
        <x:v>CALCULATION_RESULT</x:v>
      </x:c>
      <x:c r="F58" s="64" t="str">
        <x:v>Đối chiếu kết quả với cấu hình đã chọn; không lấp dữ liệu thiếu hoặc tự tạo nhận định về con người.</x:v>
      </x:c>
      <x:c r="G58" s="64" t="str">
        <x:v>SYNTHETIC</x:v>
      </x:c>
    </x:row>
    <x:row r="59" ht="46" customHeight="1">
      <x:c r="A59" s="65" t="str">
        <x:v>DEMO-055</x:v>
      </x:c>
      <x:c r="B59" s="65" t="str">
        <x:v>Phạm vi nghiên cứu</x:v>
      </x:c>
      <x:c r="C59" s="65" t="str">
        <x:v>Adapter giữ chỗ có điều kiện: bazi.full</x:v>
      </x:c>
      <x:c r="D59" s="65" t="str">
        <x:v>blocked</x:v>
      </x:c>
      <x:c r="E59" s="65" t="str">
        <x:v>CALCULATION_RESULT</x:v>
      </x:c>
      <x:c r="F59" s="65" t="str">
        <x:v>Danh mục không bị xóa. Chưa có nguồn/quy tắc/quyền hoặc phạm vi hợp lệ thì không tạo lời luận.</x:v>
      </x:c>
      <x:c r="G59" s="65" t="str">
        <x:v>SYNTHETIC</x:v>
      </x:c>
    </x:row>
    <x:row r="60" ht="46" customHeight="1">
      <x:c r="A60" s="64" t="str">
        <x:v>DEMO-056</x:v>
      </x:c>
      <x:c r="B60" s="64" t="str">
        <x:v>Phạm vi nghiên cứu</x:v>
      </x:c>
      <x:c r="C60" s="64" t="str">
        <x:v>Adapter giữ chỗ có điều kiện: ziwei.full</x:v>
      </x:c>
      <x:c r="D60" s="64" t="str">
        <x:v>blocked</x:v>
      </x:c>
      <x:c r="E60" s="64" t="str">
        <x:v>CALCULATION_RESULT</x:v>
      </x:c>
      <x:c r="F60" s="64" t="str">
        <x:v>Danh mục không bị xóa. Chưa có nguồn/quy tắc/quyền hoặc phạm vi hợp lệ thì không tạo lời luận.</x:v>
      </x:c>
      <x:c r="G60" s="64" t="str">
        <x:v>SYNTHETIC</x:v>
      </x:c>
    </x:row>
    <x:row r="61" ht="46" customHeight="1">
      <x:c r="A61" s="65" t="str">
        <x:v>DEMO-057</x:v>
      </x:c>
      <x:c r="B61" s="65" t="str">
        <x:v>Phạm vi nghiên cứu</x:v>
      </x:c>
      <x:c r="C61" s="65" t="str">
        <x:v>Adapter giữ chỗ có điều kiện: nadi.record_lookup</x:v>
      </x:c>
      <x:c r="D61" s="65" t="str">
        <x:v>blocked</x:v>
      </x:c>
      <x:c r="E61" s="65" t="str">
        <x:v>CALCULATION_RESULT</x:v>
      </x:c>
      <x:c r="F61" s="65" t="str">
        <x:v>Danh mục không bị xóa. Chưa có nguồn/quy tắc/quyền hoặc phạm vi hợp lệ thì không tạo lời luận.</x:v>
      </x:c>
      <x:c r="G61" s="65" t="str">
        <x:v>SYNTHETIC</x:v>
      </x:c>
    </x:row>
    <x:row r="62" ht="46" customHeight="1">
      <x:c r="A62" s="64" t="str">
        <x:v>DEMO-058</x:v>
      </x:c>
      <x:c r="B62" s="64" t="str">
        <x:v>Phạm vi nghiên cứu</x:v>
      </x:c>
      <x:c r="C62" s="64" t="str">
        <x:v>Chặn loại suy luận vượt phạm vi: face.personality</x:v>
      </x:c>
      <x:c r="D62" s="64" t="str">
        <x:v>blocked</x:v>
      </x:c>
      <x:c r="E62" s="64" t="str">
        <x:v>CALCULATION_RESULT</x:v>
      </x:c>
      <x:c r="F62" s="64" t="str">
        <x:v>Giữ kho nghiên cứu lịch sử; không dùng để suy nhân cách hoặc nguy cơ bệnh cá nhân từ ảnh.</x:v>
      </x:c>
      <x:c r="G62" s="64" t="str">
        <x:v>SYNTHETIC</x:v>
      </x:c>
    </x:row>
    <x:row r="63" ht="46" customHeight="1">
      <x:c r="A63" s="65" t="str">
        <x:v>DEMO-059</x:v>
      </x:c>
      <x:c r="B63" s="65" t="str">
        <x:v>Phạm vi nghiên cứu</x:v>
      </x:c>
      <x:c r="C63" s="65" t="str">
        <x:v>Chặn loại suy luận vượt phạm vi: medical_risk_from_palm</x:v>
      </x:c>
      <x:c r="D63" s="65" t="str">
        <x:v>blocked</x:v>
      </x:c>
      <x:c r="E63" s="65" t="str">
        <x:v>CALCULATION_RESULT</x:v>
      </x:c>
      <x:c r="F63" s="65" t="str">
        <x:v>Giữ kho nghiên cứu lịch sử; không dùng để suy nhân cách hoặc nguy cơ bệnh cá nhân từ ảnh.</x:v>
      </x:c>
      <x:c r="G63" s="65" t="str">
        <x:v>SYNTHETIC</x:v>
      </x:c>
    </x:row>
    <x:row r="64" ht="46" customHeight="1">
      <x:c r="A64" s="64" t="str">
        <x:v>DEMO-060</x:v>
      </x:c>
      <x:c r="B64" s="64" t="str">
        <x:v>Quyền và vận hành</x:v>
      </x:c>
      <x:c r="C64" s="64" t="str">
        <x:v>Quyền đúng phạm vi</x:v>
      </x:c>
      <x:c r="D64" s="64" t="str">
        <x:v>authorization</x:v>
      </x:c>
      <x:c r="E64" s="64" t="str">
        <x:v>CALCULATION_RESULT</x:v>
      </x:c>
      <x:c r="F64" s="64" t="str">
        <x:v>Đối chiếu kết quả với cấu hình đã chọn; không lấp dữ liệu thiếu hoặc tự tạo nhận định về con người.</x:v>
      </x:c>
      <x:c r="G64" s="64" t="str">
        <x:v>SYNTHETIC</x:v>
      </x:c>
    </x:row>
    <x:row r="65" ht="46" customHeight="1">
      <x:c r="A65" s="65" t="str">
        <x:v>DEMO-061</x:v>
      </x:c>
      <x:c r="B65" s="65" t="str">
        <x:v>Quyền và vận hành</x:v>
      </x:c>
      <x:c r="C65" s="65" t="str">
        <x:v>Khác chủ thể bị chặn</x:v>
      </x:c>
      <x:c r="D65" s="65" t="str">
        <x:v>authorization</x:v>
      </x:c>
      <x:c r="E65" s="65" t="str">
        <x:v>CALCULATION_RESULT</x:v>
      </x:c>
      <x:c r="F65" s="65" t="str">
        <x:v>Đối chiếu kết quả với cấu hình đã chọn; không lấp dữ liệu thiếu hoặc tự tạo nhận định về con người.</x:v>
      </x:c>
      <x:c r="G65" s="65" t="str">
        <x:v>SYNTHETIC</x:v>
      </x:c>
    </x:row>
    <x:row r="66" ht="46" customHeight="1">
      <x:c r="A66" s="64" t="str">
        <x:v>DEMO-062</x:v>
      </x:c>
      <x:c r="B66" s="64" t="str">
        <x:v>Quyền và vận hành</x:v>
      </x:c>
      <x:c r="C66" s="64" t="str">
        <x:v>Quyền đã thu hồi bị chặn</x:v>
      </x:c>
      <x:c r="D66" s="64" t="str">
        <x:v>authorization</x:v>
      </x:c>
      <x:c r="E66" s="64" t="str">
        <x:v>CALCULATION_RESULT</x:v>
      </x:c>
      <x:c r="F66" s="64" t="str">
        <x:v>Đối chiếu kết quả với cấu hình đã chọn; không lấp dữ liệu thiếu hoặc tự tạo nhận định về con người.</x:v>
      </x:c>
      <x:c r="G66" s="64" t="str">
        <x:v>SYNTHETIC</x:v>
      </x:c>
    </x:row>
    <x:row r="67" ht="46" customHeight="1">
      <x:c r="A67" s="65" t="str">
        <x:v>DEMO-063</x:v>
      </x:c>
      <x:c r="B67" s="65" t="str">
        <x:v>Quyền và vận hành</x:v>
      </x:c>
      <x:c r="C67" s="65" t="str">
        <x:v>Khác mục đích bị chặn</x:v>
      </x:c>
      <x:c r="D67" s="65" t="str">
        <x:v>authorization</x:v>
      </x:c>
      <x:c r="E67" s="65" t="str">
        <x:v>CALCULATION_RESULT</x:v>
      </x:c>
      <x:c r="F67" s="65" t="str">
        <x:v>Đối chiếu kết quả với cấu hình đã chọn; không lấp dữ liệu thiếu hoặc tự tạo nhận định về con người.</x:v>
      </x:c>
      <x:c r="G67" s="65" t="str">
        <x:v>SYNTHETIC</x:v>
      </x:c>
    </x:row>
    <x:row r="68" ht="46" customHeight="1">
      <x:c r="A68" s="64" t="str">
        <x:v>DEMO-064</x:v>
      </x:c>
      <x:c r="B68" s="64" t="str">
        <x:v>Quyền và vận hành</x:v>
      </x:c>
      <x:c r="C68" s="64" t="str">
        <x:v>Revision cũ bị chặn</x:v>
      </x:c>
      <x:c r="D68" s="64" t="str">
        <x:v>authorization</x:v>
      </x:c>
      <x:c r="E68" s="64" t="str">
        <x:v>CALCULATION_RESULT</x:v>
      </x:c>
      <x:c r="F68" s="64" t="str">
        <x:v>Đối chiếu kết quả với cấu hình đã chọn; không lấp dữ liệu thiếu hoặc tự tạo nhận định về con người.</x:v>
      </x:c>
      <x:c r="G68" s="64" t="str">
        <x:v>SYNTHETIC</x:v>
      </x:c>
    </x:row>
    <x:row r="69" ht="46" customHeight="1">
      <x:c r="A69" s="65" t="str">
        <x:v>DEMO-065</x:v>
      </x:c>
      <x:c r="B69" s="65" t="str">
        <x:v>Quyền và vận hành</x:v>
      </x:c>
      <x:c r="C69" s="65" t="str">
        <x:v>Người chưa đăng nhập bị chặn</x:v>
      </x:c>
      <x:c r="D69" s="65" t="str">
        <x:v>authorization</x:v>
      </x:c>
      <x:c r="E69" s="65" t="str">
        <x:v>CALCULATION_RESULT</x:v>
      </x:c>
      <x:c r="F69" s="65" t="str">
        <x:v>Đối chiếu kết quả với cấu hình đã chọn; không lấp dữ liệu thiếu hoặc tự tạo nhận định về con người.</x:v>
      </x:c>
      <x:c r="G69" s="65" t="str">
        <x:v>SYNTHETIC</x:v>
      </x:c>
    </x:row>
    <x:row r="70" ht="46" customHeight="1">
      <x:c r="A70" s="64" t="str">
        <x:v>DEMO-066</x:v>
      </x:c>
      <x:c r="B70" s="64" t="str">
        <x:v>Quyền và vận hành</x:v>
      </x:c>
      <x:c r="C70" s="64" t="str">
        <x:v>Biểu tượng không được có xác suất</x:v>
      </x:c>
      <x:c r="D70" s="64" t="str">
        <x:v>claim</x:v>
      </x:c>
      <x:c r="E70" s="64" t="str">
        <x:v>PROBABILITY_NOT_ALLOWED</x:v>
      </x:c>
      <x:c r="F70" s="64" t="str">
        <x:v>Đối chiếu kết quả với cấu hình đã chọn; không lấp dữ liệu thiếu hoặc tự tạo nhận định về con người.</x:v>
      </x:c>
      <x:c r="G70" s="64" t="str">
        <x:v>SYNTHETIC</x:v>
      </x:c>
    </x:row>
    <x:row r="71" ht="46" customHeight="1">
      <x:c r="A71" s="65" t="str">
        <x:v>DEMO-067</x:v>
      </x:c>
      <x:c r="B71" s="65" t="str">
        <x:v>Quyền và vận hành</x:v>
      </x:c>
      <x:c r="C71" s="65" t="str">
        <x:v>Model ID giả không mở quyền dự báo</x:v>
      </x:c>
      <x:c r="D71" s="65" t="str">
        <x:v>claim</x:v>
      </x:c>
      <x:c r="E71" s="65" t="str">
        <x:v>MODEL_NOT_APPROVED</x:v>
      </x:c>
      <x:c r="F71" s="65" t="str">
        <x:v>Đối chiếu kết quả với cấu hình đã chọn; không lấp dữ liệu thiếu hoặc tự tạo nhận định về con người.</x:v>
      </x:c>
      <x:c r="G71" s="65" t="str">
        <x:v>SYNTHETIC</x:v>
      </x:c>
    </x:row>
    <x:row r="72" ht="46" customHeight="1">
      <x:c r="A72" s="64" t="str">
        <x:v>DEMO-068</x:v>
      </x:c>
      <x:c r="B72" s="64" t="str">
        <x:v>Quyền và vận hành</x:v>
      </x:c>
      <x:c r="C72" s="64" t="str">
        <x:v>Cập nhật đúng phiên bản</x:v>
      </x:c>
      <x:c r="D72" s="64" t="str">
        <x:v>optimistic</x:v>
      </x:c>
      <x:c r="E72" s="64" t="str">
        <x:v>CALCULATION_RESULT</x:v>
      </x:c>
      <x:c r="F72" s="64" t="str">
        <x:v>Đối chiếu kết quả với cấu hình đã chọn; không lấp dữ liệu thiếu hoặc tự tạo nhận định về con người.</x:v>
      </x:c>
      <x:c r="G72" s="64" t="str">
        <x:v>SYNTHETIC</x:v>
      </x:c>
    </x:row>
    <x:row r="73" ht="46" customHeight="1">
      <x:c r="A73" s="65" t="str">
        <x:v>DEMO-069</x:v>
      </x:c>
      <x:c r="B73" s="65" t="str">
        <x:v>Quyền và vận hành</x:v>
      </x:c>
      <x:c r="C73" s="65" t="str">
        <x:v>Cập nhật từ phiên bản cũ bị chặn</x:v>
      </x:c>
      <x:c r="D73" s="65" t="str">
        <x:v>optimistic</x:v>
      </x:c>
      <x:c r="E73" s="65" t="str">
        <x:v>VERSION_CONFLICT</x:v>
      </x:c>
      <x:c r="F73" s="65" t="str">
        <x:v>Đối chiếu kết quả với cấu hình đã chọn; không lấp dữ liệu thiếu hoặc tự tạo nhận định về con người.</x:v>
      </x:c>
      <x:c r="G73" s="65" t="str">
        <x:v>SYNTHETIC</x:v>
      </x:c>
    </x:row>
    <x:row r="74" ht="46" customHeight="1">
      <x:c r="A74" s="64" t="str">
        <x:v>DEMO-070</x:v>
      </x:c>
      <x:c r="B74" s="64" t="str">
        <x:v>Quyền và vận hành</x:v>
      </x:c>
      <x:c r="C74" s="64" t="str">
        <x:v>Thanh toán có trạng thái riêng</x:v>
      </x:c>
      <x:c r="D74" s="64" t="str">
        <x:v>transition</x:v>
      </x:c>
      <x:c r="E74" s="64" t="str">
        <x:v>CALCULATION_RESULT</x:v>
      </x:c>
      <x:c r="F74" s="64" t="str">
        <x:v>Đối chiếu kết quả với cấu hình đã chọn; không lấp dữ liệu thiếu hoặc tự tạo nhận định về con người.</x:v>
      </x:c>
      <x:c r="G74" s="64" t="str">
        <x:v>SYNTHETIC</x:v>
      </x:c>
    </x:row>
    <x:row r="75" ht="46" customHeight="1">
      <x:c r="A75" s="65" t="str">
        <x:v>DEMO-071</x:v>
      </x:c>
      <x:c r="B75" s="65" t="str">
        <x:v>Quyền và vận hành</x:v>
      </x:c>
      <x:c r="C75" s="65" t="str">
        <x:v>Không đi từ nháp thẳng tới hoàn tất</x:v>
      </x:c>
      <x:c r="D75" s="65" t="str">
        <x:v>transition</x:v>
      </x:c>
      <x:c r="E75" s="65" t="str">
        <x:v>INVALID_STATE_TRANSITION</x:v>
      </x:c>
      <x:c r="F75" s="65" t="str">
        <x:v>Đối chiếu kết quả với cấu hình đã chọn; không lấp dữ liệu thiếu hoặc tự tạo nhận định về con người.</x:v>
      </x:c>
      <x:c r="G75" s="65" t="str">
        <x:v>SYNTHETIC</x:v>
      </x:c>
    </x:row>
    <x:row r="76" ht="46" customHeight="1">
      <x:c r="A76" s="64" t="str">
        <x:v>DEMO-072</x:v>
      </x:c>
      <x:c r="B76" s="64" t="str">
        <x:v>Quyền và vận hành</x:v>
      </x:c>
      <x:c r="C76" s="64" t="str">
        <x:v>Yêu cầu xóa chuyển sang hạn chế truy cập</x:v>
      </x:c>
      <x:c r="D76" s="64" t="str">
        <x:v>transition</x:v>
      </x:c>
      <x:c r="E76" s="64" t="str">
        <x:v>CALCULATION_RESULT</x:v>
      </x:c>
      <x:c r="F76" s="64" t="str">
        <x:v>Đối chiếu kết quả với cấu hình đã chọn; không lấp dữ liệu thiếu hoặc tự tạo nhận định về con người.</x:v>
      </x:c>
      <x:c r="G76" s="64" t="str">
        <x:v>SYNTHETIC</x:v>
      </x:c>
    </x:row>
    <x:row r="77" ht="46" customHeight="1">
      <x:c r="A77" s="65" t="str">
        <x:v>DEMO-073</x:v>
      </x:c>
      <x:c r="B77" s="65" t="str">
        <x:v>Báo cáo</x:v>
      </x:c>
      <x:c r="C77" s="65" t="str">
        <x:v>Level 1 · bốn lớp và phần còn thiếu</x:v>
      </x:c>
      <x:c r="D77" s="65" t="str">
        <x:v>report</x:v>
      </x:c>
      <x:c r="E77" s="65" t="str">
        <x:v>CALCULATION_RESULT</x:v>
      </x:c>
      <x:c r="F77" s="65" t="str">
        <x:v>Đối chiếu kết quả với cấu hình đã chọn; không lấp dữ liệu thiếu hoặc tự tạo nhận định về con người.</x:v>
      </x:c>
      <x:c r="G77" s="65" t="str">
        <x:v>SYNTHETIC</x:v>
      </x:c>
    </x:row>
    <x:row r="78" ht="46" customHeight="1">
      <x:c r="A78" s="64" t="str">
        <x:v>DEMO-074</x:v>
      </x:c>
      <x:c r="B78" s="64" t="str">
        <x:v>Báo cáo</x:v>
      </x:c>
      <x:c r="C78" s="64" t="str">
        <x:v>Level 2 · bốn lớp và phần còn thiếu</x:v>
      </x:c>
      <x:c r="D78" s="64" t="str">
        <x:v>report</x:v>
      </x:c>
      <x:c r="E78" s="64" t="str">
        <x:v>CALCULATION_RESULT</x:v>
      </x:c>
      <x:c r="F78" s="64" t="str">
        <x:v>Đối chiếu kết quả với cấu hình đã chọn; không lấp dữ liệu thiếu hoặc tự tạo nhận định về con người.</x:v>
      </x:c>
      <x:c r="G78" s="64" t="str">
        <x:v>SYNTHETIC</x:v>
      </x:c>
    </x:row>
    <x:row r="79" ht="46" customHeight="1">
      <x:c r="A79" s="65" t="str">
        <x:v>DEMO-075</x:v>
      </x:c>
      <x:c r="B79" s="65" t="str">
        <x:v>Báo cáo</x:v>
      </x:c>
      <x:c r="C79" s="65" t="str">
        <x:v>Level 3 · bốn lớp và phần còn thiếu</x:v>
      </x:c>
      <x:c r="D79" s="65" t="str">
        <x:v>report</x:v>
      </x:c>
      <x:c r="E79" s="65" t="str">
        <x:v>CALCULATION_RESULT</x:v>
      </x:c>
      <x:c r="F79" s="65" t="str">
        <x:v>Đối chiếu kết quả với cấu hình đã chọn; không lấp dữ liệu thiếu hoặc tự tạo nhận định về con người.</x:v>
      </x:c>
      <x:c r="G79" s="65" t="str">
        <x:v>SYNTHETIC</x:v>
      </x:c>
    </x:row>
    <x:row r="80" ht="46" customHeight="1">
      <x:c r="A80" s="64" t="str">
        <x:v>DEMO-076</x:v>
      </x:c>
      <x:c r="B80" s="64" t="str">
        <x:v>Báo cáo</x:v>
      </x:c>
      <x:c r="C80" s="64" t="str">
        <x:v>Level 4 · bốn lớp và phần còn thiếu</x:v>
      </x:c>
      <x:c r="D80" s="64" t="str">
        <x:v>report</x:v>
      </x:c>
      <x:c r="E80" s="64" t="str">
        <x:v>CALCULATION_RESULT</x:v>
      </x:c>
      <x:c r="F80" s="64" t="str">
        <x:v>Đối chiếu kết quả với cấu hình đã chọn; không lấp dữ liệu thiếu hoặc tự tạo nhận định về con người.</x:v>
      </x:c>
      <x:c r="G80" s="64" t="str">
        <x:v>SYNTHETIC</x:v>
      </x:c>
    </x:row>
    <x:row r="81" ht="46" customHeight="1">
      <x:c r="A81" s="65" t="str">
        <x:v>DEMO-077</x:v>
      </x:c>
      <x:c r="B81" s="65" t="str">
        <x:v>Báo cáo</x:v>
      </x:c>
      <x:c r="C81" s="65" t="str">
        <x:v>Level 5 · bốn lớp và phần còn thiếu</x:v>
      </x:c>
      <x:c r="D81" s="65" t="str">
        <x:v>report</x:v>
      </x:c>
      <x:c r="E81" s="65" t="str">
        <x:v>CALCULATION_RESULT</x:v>
      </x:c>
      <x:c r="F81" s="65" t="str">
        <x:v>Đối chiếu kết quả với cấu hình đã chọn; không lấp dữ liệu thiếu hoặc tự tạo nhận định về con người.</x:v>
      </x:c>
      <x:c r="G81" s="65" t="str">
        <x:v>SYNTHETIC</x:v>
      </x:c>
    </x:row>
    <x:row r="82" ht="46" customHeight="1">
      <x:c r="A82" s="64" t="str">
        <x:v>DEMO-078</x:v>
      </x:c>
      <x:c r="B82" s="64" t="str">
        <x:v>Báo cáo</x:v>
      </x:c>
      <x:c r="C82" s="64" t="str">
        <x:v>Level 6 · bốn lớp và phần còn thiếu</x:v>
      </x:c>
      <x:c r="D82" s="64" t="str">
        <x:v>report</x:v>
      </x:c>
      <x:c r="E82" s="64" t="str">
        <x:v>CALCULATION_RESULT</x:v>
      </x:c>
      <x:c r="F82" s="64" t="str">
        <x:v>Đối chiếu kết quả với cấu hình đã chọn; không lấp dữ liệu thiếu hoặc tự tạo nhận định về con người.</x:v>
      </x:c>
      <x:c r="G82" s="64" t="str">
        <x:v>SYNTHETIC</x:v>
      </x:c>
    </x:row>
    <x:row r="83" ht="46" customHeight="1">
      <x:c r="A83" s="65" t="str">
        <x:v>DEMO-079</x:v>
      </x:c>
      <x:c r="B83" s="65" t="str">
        <x:v>Báo cáo</x:v>
      </x:c>
      <x:c r="C83" s="65" t="str">
        <x:v>Level 7 · bốn lớp và phần còn thiếu</x:v>
      </x:c>
      <x:c r="D83" s="65" t="str">
        <x:v>report</x:v>
      </x:c>
      <x:c r="E83" s="65" t="str">
        <x:v>CALCULATION_RESULT</x:v>
      </x:c>
      <x:c r="F83" s="65" t="str">
        <x:v>Đối chiếu kết quả với cấu hình đã chọn; không lấp dữ liệu thiếu hoặc tự tạo nhận định về con người.</x:v>
      </x:c>
      <x:c r="G83" s="65" t="str">
        <x:v>SYNTHETIC</x:v>
      </x:c>
    </x:row>
    <x:row r="84" ht="46" customHeight="1">
      <x:c r="A84" s="64" t="str">
        <x:v>DEMO-080</x:v>
      </x:c>
      <x:c r="B84" s="64" t="str">
        <x:v>Báo cáo</x:v>
      </x:c>
      <x:c r="C84" s="64" t="str">
        <x:v>Level 8 · bốn lớp và phần còn thiếu</x:v>
      </x:c>
      <x:c r="D84" s="64" t="str">
        <x:v>report</x:v>
      </x:c>
      <x:c r="E84" s="64" t="str">
        <x:v>CALCULATION_RESULT</x:v>
      </x:c>
      <x:c r="F84" s="64" t="str">
        <x:v>Đối chiếu kết quả với cấu hình đã chọn; không lấp dữ liệu thiếu hoặc tự tạo nhận định về con người.</x:v>
      </x:c>
      <x:c r="G84" s="64" t="str">
        <x:v>SYNTHETIC</x:v>
      </x:c>
    </x:row>
    <x:row r="85" ht="46" customHeight="1">
      <x:c r="A85" s="65" t="str">
        <x:v>DEMO-081</x:v>
      </x:c>
      <x:c r="B85" s="65" t="str">
        <x:v>Báo cáo</x:v>
      </x:c>
      <x:c r="C85" s="65" t="str">
        <x:v>Level 9 · bốn lớp và phần còn thiếu</x:v>
      </x:c>
      <x:c r="D85" s="65" t="str">
        <x:v>report</x:v>
      </x:c>
      <x:c r="E85" s="65" t="str">
        <x:v>CALCULATION_RESULT</x:v>
      </x:c>
      <x:c r="F85" s="65" t="str">
        <x:v>Đối chiếu kết quả với cấu hình đã chọn; không lấp dữ liệu thiếu hoặc tự tạo nhận định về con người.</x:v>
      </x:c>
      <x:c r="G85" s="65" t="str">
        <x:v>SYNTHETIC</x:v>
      </x:c>
    </x:row>
    <x:row r="86" ht="46" customHeight="1">
      <x:c r="A86" s="64" t="str">
        <x:v>DEMO-082</x:v>
      </x:c>
      <x:c r="B86" s="64" t="str">
        <x:v>Luồng hồ sơ hoàn chỉnh</x:v>
      </x:c>
      <x:c r="C86" s="64" t="str">
        <x:v>Hồ sơ xuyên suốt: đủ dữ liệu nền</x:v>
      </x:c>
      <x:c r="D86" s="64" t="str">
        <x:v>profile_pipeline</x:v>
      </x:c>
      <x:c r="E86" s="64" t="str">
        <x:v>CALCULATION_RESULT</x:v>
      </x:c>
      <x:c r="F86" s="64" t="str">
        <x:v>Một luồng thực chạy qua các phép tính, phân biệt dữ liệu thiếu, dựng bốn lớp nội dung; không dùng AI hay dữ liệu cá nhân thật.</x:v>
      </x:c>
      <x:c r="G86" s="64" t="str">
        <x:v>SYNTHETIC</x:v>
      </x:c>
    </x:row>
    <x:row r="87" ht="46" customHeight="1">
      <x:c r="A87" s="65" t="str">
        <x:v>DEMO-083</x:v>
      </x:c>
      <x:c r="B87" s="65" t="str">
        <x:v>Luồng hồ sơ hoàn chỉnh</x:v>
      </x:c>
      <x:c r="C87" s="65" t="str">
        <x:v>Hồ sơ thiếu dữ liệu: không điền giờ sinh giả</x:v>
      </x:c>
      <x:c r="D87" s="65" t="str">
        <x:v>profile_pipeline</x:v>
      </x:c>
      <x:c r="E87" s="65" t="str">
        <x:v>CALCULATION_RESULT</x:v>
      </x:c>
      <x:c r="F87" s="65" t="str">
        <x:v>Một luồng thực chạy qua các phép tính, phân biệt dữ liệu thiếu, dựng bốn lớp nội dung; không dùng AI hay dữ liệu cá nhân thật.</x:v>
      </x:c>
      <x:c r="G87" s="65" t="str">
        <x:v>SYNTHETIC</x:v>
      </x:c>
    </x:row>
    <x:row r="88" ht="46" customHeight="1">
      <x:c r="A88" s="64" t="str">
        <x:v>DEMO-084</x:v>
      </x:c>
      <x:c r="B88" s="64" t="str">
        <x:v>Luồng hồ sơ hoàn chỉnh</x:v>
      </x:c>
      <x:c r="C88" s="64" t="str">
        <x:v>Hồ sơ có hai ngày sinh: cần lựa chọn</x:v>
      </x:c>
      <x:c r="D88" s="64" t="str">
        <x:v>profile_pipeline</x:v>
      </x:c>
      <x:c r="E88" s="64" t="str">
        <x:v>CALCULATION_RESULT</x:v>
      </x:c>
      <x:c r="F88" s="64" t="str">
        <x:v>Một luồng thực chạy qua các phép tính, phân biệt dữ liệu thiếu, dựng bốn lớp nội dung; không dùng AI hay dữ liệu cá nhân thật.</x:v>
      </x:c>
      <x:c r="G88" s="64" t="str">
        <x:v>SYNTHETIC</x:v>
      </x:c>
    </x:row>
    <x:row r="89" ht="46" customHeight="1">
      <x:c r="A89" s="65" t="str">
        <x:v>DEMO-085</x:v>
      </x:c>
      <x:c r="B89" s="65" t="str">
        <x:v>Điều phối và tính gia tăng</x:v>
      </x:c>
      <x:c r="C89" s="65" t="str">
        <x:v>DAG: chia các đợt tính độc lập</x:v>
      </x:c>
      <x:c r="D89" s="65" t="str">
        <x:v>dag</x:v>
      </x:c>
      <x:c r="E89" s="65" t="str">
        <x:v>CALCULATION_RESULT</x:v>
      </x:c>
      <x:c r="F89" s="65" t="str">
        <x:v>Kiểm tra phụ thuộc và tái sử dụng kết quả; không chạy cloud worker hoặc xử lý dữ liệu thật.</x:v>
      </x:c>
      <x:c r="G89" s="65" t="str">
        <x:v>SYNTHETIC</x:v>
      </x:c>
    </x:row>
    <x:row r="90" ht="46" customHeight="1">
      <x:c r="A90" s="64" t="str">
        <x:v>DEMO-086</x:v>
      </x:c>
      <x:c r="B90" s="64" t="str">
        <x:v>Điều phối và tính gia tăng</x:v>
      </x:c>
      <x:c r="C90" s="64" t="str">
        <x:v>DAG: chặn chu trình</x:v>
      </x:c>
      <x:c r="D90" s="64" t="str">
        <x:v>dag</x:v>
      </x:c>
      <x:c r="E90" s="64" t="str">
        <x:v>DAG_CYCLE</x:v>
      </x:c>
      <x:c r="F90" s="64" t="str">
        <x:v>Kiểm tra phụ thuộc và tái sử dụng kết quả; không chạy cloud worker hoặc xử lý dữ liệu thật.</x:v>
      </x:c>
      <x:c r="G90" s="64" t="str">
        <x:v>SYNTHETIC</x:v>
      </x:c>
    </x:row>
    <x:row r="91" ht="46" customHeight="1">
      <x:c r="A91" s="65" t="str">
        <x:v>DEMO-087</x:v>
      </x:c>
      <x:c r="B91" s="65" t="str">
        <x:v>Điều phối và tính gia tăng</x:v>
      </x:c>
      <x:c r="C91" s="65" t="str">
        <x:v>DAG: thiếu phụ thuộc không tự bỏ qua</x:v>
      </x:c>
      <x:c r="D91" s="65" t="str">
        <x:v>dag</x:v>
      </x:c>
      <x:c r="E91" s="65" t="str">
        <x:v>MISSING_DEPENDENCY</x:v>
      </x:c>
      <x:c r="F91" s="65" t="str">
        <x:v>Kiểm tra phụ thuộc và tái sử dụng kết quả; không chạy cloud worker hoặc xử lý dữ liệu thật.</x:v>
      </x:c>
      <x:c r="G91" s="65" t="str">
        <x:v>SYNTHETIC</x:v>
      </x:c>
    </x:row>
    <x:row r="92" ht="46" customHeight="1">
      <x:c r="A92" s="64" t="str">
        <x:v>DEMO-088</x:v>
      </x:c>
      <x:c r="B92" s="64" t="str">
        <x:v>Điều phối và tính gia tăng</x:v>
      </x:c>
      <x:c r="C92" s="64" t="str">
        <x:v>Impact: đổi ngày chỉ chạy các nút phụ thuộc</x:v>
      </x:c>
      <x:c r="D92" s="64" t="str">
        <x:v>impact</x:v>
      </x:c>
      <x:c r="E92" s="64" t="str">
        <x:v>CALCULATION_RESULT</x:v>
      </x:c>
      <x:c r="F92" s="64" t="str">
        <x:v>Kiểm tra phụ thuộc và tái sử dụng kết quả; không chạy cloud worker hoặc xử lý dữ liệu thật.</x:v>
      </x:c>
      <x:c r="G92" s="64" t="str">
        <x:v>SYNTHETIC</x:v>
      </x:c>
    </x:row>
    <x:row r="93" ht="46" customHeight="1">
      <x:c r="A93" s="65" t="str">
        <x:v>DEMO-089</x:v>
      </x:c>
      <x:c r="B93" s="65" t="str">
        <x:v>Điều phối và tính gia tăng</x:v>
      </x:c>
      <x:c r="C93" s="65" t="str">
        <x:v>Cache: khóa theo tenant/chủ thể/mục đích</x:v>
      </x:c>
      <x:c r="D93" s="65" t="str">
        <x:v>cache_key</x:v>
      </x:c>
      <x:c r="E93" s="65" t="str">
        <x:v>CALCULATION_RESULT</x:v>
      </x:c>
      <x:c r="F93" s="65" t="str">
        <x:v>Kiểm tra phụ thuộc và tái sử dụng kết quả; không chạy cloud worker hoặc xử lý dữ liệu thật.</x:v>
      </x:c>
      <x:c r="G93" s="65" t="str">
        <x:v>SYNTHETIC</x:v>
      </x:c>
    </x:row>
    <x:row r="94" ht="46" customHeight="1">
      <x:c r="A94" s="64" t="str">
        <x:v>DEMO-090</x:v>
      </x:c>
      <x:c r="B94" s="64" t="str">
        <x:v>Điều phối và tính gia tăng</x:v>
      </x:c>
      <x:c r="C94" s="64" t="str">
        <x:v>Cache: thiếu chủ thể phải từ chối</x:v>
      </x:c>
      <x:c r="D94" s="64" t="str">
        <x:v>cache_key</x:v>
      </x:c>
      <x:c r="E94" s="64" t="str">
        <x:v>INVALID_CACHE_CONTEXT</x:v>
      </x:c>
      <x:c r="F94" s="64" t="str">
        <x:v>Kiểm tra phụ thuộc và tái sử dụng kết quả; không chạy cloud worker hoặc xử lý dữ liệu thật.</x:v>
      </x:c>
      <x:c r="G94" s="64" t="str">
        <x:v>SYNTHETIC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db94fdc7e524238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95" hidden="0" customWidth="1"/>
    <x:col min="3" max="3" width="48" hidden="0" customWidth="1"/>
  </x:cols>
  <x:sheetData>
    <x:row r="1" ht="34" customHeight="1">
      <x:c r="A1" s="56" t="str">
        <x:v>Các quyết định Q21–Q30</x:v>
      </x:c>
      <x:c r="B1" s="56"/>
      <x:c r="C1" s="56"/>
    </x:row>
    <x:row r="2" ht="34" customHeight="1">
      <x:c r="A2" s="58" t="str">
        <x:v>Giữ nguyên Q1–Q20 ở sheet Decisions. Các quyết định bổ sung chưa được tự đánh dấu phê duyệt.</x:v>
      </x:c>
      <x:c r="B2" s="58"/>
      <x:c r="C2" s="58"/>
    </x:row>
    <x:row r="4" ht="28" customHeight="1">
      <x:c r="A4" s="61" t="str">
        <x:v>Mã</x:v>
      </x:c>
      <x:c r="B4" s="61" t="str">
        <x:v>Đề xuất</x:v>
      </x:c>
      <x:c r="C4" s="61" t="str">
        <x:v>Trạng thái</x:v>
      </x:c>
    </x:row>
    <x:row r="5" ht="46" customHeight="1">
      <x:c r="A5" s="65" t="str">
        <x:v>Q21</x:v>
      </x:c>
      <x:c r="B5" s="65" t="str">
        <x:v>Giữ nguyên 149 tệp và quản thay đổi bằng overlay/hash</x:v>
      </x:c>
      <x:c r="C5" s="65" t="str">
        <x:v>PENDING_FOUNDER_AND_FUNCTIONAL_REVIEW</x:v>
      </x:c>
    </x:row>
    <x:row r="6" ht="46" customHeight="1">
      <x:c r="A6" s="64" t="str">
        <x:v>Q22</x:v>
      </x:c>
      <x:c r="B6" s="64" t="str">
        <x:v>Duyệt 16 họ công thức tham chiếu, không gọi là production release</x:v>
      </x:c>
      <x:c r="C6" s="64" t="str">
        <x:v>PENDING_FOUNDER_AND_FUNCTIONAL_REVIEW</x:v>
      </x:c>
    </x:row>
    <x:row r="7" ht="46" customHeight="1">
      <x:c r="A7" s="65" t="str">
        <x:v>Q23</x:v>
      </x:c>
      <x:c r="B7" s="65" t="str">
        <x:v>Chính sách canonical digest và không coi hash PII là ẩn danh</x:v>
      </x:c>
      <x:c r="C7" s="65" t="str">
        <x:v>PENDING_FOUNDER_AND_FUNCTIONAL_REVIEW</x:v>
      </x:c>
    </x:row>
    <x:row r="8" ht="46" customHeight="1">
      <x:c r="A8" s="64" t="str">
        <x:v>Q24</x:v>
      </x:c>
      <x:c r="B8" s="64" t="str">
        <x:v>Chính sách thời gian: timezone/hypothesis/ngày nhuận</x:v>
      </x:c>
      <x:c r="C8" s="64" t="str">
        <x:v>PENDING_FOUNDER_AND_FUNCTIONAL_REVIEW</x:v>
      </x:c>
    </x:row>
    <x:row r="9" ht="46" customHeight="1">
      <x:c r="A9" s="65" t="str">
        <x:v>Q25</x:v>
      </x:c>
      <x:c r="B9" s="65" t="str">
        <x:v>Tách demoAPI local khỏi targetAPI có quyền</x:v>
      </x:c>
      <x:c r="C9" s="65" t="str">
        <x:v>PENDING_FOUNDER_AND_FUNCTIONAL_REVIEW</x:v>
      </x:c>
    </x:row>
    <x:row r="10" ht="46" customHeight="1">
      <x:c r="A10" s="64" t="str">
        <x:v>Q26</x:v>
      </x:c>
      <x:c r="B10" s="64" t="str">
        <x:v>Duyệt ma trận 144 câu hỏi, không phải năng lượng đo được</x:v>
      </x:c>
      <x:c r="C10" s="64" t="str">
        <x:v>PENDING_FOUNDER_AND_FUNCTIONAL_REVIEW</x:v>
      </x:c>
    </x:row>
    <x:row r="11" ht="46" customHeight="1">
      <x:c r="A11" s="65" t="str">
        <x:v>Q27</x:v>
      </x:c>
      <x:c r="B11" s="65" t="str">
        <x:v>Duyệt previewthiếudữ liệu cho 9 level, không viết bù</x:v>
      </x:c>
      <x:c r="C11" s="65" t="str">
        <x:v>PENDING_FOUNDER_AND_FUNCTIONAL_REVIEW</x:v>
      </x:c>
    </x:row>
    <x:row r="12" ht="46" customHeight="1">
      <x:c r="A12" s="64" t="str">
        <x:v>Q28</x:v>
      </x:c>
      <x:c r="B12" s="64" t="str">
        <x:v>Chốt blueprintmobile/PWA/offlinesync trước native</x:v>
      </x:c>
      <x:c r="C12" s="64" t="str">
        <x:v>PENDING_FOUNDER_AND_FUNCTIONAL_REVIEW</x:v>
      </x:c>
    </x:row>
    <x:row r="13" ht="46" customHeight="1">
      <x:c r="A13" s="65" t="str">
        <x:v>Q29</x:v>
      </x:c>
      <x:c r="B13" s="65" t="str">
        <x:v>Chốt contract review, migration và RLS staging</x:v>
      </x:c>
      <x:c r="C13" s="65" t="str">
        <x:v>PENDING_FOUNDER_AND_FUNCTIONAL_REVIEW</x:v>
      </x:c>
    </x:row>
    <x:row r="14" ht="46" customHeight="1">
      <x:c r="A14" s="64" t="str">
        <x:v>Q30</x:v>
      </x:c>
      <x:c r="B14" s="64" t="str">
        <x:v>Duyệt importer không ghiđè và nhánhreview, không deploy</x:v>
      </x:c>
      <x:c r="C14" s="64" t="str">
        <x:v>PENDING_FOUNDER_AND_FUNCTIONAL_REVIEW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8fec43ddfb2b484b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5" hidden="0" customWidth="1"/>
    <x:col min="2" max="2" width="14" hidden="0" customWidth="1"/>
    <x:col min="3" max="3" width="13" hidden="0" customWidth="1"/>
    <x:col min="4" max="4" width="73" hidden="0" customWidth="1"/>
    <x:col min="5" max="5" width="22" hidden="0" customWidth="1"/>
  </x:cols>
  <x:sheetData>
    <x:row r="1" ht="34" customHeight="1">
      <x:c r="A1" s="56" t="str">
        <x:v>149 tệp gốc được giữ nguyên</x:v>
      </x:c>
      <x:c r="B1" s="56"/>
      <x:c r="C1" s="56"/>
      <x:c r="D1" s="56"/>
      <x:c r="E1" s="56"/>
    </x:row>
    <x:row r="2" ht="34" customHeight="1">
      <x:c r="A2" s="58" t="str">
        <x:v>Checksum dùng để chứng minh không mất tệp; không phải xác nhận mọi nội dung gốc đúng.</x:v>
      </x:c>
      <x:c r="B2" s="58"/>
      <x:c r="C2" s="58"/>
      <x:c r="D2" s="58"/>
      <x:c r="E2" s="58"/>
    </x:row>
    <x:row r="4" ht="28" customHeight="1">
      <x:c r="A4" s="61" t="str">
        <x:v>Tệp gốc</x:v>
      </x:c>
      <x:c r="B4" s="61" t="str">
        <x:v>Định dạng</x:v>
      </x:c>
      <x:c r="C4" s="61" t="str">
        <x:v>Byte</x:v>
      </x:c>
      <x:c r="D4" s="61" t="str">
        <x:v>SHA-256</x:v>
      </x:c>
      <x:c r="E4" s="61" t="str">
        <x:v>Trạng thái</x:v>
      </x:c>
    </x:row>
    <x:row r="5" ht="46" customHeight="1">
      <x:c r="A5" s="65" t="str">
        <x:v>00_Doc_truoc/CHANGELOG.md</x:v>
      </x:c>
      <x:c r="B5" s="65" t="str">
        <x:v>.md</x:v>
      </x:c>
      <x:c r="C5" s="65" t="n">
        <x:v>2107</x:v>
      </x:c>
      <x:c r="D5" s="65" t="str">
        <x:v>1fc6e579bd73f23bb36a85e27921f0d1b304f50f348411eb7877f0c45e84617d</x:v>
      </x:c>
      <x:c r="E5" s="65" t="str">
        <x:v>BYTE_IDENTICAL</x:v>
      </x:c>
    </x:row>
    <x:row r="6" ht="46" customHeight="1">
      <x:c r="A6" s="64" t="str">
        <x:v>00_Doc_truoc/DOCUMENT_INDEX.json</x:v>
      </x:c>
      <x:c r="B6" s="64" t="str">
        <x:v>.json</x:v>
      </x:c>
      <x:c r="C6" s="64" t="n">
        <x:v>11667</x:v>
      </x:c>
      <x:c r="D6" s="64" t="str">
        <x:v>25957f5d3a912f72e71ecea2d6861971cee141b71593dd3797470ea8072e8382</x:v>
      </x:c>
      <x:c r="E6" s="64" t="str">
        <x:v>BYTE_IDENTICAL</x:v>
      </x:c>
    </x:row>
    <x:row r="7" ht="46" customHeight="1">
      <x:c r="A7" s="65" t="str">
        <x:v>00_Doc_truoc/EIGHT_BUNDLES_MAP.md</x:v>
      </x:c>
      <x:c r="B7" s="65" t="str">
        <x:v>.md</x:v>
      </x:c>
      <x:c r="C7" s="65" t="n">
        <x:v>1114</x:v>
      </x:c>
      <x:c r="D7" s="65" t="str">
        <x:v>3ceb7705d624865f629357b00851d5565df7794527bf0880fa541ede88229870</x:v>
      </x:c>
      <x:c r="E7" s="65" t="str">
        <x:v>BYTE_IDENTICAL</x:v>
      </x:c>
    </x:row>
    <x:row r="8" ht="46" customHeight="1">
      <x:c r="A8" s="64" t="str">
        <x:v>00_Doc_truoc/EXPORT_QA.json</x:v>
      </x:c>
      <x:c r="B8" s="64" t="str">
        <x:v>.json</x:v>
      </x:c>
      <x:c r="C8" s="64" t="n">
        <x:v>1108</x:v>
      </x:c>
      <x:c r="D8" s="64" t="str">
        <x:v>a07f8ec80550c16fc22397dfb47394c5538934ce35b5cd547c46b65ea39f1501</x:v>
      </x:c>
      <x:c r="E8" s="64" t="str">
        <x:v>BYTE_IDENTICAL</x:v>
      </x:c>
    </x:row>
    <x:row r="9" ht="46" customHeight="1">
      <x:c r="A9" s="65" t="str">
        <x:v>00_Doc_truoc/KNOWN_LIMITATIONS.md</x:v>
      </x:c>
      <x:c r="B9" s="65" t="str">
        <x:v>.md</x:v>
      </x:c>
      <x:c r="C9" s="65" t="n">
        <x:v>2647</x:v>
      </x:c>
      <x:c r="D9" s="65" t="str">
        <x:v>4891b8dab927163385800c2df2944a3169ce5c9e5a5b2fb0c78b30442afe8cec</x:v>
      </x:c>
      <x:c r="E9" s="65" t="str">
        <x:v>BYTE_IDENTICAL</x:v>
      </x:c>
    </x:row>
    <x:row r="10" ht="46" customHeight="1">
      <x:c r="A10" s="64" t="str">
        <x:v>00_Doc_truoc/Life_Code_OS_Execution_Board.xlsx</x:v>
      </x:c>
      <x:c r="B10" s="64" t="str">
        <x:v>.xlsx</x:v>
      </x:c>
      <x:c r="C10" s="64" t="n">
        <x:v>53323</x:v>
      </x:c>
      <x:c r="D10" s="64" t="str">
        <x:v>49a9a1a0ab18101c472d0a016c8b3906978f4b6e9c0109ac11516ca3f45f47a0</x:v>
      </x:c>
      <x:c r="E10" s="64" t="str">
        <x:v>BYTE_IDENTICAL</x:v>
      </x:c>
    </x:row>
    <x:row r="11" ht="46" customHeight="1">
      <x:c r="A11" s="65" t="str">
        <x:v>00_Doc_truoc/Life_Code_OS_Master_Upgrade_Plan.docx</x:v>
      </x:c>
      <x:c r="B11" s="65" t="str">
        <x:v>.docx</x:v>
      </x:c>
      <x:c r="C11" s="65" t="n">
        <x:v>97144</x:v>
      </x:c>
      <x:c r="D11" s="65" t="str">
        <x:v>28c51030e3df873e95d6188efa4cf82d06fee3ad8bbe27be006b0088e9a571a1</x:v>
      </x:c>
      <x:c r="E11" s="65" t="str">
        <x:v>BYTE_IDENTICAL</x:v>
      </x:c>
    </x:row>
    <x:row r="12" ht="46" customHeight="1">
      <x:c r="A12" s="64" t="str">
        <x:v>00_Doc_truoc/Life_Code_OS_Master_Upgrade_Plan.md</x:v>
      </x:c>
      <x:c r="B12" s="64" t="str">
        <x:v>.md</x:v>
      </x:c>
      <x:c r="C12" s="64" t="n">
        <x:v>151085</x:v>
      </x:c>
      <x:c r="D12" s="64" t="str">
        <x:v>13da5e73434718b6c69e914ef7e386e3b5d971027753706acdc4e5eddb13ab18</x:v>
      </x:c>
      <x:c r="E12" s="64" t="str">
        <x:v>BYTE_IDENTICAL</x:v>
      </x:c>
    </x:row>
    <x:row r="13" ht="46" customHeight="1">
      <x:c r="A13" s="65" t="str">
        <x:v>00_Doc_truoc/Life_Code_OS_Master_Upgrade_Plan.pdf</x:v>
      </x:c>
      <x:c r="B13" s="65" t="str">
        <x:v>.pdf</x:v>
      </x:c>
      <x:c r="C13" s="65" t="n">
        <x:v>642984</x:v>
      </x:c>
      <x:c r="D13" s="65" t="str">
        <x:v>7d56e8a897eabdd90decf893a9a21738750381385794cccfb2a4b095fd2963bd</x:v>
      </x:c>
      <x:c r="E13" s="65" t="str">
        <x:v>BYTE_IDENTICAL</x:v>
      </x:c>
    </x:row>
    <x:row r="14" ht="46" customHeight="1">
      <x:c r="A14" s="64" t="str">
        <x:v>00_Doc_truoc/PACKAGE_QA.json</x:v>
      </x:c>
      <x:c r="B14" s="64" t="str">
        <x:v>.json</x:v>
      </x:c>
      <x:c r="C14" s="64" t="n">
        <x:v>23505</x:v>
      </x:c>
      <x:c r="D14" s="64" t="str">
        <x:v>f571484a236e5fc505a3375f07c2d0b88664d02e36be833637f83c8036ebafd5</x:v>
      </x:c>
      <x:c r="E14" s="64" t="str">
        <x:v>BYTE_IDENTICAL</x:v>
      </x:c>
    </x:row>
    <x:row r="15" ht="46" customHeight="1">
      <x:c r="A15" s="65" t="str">
        <x:v>00_Doc_truoc/WORKBOOK_QA.json</x:v>
      </x:c>
      <x:c r="B15" s="65" t="str">
        <x:v>.json</x:v>
      </x:c>
      <x:c r="C15" s="65" t="n">
        <x:v>3199</x:v>
      </x:c>
      <x:c r="D15" s="65" t="str">
        <x:v>4776275c57cf72154b441fb2b2cf8ed30e3504766572548baf33856790688ac3</x:v>
      </x:c>
      <x:c r="E15" s="65" t="str">
        <x:v>BYTE_IDENTICAL</x:v>
      </x:c>
    </x:row>
    <x:row r="16" ht="46" customHeight="1">
      <x:c r="A16" s="64" t="str">
        <x:v>01_Chien_luoc_San_pham/01_MASTER_VISION.md</x:v>
      </x:c>
      <x:c r="B16" s="64" t="str">
        <x:v>.md</x:v>
      </x:c>
      <x:c r="C16" s="64" t="n">
        <x:v>3854</x:v>
      </x:c>
      <x:c r="D16" s="64" t="str">
        <x:v>02902402814b77bd73d018d4c628093b59710ec434cbb074c5cabe197412d98a</x:v>
      </x:c>
      <x:c r="E16" s="64" t="str">
        <x:v>BYTE_IDENTICAL</x:v>
      </x:c>
    </x:row>
    <x:row r="17" ht="46" customHeight="1">
      <x:c r="A17" s="65" t="str">
        <x:v>01_Chien_luoc_San_pham/02_FREE_TO_ENTERPRISE.md</x:v>
      </x:c>
      <x:c r="B17" s="65" t="str">
        <x:v>.md</x:v>
      </x:c>
      <x:c r="C17" s="65" t="n">
        <x:v>3452</x:v>
      </x:c>
      <x:c r="D17" s="65" t="str">
        <x:v>fd6851112a120def9f9211f1ef10a6a0ac864a06f0d6cd866461328a39d64a4c</x:v>
      </x:c>
      <x:c r="E17" s="65" t="str">
        <x:v>BYTE_IDENTICAL</x:v>
      </x:c>
    </x:row>
    <x:row r="18" ht="46" customHeight="1">
      <x:c r="A18" s="64" t="str">
        <x:v>01_Chien_luoc_San_pham/03_NINE_LEVEL_CONTRACT.md</x:v>
      </x:c>
      <x:c r="B18" s="64" t="str">
        <x:v>.md</x:v>
      </x:c>
      <x:c r="C18" s="64" t="n">
        <x:v>3980</x:v>
      </x:c>
      <x:c r="D18" s="64" t="str">
        <x:v>e9ebf0828397c15816b15012de820dcf6b34b4b741c74f9dbaaf3056f52a753a</x:v>
      </x:c>
      <x:c r="E18" s="64" t="str">
        <x:v>BYTE_IDENTICAL</x:v>
      </x:c>
    </x:row>
    <x:row r="19" ht="46" customHeight="1">
      <x:c r="A19" s="65" t="str">
        <x:v>01_Chien_luoc_San_pham/04_USER_JOURNEYS.md</x:v>
      </x:c>
      <x:c r="B19" s="65" t="str">
        <x:v>.md</x:v>
      </x:c>
      <x:c r="C19" s="65" t="n">
        <x:v>3643</x:v>
      </x:c>
      <x:c r="D19" s="65" t="str">
        <x:v>9ddf5b2581300f8bdec1a7d96c4b07aad231ece8883dc26b1dd4aa8bf2b7c0a5</x:v>
      </x:c>
      <x:c r="E19" s="65" t="str">
        <x:v>BYTE_IDENTICAL</x:v>
      </x:c>
    </x:row>
    <x:row r="20" ht="46" customHeight="1">
      <x:c r="A20" s="64" t="str">
        <x:v>01_Chien_luoc_San_pham/05_ACADEMY_AND_PRACTITIONERS.md</x:v>
      </x:c>
      <x:c r="B20" s="64" t="str">
        <x:v>.md</x:v>
      </x:c>
      <x:c r="C20" s="64" t="n">
        <x:v>3377</x:v>
      </x:c>
      <x:c r="D20" s="64" t="str">
        <x:v>d8e38e8b44a18af948d37aa3e95ab8d53b72c19d2fafcad87caf3fae1cbbf2a1</x:v>
      </x:c>
      <x:c r="E20" s="64" t="str">
        <x:v>BYTE_IDENTICAL</x:v>
      </x:c>
    </x:row>
    <x:row r="21" ht="46" customHeight="1">
      <x:c r="A21" s="65" t="str">
        <x:v>01_Chien_luoc_San_pham/06_ORGANIZATION_AND_FAMILY.md</x:v>
      </x:c>
      <x:c r="B21" s="65" t="str">
        <x:v>.md</x:v>
      </x:c>
      <x:c r="C21" s="65" t="n">
        <x:v>3343</x:v>
      </x:c>
      <x:c r="D21" s="65" t="str">
        <x:v>3e90762e266ed0d82202fd80b6a6625fda6ae288718d50b8afea580d755c26a3</x:v>
      </x:c>
      <x:c r="E21" s="65" t="str">
        <x:v>BYTE_IDENTICAL</x:v>
      </x:c>
    </x:row>
    <x:row r="22" ht="46" customHeight="1">
      <x:c r="A22" s="64" t="str">
        <x:v>01_Chien_luoc_San_pham/NINE_LEVELS.json</x:v>
      </x:c>
      <x:c r="B22" s="64" t="str">
        <x:v>.json</x:v>
      </x:c>
      <x:c r="C22" s="64" t="n">
        <x:v>8138</x:v>
      </x:c>
      <x:c r="D22" s="64" t="str">
        <x:v>6854b7b9ee26c7531f8420607d0997862ddbd9f46cc199f6f27435a25a84bb6d</x:v>
      </x:c>
      <x:c r="E22" s="64" t="str">
        <x:v>BYTE_IDENTICAL</x:v>
      </x:c>
    </x:row>
    <x:row r="23" ht="46" customHeight="1">
      <x:c r="A23" s="65" t="str">
        <x:v>01_Chien_luoc_San_pham/PRODUCT_CATALOG.csv</x:v>
      </x:c>
      <x:c r="B23" s="65" t="str">
        <x:v>.csv</x:v>
      </x:c>
      <x:c r="C23" s="65" t="n">
        <x:v>4096</x:v>
      </x:c>
      <x:c r="D23" s="65" t="str">
        <x:v>c72f2799c33afa490796278e0dc9b8a241e0c08d6eb23a58118e2849aea55f20</x:v>
      </x:c>
      <x:c r="E23" s="65" t="str">
        <x:v>BYTE_IDENTICAL</x:v>
      </x:c>
    </x:row>
    <x:row r="24" ht="46" customHeight="1">
      <x:c r="A24" s="64" t="str">
        <x:v>01_Chien_luoc_San_pham/PRODUCT_CATALOG.json</x:v>
      </x:c>
      <x:c r="B24" s="64" t="str">
        <x:v>.json</x:v>
      </x:c>
      <x:c r="C24" s="64" t="n">
        <x:v>18829</x:v>
      </x:c>
      <x:c r="D24" s="64" t="str">
        <x:v>07f231482f840e205047f33ffc91197ba0eb4dcf218f12beb375dd5aeff9d475</x:v>
      </x:c>
      <x:c r="E24" s="64" t="str">
        <x:v>BYTE_IDENTICAL</x:v>
      </x:c>
    </x:row>
    <x:row r="25" ht="46" customHeight="1">
      <x:c r="A25" s="65" t="str">
        <x:v>01_Chien_luoc_San_pham/QUOTA_POLICY_PROPOSED.json</x:v>
      </x:c>
      <x:c r="B25" s="65" t="str">
        <x:v>.json</x:v>
      </x:c>
      <x:c r="C25" s="65" t="n">
        <x:v>620</x:v>
      </x:c>
      <x:c r="D25" s="65" t="str">
        <x:v>cdced6403e55ad312c59e45cb60b91564d298e0847454d4203ce67f619d4df34</x:v>
      </x:c>
      <x:c r="E25" s="65" t="str">
        <x:v>BYTE_IDENTICAL</x:v>
      </x:c>
    </x:row>
    <x:row r="26" ht="46" customHeight="1">
      <x:c r="A26" s="64" t="str">
        <x:v>02_Tri_thuc_HNH/01_HNH_DOCTRINE.md</x:v>
      </x:c>
      <x:c r="B26" s="64" t="str">
        <x:v>.md</x:v>
      </x:c>
      <x:c r="C26" s="64" t="n">
        <x:v>3452</x:v>
      </x:c>
      <x:c r="D26" s="64" t="str">
        <x:v>05a7aca604191fa932a15f813ff2d0d76f312afe47198a10082fce7bb65d53fc</x:v>
      </x:c>
      <x:c r="E26" s="64" t="str">
        <x:v>BYTE_IDENTICAL</x:v>
      </x:c>
    </x:row>
    <x:row r="27" ht="46" customHeight="1">
      <x:c r="A27" s="65" t="str">
        <x:v>02_Tri_thuc_HNH/02_METHOD_RESEARCH_PROTOCOL.md</x:v>
      </x:c>
      <x:c r="B27" s="65" t="str">
        <x:v>.md</x:v>
      </x:c>
      <x:c r="C27" s="65" t="n">
        <x:v>3494</x:v>
      </x:c>
      <x:c r="D27" s="65" t="str">
        <x:v>9004ecb60c97c2429da1af12e0e104d5b88ffa8b8d27cbd13b9b8d5ebf47259a</x:v>
      </x:c>
      <x:c r="E27" s="65" t="str">
        <x:v>BYTE_IDENTICAL</x:v>
      </x:c>
    </x:row>
    <x:row r="28" ht="46" customHeight="1">
      <x:c r="A28" s="64" t="str">
        <x:v>02_Tri_thuc_HNH/03_RESONANCE_AND_LIFE_DESIGN.md</x:v>
      </x:c>
      <x:c r="B28" s="64" t="str">
        <x:v>.md</x:v>
      </x:c>
      <x:c r="C28" s="64" t="n">
        <x:v>3270</x:v>
      </x:c>
      <x:c r="D28" s="64" t="str">
        <x:v>cb5010be794223e6799388388e385dbd5b76c29f56df946772ef203d37b00cb8</x:v>
      </x:c>
      <x:c r="E28" s="64" t="str">
        <x:v>BYTE_IDENTICAL</x:v>
      </x:c>
    </x:row>
    <x:row r="29" ht="46" customHeight="1">
      <x:c r="A29" s="65" t="str">
        <x:v>02_Tri_thuc_HNH/04_DEEP_RESEARCH_SYLLABUS.md</x:v>
      </x:c>
      <x:c r="B29" s="65" t="str">
        <x:v>.md</x:v>
      </x:c>
      <x:c r="C29" s="65" t="n">
        <x:v>12843</x:v>
      </x:c>
      <x:c r="D29" s="65" t="str">
        <x:v>e81a76c3522bf93599ecc49d451543eafe5dccb7a232c7ea771d2a5602f2a462</x:v>
      </x:c>
      <x:c r="E29" s="65" t="str">
        <x:v>BYTE_IDENTICAL</x:v>
      </x:c>
    </x:row>
    <x:row r="30" ht="46" customHeight="1">
      <x:c r="A30" s="64" t="str">
        <x:v>02_Tri_thuc_HNH/GLOSSARY_VI_EN.json</x:v>
      </x:c>
      <x:c r="B30" s="64" t="str">
        <x:v>.json</x:v>
      </x:c>
      <x:c r="C30" s="64" t="n">
        <x:v>11500</x:v>
      </x:c>
      <x:c r="D30" s="64" t="str">
        <x:v>772619f2492d76811118fe2eddaa785c2a1936b813649a8895cd5fbf4e70065b</x:v>
      </x:c>
      <x:c r="E30" s="64" t="str">
        <x:v>BYTE_IDENTICAL</x:v>
      </x:c>
    </x:row>
    <x:row r="31" ht="46" customHeight="1">
      <x:c r="A31" s="65" t="str">
        <x:v>02_Tri_thuc_HNH/GLOSSARY_VI_EN.md</x:v>
      </x:c>
      <x:c r="B31" s="65" t="str">
        <x:v>.md</x:v>
      </x:c>
      <x:c r="C31" s="65" t="n">
        <x:v>8166</x:v>
      </x:c>
      <x:c r="D31" s="65" t="str">
        <x:v>5cb8832aa506438c17ab134143aa9a85d8ba8d70aa5c465f7e392dca1179faf6</x:v>
      </x:c>
      <x:c r="E31" s="65" t="str">
        <x:v>BYTE_IDENTICAL</x:v>
      </x:c>
    </x:row>
    <x:row r="32" ht="46" customHeight="1">
      <x:c r="A32" s="64" t="str">
        <x:v>02_Tri_thuc_HNH/LAYERS_AND_FIELDS.json</x:v>
      </x:c>
      <x:c r="B32" s="64" t="str">
        <x:v>.json</x:v>
      </x:c>
      <x:c r="C32" s="64" t="n">
        <x:v>4400</x:v>
      </x:c>
      <x:c r="D32" s="64" t="str">
        <x:v>0b95e26a6f50d7fa325e2d190f47ca3cfce138c5afee7aa1af7133186d1b2f63</x:v>
      </x:c>
      <x:c r="E32" s="64" t="str">
        <x:v>BYTE_IDENTICAL</x:v>
      </x:c>
    </x:row>
    <x:row r="33" ht="46" customHeight="1">
      <x:c r="A33" s="65" t="str">
        <x:v>02_Tri_thuc_HNH/METHOD_FAMILIES.csv</x:v>
      </x:c>
      <x:c r="B33" s="65" t="str">
        <x:v>.csv</x:v>
      </x:c>
      <x:c r="C33" s="65" t="n">
        <x:v>3819</x:v>
      </x:c>
      <x:c r="D33" s="65" t="str">
        <x:v>370aa37d517d44cc4e4e9008c5a60d32e60d73ac2b316acd58ab207e8ca0784a</x:v>
      </x:c>
      <x:c r="E33" s="65" t="str">
        <x:v>BYTE_IDENTICAL</x:v>
      </x:c>
    </x:row>
    <x:row r="34" ht="46" customHeight="1">
      <x:c r="A34" s="64" t="str">
        <x:v>02_Tri_thuc_HNH/METHOD_FAMILIES.json</x:v>
      </x:c>
      <x:c r="B34" s="64" t="str">
        <x:v>.json</x:v>
      </x:c>
      <x:c r="C34" s="64" t="n">
        <x:v>7338</x:v>
      </x:c>
      <x:c r="D34" s="64" t="str">
        <x:v>b76688b91ab543c4382cc32fa3336fe281cb89c12b8cfb22d353d6253a8fcb54</x:v>
      </x:c>
      <x:c r="E34" s="64" t="str">
        <x:v>BYTE_IDENTICAL</x:v>
      </x:c>
    </x:row>
    <x:row r="35" ht="46" customHeight="1">
      <x:c r="A35" s="65" t="str">
        <x:v>02_Tri_thuc_HNH/METHOD_PASSPORTS.json</x:v>
      </x:c>
      <x:c r="B35" s="65" t="str">
        <x:v>.json</x:v>
      </x:c>
      <x:c r="C35" s="65" t="n">
        <x:v>13898</x:v>
      </x:c>
      <x:c r="D35" s="65" t="str">
        <x:v>7a286db190565398bb03e7d42a8d598e74523d594ca75fa646c7832a0c30bbe6</x:v>
      </x:c>
      <x:c r="E35" s="65" t="str">
        <x:v>BYTE_IDENTICAL</x:v>
      </x:c>
    </x:row>
    <x:row r="36" ht="46" customHeight="1">
      <x:c r="A36" s="64" t="str">
        <x:v>03_Du_lieu_Phep_tinh/01_DOMAIN_MODEL.md</x:v>
      </x:c>
      <x:c r="B36" s="64" t="str">
        <x:v>.md</x:v>
      </x:c>
      <x:c r="C36" s="64" t="n">
        <x:v>4235</x:v>
      </x:c>
      <x:c r="D36" s="64" t="str">
        <x:v>6c204b3f5be2d6e6079f166fcd13113af736b3d1d27f0c0f81ca9716e89b2c30</x:v>
      </x:c>
      <x:c r="E36" s="64" t="str">
        <x:v>BYTE_IDENTICAL</x:v>
      </x:c>
    </x:row>
    <x:row r="37" ht="46" customHeight="1">
      <x:c r="A37" s="65" t="str">
        <x:v>03_Du_lieu_Phep_tinh/02_METHOD_CONTRACT_AND_METRICS.md</x:v>
      </x:c>
      <x:c r="B37" s="65" t="str">
        <x:v>.md</x:v>
      </x:c>
      <x:c r="C37" s="65" t="n">
        <x:v>3324</x:v>
      </x:c>
      <x:c r="D37" s="65" t="str">
        <x:v>fa394fd8e4295167e53d0653fdc15b37feab1c565fd15b5cf80520af7a5d9bee</x:v>
      </x:c>
      <x:c r="E37" s="65" t="str">
        <x:v>BYTE_IDENTICAL</x:v>
      </x:c>
    </x:row>
    <x:row r="38" ht="46" customHeight="1">
      <x:c r="A38" s="64" t="str">
        <x:v>03_Du_lieu_Phep_tinh/03_NUMBERS_AND_TAIL80.md</x:v>
      </x:c>
      <x:c r="B38" s="64" t="str">
        <x:v>.md</x:v>
      </x:c>
      <x:c r="C38" s="64" t="n">
        <x:v>3145</x:v>
      </x:c>
      <x:c r="D38" s="64" t="str">
        <x:v>685724029478fe6225234bd5b0b89b9d5548487ebc8ff32712e0a0b91768e8c6</x:v>
      </x:c>
      <x:c r="E38" s="64" t="str">
        <x:v>BYTE_IDENTICAL</x:v>
      </x:c>
    </x:row>
    <x:row r="39" ht="46" customHeight="1">
      <x:c r="A39" s="65" t="str">
        <x:v>03_Du_lieu_Phep_tinh/04_TIMELINE_AND_SCENARIOS.md</x:v>
      </x:c>
      <x:c r="B39" s="65" t="str">
        <x:v>.md</x:v>
      </x:c>
      <x:c r="C39" s="65" t="n">
        <x:v>2895</x:v>
      </x:c>
      <x:c r="D39" s="65" t="str">
        <x:v>ce204fa6cf1cc38813124384bc2f95774e046d8d3786720dbf9c850147225175</x:v>
      </x:c>
      <x:c r="E39" s="65" t="str">
        <x:v>BYTE_IDENTICAL</x:v>
      </x:c>
    </x:row>
    <x:row r="40" ht="46" customHeight="1">
      <x:c r="A40" s="64" t="str">
        <x:v>03_Du_lieu_Phep_tinh/DATA_FIELD_REGISTRY_120.csv</x:v>
      </x:c>
      <x:c r="B40" s="64" t="str">
        <x:v>.csv</x:v>
      </x:c>
      <x:c r="C40" s="64" t="n">
        <x:v>27383</x:v>
      </x:c>
      <x:c r="D40" s="64" t="str">
        <x:v>7a984704e6f410c17a32f885b73e87773ed1518a63c80d1c32b6e22d20d077a2</x:v>
      </x:c>
      <x:c r="E40" s="64" t="str">
        <x:v>BYTE_IDENTICAL</x:v>
      </x:c>
    </x:row>
    <x:row r="41" ht="46" customHeight="1">
      <x:c r="A41" s="65" t="str">
        <x:v>03_Du_lieu_Phep_tinh/DATA_FIELD_REGISTRY_120.json</x:v>
      </x:c>
      <x:c r="B41" s="65" t="str">
        <x:v>.json</x:v>
      </x:c>
      <x:c r="C41" s="65" t="n">
        <x:v>55698</x:v>
      </x:c>
      <x:c r="D41" s="65" t="str">
        <x:v>12036706a99364009c176d6470dd57c1aaebe85f17b8ded36b1f13e194dbffad</x:v>
      </x:c>
      <x:c r="E41" s="65" t="str">
        <x:v>BYTE_IDENTICAL</x:v>
      </x:c>
    </x:row>
    <x:row r="42" ht="46" customHeight="1">
      <x:c r="A42" s="64" t="str">
        <x:v>03_Du_lieu_Phep_tinh/examples/Claim.example.json</x:v>
      </x:c>
      <x:c r="B42" s="64" t="str">
        <x:v>.json</x:v>
      </x:c>
      <x:c r="C42" s="64" t="n">
        <x:v>583</x:v>
      </x:c>
      <x:c r="D42" s="64" t="str">
        <x:v>b8c005e229b4e7aada74c64d2b9f86b0059461f0399a04ee0085f8fe24f54ceb</x:v>
      </x:c>
      <x:c r="E42" s="64" t="str">
        <x:v>BYTE_IDENTICAL</x:v>
      </x:c>
    </x:row>
    <x:row r="43" ht="46" customHeight="1">
      <x:c r="A43" s="65" t="str">
        <x:v>03_Du_lieu_Phep_tinh/examples/JobEnvelope.example.json</x:v>
      </x:c>
      <x:c r="B43" s="65" t="str">
        <x:v>.json</x:v>
      </x:c>
      <x:c r="C43" s="65" t="n">
        <x:v>716</x:v>
      </x:c>
      <x:c r="D43" s="65" t="str">
        <x:v>3a9a69bcc8914a8db532adf9122fca041a11bed4b50b2f9d2f3a26c49521f040</x:v>
      </x:c>
      <x:c r="E43" s="65" t="str">
        <x:v>BYTE_IDENTICAL</x:v>
      </x:c>
    </x:row>
    <x:row r="44" ht="46" customHeight="1">
      <x:c r="A44" s="64" t="str">
        <x:v>03_Du_lieu_Phep_tinh/examples/MethodRelease.example.json</x:v>
      </x:c>
      <x:c r="B44" s="64" t="str">
        <x:v>.json</x:v>
      </x:c>
      <x:c r="C44" s="64" t="n">
        <x:v>802</x:v>
      </x:c>
      <x:c r="D44" s="64" t="str">
        <x:v>8a7a044c24183b23f84cb25a7e35c7042d4b07e961c353effe90403c6d886eac</x:v>
      </x:c>
      <x:c r="E44" s="64" t="str">
        <x:v>BYTE_IDENTICAL</x:v>
      </x:c>
    </x:row>
    <x:row r="45" ht="46" customHeight="1">
      <x:c r="A45" s="65" t="str">
        <x:v>03_Du_lieu_Phep_tinh/examples/MethodResult.example.json</x:v>
      </x:c>
      <x:c r="B45" s="65" t="str">
        <x:v>.json</x:v>
      </x:c>
      <x:c r="C45" s="65" t="n">
        <x:v>1642</x:v>
      </x:c>
      <x:c r="D45" s="65" t="str">
        <x:v>0031c755fd9333b6ffb1dc2fc1ae9baca6ccb2f1abe496826c344aceaf687cee</x:v>
      </x:c>
      <x:c r="E45" s="65" t="str">
        <x:v>BYTE_IDENTICAL</x:v>
      </x:c>
    </x:row>
    <x:row r="46" ht="46" customHeight="1">
      <x:c r="A46" s="64" t="str">
        <x:v>03_Du_lieu_Phep_tinh/examples/Metric.example.json</x:v>
      </x:c>
      <x:c r="B46" s="64" t="str">
        <x:v>.json</x:v>
      </x:c>
      <x:c r="C46" s="64" t="n">
        <x:v>240</x:v>
      </x:c>
      <x:c r="D46" s="64" t="str">
        <x:v>77024b90db82edf1ab0914b99d63c950c5a7bd04497d1672238468ff3ddde4a4</x:v>
      </x:c>
      <x:c r="E46" s="64" t="str">
        <x:v>BYTE_IDENTICAL</x:v>
      </x:c>
    </x:row>
    <x:row r="47" ht="46" customHeight="1">
      <x:c r="A47" s="65" t="str">
        <x:v>03_Du_lieu_Phep_tinh/examples/ProfileVersion.example.json</x:v>
      </x:c>
      <x:c r="B47" s="65" t="str">
        <x:v>.json</x:v>
      </x:c>
      <x:c r="C47" s="65" t="n">
        <x:v>702</x:v>
      </x:c>
      <x:c r="D47" s="65" t="str">
        <x:v>e6ea345f0b60c66739400766c7e4168c07df2301cc9fb4765d1d9910d0ba0077</x:v>
      </x:c>
      <x:c r="E47" s="65" t="str">
        <x:v>BYTE_IDENTICAL</x:v>
      </x:c>
    </x:row>
    <x:row r="48" ht="46" customHeight="1">
      <x:c r="A48" s="64" t="str">
        <x:v>03_Du_lieu_Phep_tinh/examples/ReleaseReceipt.example.json</x:v>
      </x:c>
      <x:c r="B48" s="64" t="str">
        <x:v>.json</x:v>
      </x:c>
      <x:c r="C48" s="64" t="n">
        <x:v>525</x:v>
      </x:c>
      <x:c r="D48" s="64" t="str">
        <x:v>46fc34bdcc5458b2049d795b088c251218cf477381217226b63c90d229d73845</x:v>
      </x:c>
      <x:c r="E48" s="64" t="str">
        <x:v>BYTE_IDENTICAL</x:v>
      </x:c>
    </x:row>
    <x:row r="49" ht="46" customHeight="1">
      <x:c r="A49" s="65" t="str">
        <x:v>03_Du_lieu_Phep_tinh/examples/ReportSnapshot.example.json</x:v>
      </x:c>
      <x:c r="B49" s="65" t="str">
        <x:v>.json</x:v>
      </x:c>
      <x:c r="C49" s="65" t="n">
        <x:v>1013</x:v>
      </x:c>
      <x:c r="D49" s="65" t="str">
        <x:v>0dfee7a649435057267c5a3b150a79090a3c9d08e8598fca80a315f2596308ce</x:v>
      </x:c>
      <x:c r="E49" s="65" t="str">
        <x:v>BYTE_IDENTICAL</x:v>
      </x:c>
    </x:row>
    <x:row r="50" ht="46" customHeight="1">
      <x:c r="A50" s="64" t="str">
        <x:v>03_Du_lieu_Phep_tinh/examples/Tail80Result.example.json</x:v>
      </x:c>
      <x:c r="B50" s="64" t="str">
        <x:v>.json</x:v>
      </x:c>
      <x:c r="C50" s="64" t="n">
        <x:v>266</x:v>
      </x:c>
      <x:c r="D50" s="64" t="str">
        <x:v>6323be63f262cb8e91404fe9f0f7a32dcb180f051dcf4a39f8676671d19b52de</x:v>
      </x:c>
      <x:c r="E50" s="64" t="str">
        <x:v>BYTE_IDENTICAL</x:v>
      </x:c>
    </x:row>
    <x:row r="51" ht="46" customHeight="1">
      <x:c r="A51" s="65" t="str">
        <x:v>03_Du_lieu_Phep_tinh/schemas/Claim.schema.json</x:v>
      </x:c>
      <x:c r="B51" s="65" t="str">
        <x:v>.json</x:v>
      </x:c>
      <x:c r="C51" s="65" t="n">
        <x:v>2399</x:v>
      </x:c>
      <x:c r="D51" s="65" t="str">
        <x:v>ddf67830aa8dc32a967fe5829bc88e980d44a66860433a54704edd274d682dd0</x:v>
      </x:c>
      <x:c r="E51" s="65" t="str">
        <x:v>BYTE_IDENTICAL</x:v>
      </x:c>
    </x:row>
    <x:row r="52" ht="46" customHeight="1">
      <x:c r="A52" s="64" t="str">
        <x:v>03_Du_lieu_Phep_tinh/schemas/JobEnvelope.schema.json</x:v>
      </x:c>
      <x:c r="B52" s="64" t="str">
        <x:v>.json</x:v>
      </x:c>
      <x:c r="C52" s="64" t="n">
        <x:v>1778</x:v>
      </x:c>
      <x:c r="D52" s="64" t="str">
        <x:v>3eed377cc61f981d5384bf3ccf8effc5d989a2b30c237a9b4e06284d98794d24</x:v>
      </x:c>
      <x:c r="E52" s="64" t="str">
        <x:v>BYTE_IDENTICAL</x:v>
      </x:c>
    </x:row>
    <x:row r="53" ht="46" customHeight="1">
      <x:c r="A53" s="65" t="str">
        <x:v>03_Du_lieu_Phep_tinh/schemas/MethodRelease.schema.json</x:v>
      </x:c>
      <x:c r="B53" s="65" t="str">
        <x:v>.json</x:v>
      </x:c>
      <x:c r="C53" s="65" t="n">
        <x:v>3341</x:v>
      </x:c>
      <x:c r="D53" s="65" t="str">
        <x:v>b1fd70ae0690e22ae09f3e5bc5085ecc5e14806e994f3cd60891fad078ab81c4</x:v>
      </x:c>
      <x:c r="E53" s="65" t="str">
        <x:v>BYTE_IDENTICAL</x:v>
      </x:c>
    </x:row>
    <x:row r="54" ht="46" customHeight="1">
      <x:c r="A54" s="64" t="str">
        <x:v>03_Du_lieu_Phep_tinh/schemas/MethodResult.schema.json</x:v>
      </x:c>
      <x:c r="B54" s="64" t="str">
        <x:v>.json</x:v>
      </x:c>
      <x:c r="C54" s="64" t="n">
        <x:v>7257</x:v>
      </x:c>
      <x:c r="D54" s="64" t="str">
        <x:v>6ac7a8e060ee48682552b69c7da2faf1e5ca3d974f03b1afdc1ea6c47a0052de</x:v>
      </x:c>
      <x:c r="E54" s="64" t="str">
        <x:v>BYTE_IDENTICAL</x:v>
      </x:c>
    </x:row>
    <x:row r="55" ht="46" customHeight="1">
      <x:c r="A55" s="65" t="str">
        <x:v>03_Du_lieu_Phep_tinh/schemas/Metric.schema.json</x:v>
      </x:c>
      <x:c r="B55" s="65" t="str">
        <x:v>.json</x:v>
      </x:c>
      <x:c r="C55" s="65" t="n">
        <x:v>839</x:v>
      </x:c>
      <x:c r="D55" s="65" t="str">
        <x:v>0631326f54e30dcf8b08b246e01af1a82e524818ae3d2f46c17022c70398d2ba</x:v>
      </x:c>
      <x:c r="E55" s="65" t="str">
        <x:v>BYTE_IDENTICAL</x:v>
      </x:c>
    </x:row>
    <x:row r="56" ht="46" customHeight="1">
      <x:c r="A56" s="64" t="str">
        <x:v>03_Du_lieu_Phep_tinh/schemas/ProfileVersion.schema.json</x:v>
      </x:c>
      <x:c r="B56" s="64" t="str">
        <x:v>.json</x:v>
      </x:c>
      <x:c r="C56" s="64" t="n">
        <x:v>3190</x:v>
      </x:c>
      <x:c r="D56" s="64" t="str">
        <x:v>4bbcfc3c8b857b681107ae14ccfbbeaeec38ec8ca3303f6317b393bf896b0e9d</x:v>
      </x:c>
      <x:c r="E56" s="64" t="str">
        <x:v>BYTE_IDENTICAL</x:v>
      </x:c>
    </x:row>
    <x:row r="57" ht="46" customHeight="1">
      <x:c r="A57" s="65" t="str">
        <x:v>03_Du_lieu_Phep_tinh/schemas/ReleaseReceipt.schema.json</x:v>
      </x:c>
      <x:c r="B57" s="65" t="str">
        <x:v>.json</x:v>
      </x:c>
      <x:c r="C57" s="65" t="n">
        <x:v>2550</x:v>
      </x:c>
      <x:c r="D57" s="65" t="str">
        <x:v>6c1743b8ae14be6f2cb5af0c14c39dde1324114f5c9eebf1c0c1299be0a195f9</x:v>
      </x:c>
      <x:c r="E57" s="65" t="str">
        <x:v>BYTE_IDENTICAL</x:v>
      </x:c>
    </x:row>
    <x:row r="58" ht="46" customHeight="1">
      <x:c r="A58" s="64" t="str">
        <x:v>03_Du_lieu_Phep_tinh/schemas/ReportSnapshot.schema.json</x:v>
      </x:c>
      <x:c r="B58" s="64" t="str">
        <x:v>.json</x:v>
      </x:c>
      <x:c r="C58" s="64" t="n">
        <x:v>3595</x:v>
      </x:c>
      <x:c r="D58" s="64" t="str">
        <x:v>0e0d8e6d01bd561ce49bddf7acd254fc5eda01383c2063d5840104aaa6f229de</x:v>
      </x:c>
      <x:c r="E58" s="64" t="str">
        <x:v>BYTE_IDENTICAL</x:v>
      </x:c>
    </x:row>
    <x:row r="59" ht="46" customHeight="1">
      <x:c r="A59" s="65" t="str">
        <x:v>03_Du_lieu_Phep_tinh/schemas/Tail80Result.schema.json</x:v>
      </x:c>
      <x:c r="B59" s="65" t="str">
        <x:v>.json</x:v>
      </x:c>
      <x:c r="C59" s="65" t="n">
        <x:v>1215</x:v>
      </x:c>
      <x:c r="D59" s="65" t="str">
        <x:v>e6c48bb7fe55ee74dd70daa70ab24512a359838ad96b04315c2393e230007962</x:v>
      </x:c>
      <x:c r="E59" s="65" t="str">
        <x:v>BYTE_IDENTICAL</x:v>
      </x:c>
    </x:row>
    <x:row r="60" ht="46" customHeight="1">
      <x:c r="A60" s="64" t="str">
        <x:v>04_Backend_API/01_TARGET_ARCHITECTURE.md</x:v>
      </x:c>
      <x:c r="B60" s="64" t="str">
        <x:v>.md</x:v>
      </x:c>
      <x:c r="C60" s="64" t="n">
        <x:v>3419</x:v>
      </x:c>
      <x:c r="D60" s="64" t="str">
        <x:v>3e10b6293eb70b068456a4facb6ce85216fae060b848cdab6dd3c460ba0f597e</x:v>
      </x:c>
      <x:c r="E60" s="64" t="str">
        <x:v>BYTE_IDENTICAL</x:v>
      </x:c>
    </x:row>
    <x:row r="61" ht="46" customHeight="1">
      <x:c r="A61" s="65" t="str">
        <x:v>04_Backend_API/02_AUTH_AND_AUTHORIZATION.md</x:v>
      </x:c>
      <x:c r="B61" s="65" t="str">
        <x:v>.md</x:v>
      </x:c>
      <x:c r="C61" s="65" t="n">
        <x:v>3086</x:v>
      </x:c>
      <x:c r="D61" s="65" t="str">
        <x:v>c3c53a35d73e129b13174c17e13783a30f2591298d6be8ebe6b7a6f817c243ec</x:v>
      </x:c>
      <x:c r="E61" s="65" t="str">
        <x:v>BYTE_IDENTICAL</x:v>
      </x:c>
    </x:row>
    <x:row r="62" ht="46" customHeight="1">
      <x:c r="A62" s="64" t="str">
        <x:v>04_Backend_API/03_JOBS_IDEMPOTENCY_AND_COMMERCE.md</x:v>
      </x:c>
      <x:c r="B62" s="64" t="str">
        <x:v>.md</x:v>
      </x:c>
      <x:c r="C62" s="64" t="n">
        <x:v>3292</x:v>
      </x:c>
      <x:c r="D62" s="64" t="str">
        <x:v>a9131cb0128cb43f93ce6aef38bae1d487ffe5919de6a28dbbb8b4e9b8a1f019</x:v>
      </x:c>
      <x:c r="E62" s="64" t="str">
        <x:v>BYTE_IDENTICAL</x:v>
      </x:c>
    </x:row>
    <x:row r="63" ht="46" customHeight="1">
      <x:c r="A63" s="65" t="str">
        <x:v>04_Backend_API/04_API_AND_MIGRATION.md</x:v>
      </x:c>
      <x:c r="B63" s="65" t="str">
        <x:v>.md</x:v>
      </x:c>
      <x:c r="C63" s="65" t="n">
        <x:v>3257</x:v>
      </x:c>
      <x:c r="D63" s="65" t="str">
        <x:v>6231bc4519bbc6c4fb3270ca90c56954f6fb6d24b2666901cb3a09e9070b1f7a</x:v>
      </x:c>
      <x:c r="E63" s="65" t="str">
        <x:v>BYTE_IDENTICAL</x:v>
      </x:c>
    </x:row>
    <x:row r="64" ht="46" customHeight="1">
      <x:c r="A64" s="64" t="str">
        <x:v>04_Backend_API/API_OPERATIONS.json</x:v>
      </x:c>
      <x:c r="B64" s="64" t="str">
        <x:v>.json</x:v>
      </x:c>
      <x:c r="C64" s="64" t="n">
        <x:v>16191</x:v>
      </x:c>
      <x:c r="D64" s="64" t="str">
        <x:v>a10ace2ed34f5470f172c82b3016bce219d8a5a5a6307454f73fc48a263f3e97</x:v>
      </x:c>
      <x:c r="E64" s="64" t="str">
        <x:v>BYTE_IDENTICAL</x:v>
      </x:c>
    </x:row>
    <x:row r="65" ht="46" customHeight="1">
      <x:c r="A65" s="65" t="str">
        <x:v>04_Backend_API/ARCHITECTURE.mmd</x:v>
      </x:c>
      <x:c r="B65" s="65" t="str">
        <x:v>.mmd</x:v>
      </x:c>
      <x:c r="C65" s="65" t="n">
        <x:v>905</x:v>
      </x:c>
      <x:c r="D65" s="65" t="str">
        <x:v>0a5059f17c321026dfe8fc2c21d55b82ada8f8fd1749bf56c03f1b9eb76d6d19</x:v>
      </x:c>
      <x:c r="E65" s="65" t="str">
        <x:v>BYTE_IDENTICAL</x:v>
      </x:c>
    </x:row>
    <x:row r="66" ht="46" customHeight="1">
      <x:c r="A66" s="64" t="str">
        <x:v>04_Backend_API/ENTITY_REGISTRY.json</x:v>
      </x:c>
      <x:c r="B66" s="64" t="str">
        <x:v>.json</x:v>
      </x:c>
      <x:c r="C66" s="64" t="n">
        <x:v>16803</x:v>
      </x:c>
      <x:c r="D66" s="64" t="str">
        <x:v>361b942e963b3e6f23d3b9d7264ba6a3b55c13183cbd3f516a642cc5d48db046</x:v>
      </x:c>
      <x:c r="E66" s="64" t="str">
        <x:v>BYTE_IDENTICAL</x:v>
      </x:c>
    </x:row>
    <x:row r="67" ht="46" customHeight="1">
      <x:c r="A67" s="65" t="str">
        <x:v>04_Backend_API/SCHEMA_DESIGN_REFERENCE.sql</x:v>
      </x:c>
      <x:c r="B67" s="65" t="str">
        <x:v>.sql</x:v>
      </x:c>
      <x:c r="C67" s="65" t="n">
        <x:v>29369</x:v>
      </x:c>
      <x:c r="D67" s="65" t="str">
        <x:v>064602c61f7f5352628d2a8452575b8954686b74df5875277b7394a5bb920c92</x:v>
      </x:c>
      <x:c r="E67" s="65" t="str">
        <x:v>BYTE_IDENTICAL</x:v>
      </x:c>
    </x:row>
    <x:row r="68" ht="46" customHeight="1">
      <x:c r="A68" s="64" t="str">
        <x:v>04_Backend_API/SCHEMA_README.md</x:v>
      </x:c>
      <x:c r="B68" s="64" t="str">
        <x:v>.md</x:v>
      </x:c>
      <x:c r="C68" s="64" t="n">
        <x:v>1127</x:v>
      </x:c>
      <x:c r="D68" s="64" t="str">
        <x:v>86205fc0e2bac05b90e1670288cb9bddacc326c97ed7d6fa94514b8d061cac7e</x:v>
      </x:c>
      <x:c r="E68" s="64" t="str">
        <x:v>BYTE_IDENTICAL</x:v>
      </x:c>
    </x:row>
    <x:row r="69" ht="46" customHeight="1">
      <x:c r="A69" s="65" t="str">
        <x:v>04_Backend_API/openapi.json</x:v>
      </x:c>
      <x:c r="B69" s="65" t="str">
        <x:v>.json</x:v>
      </x:c>
      <x:c r="C69" s="65" t="n">
        <x:v>313322</x:v>
      </x:c>
      <x:c r="D69" s="65" t="str">
        <x:v>3fbd57337e33747f4d26acb2fd642b46532a73a255615a605aa6124725013825</x:v>
      </x:c>
      <x:c r="E69" s="65" t="str">
        <x:v>BYTE_IDENTICAL</x:v>
      </x:c>
    </x:row>
    <x:row r="70" ht="46" customHeight="1">
      <x:c r="A70" s="64" t="str">
        <x:v>04_Backend_API/openapi.yaml</x:v>
      </x:c>
      <x:c r="B70" s="64" t="str">
        <x:v>.yaml</x:v>
      </x:c>
      <x:c r="C70" s="64" t="n">
        <x:v>215983</x:v>
      </x:c>
      <x:c r="D70" s="64" t="str">
        <x:v>b98d0a744253de3b6eb5c950df83f9db3b1912cca73b252a4907c2a21107121e</x:v>
      </x:c>
      <x:c r="E70" s="64" t="str">
        <x:v>BYTE_IDENTICAL</x:v>
      </x:c>
    </x:row>
    <x:row r="71" ht="46" customHeight="1">
      <x:c r="A71" s="65" t="str">
        <x:v>05_Frontend_UI/01_INFORMATION_ARCHITECTURE.md</x:v>
      </x:c>
      <x:c r="B71" s="65" t="str">
        <x:v>.md</x:v>
      </x:c>
      <x:c r="C71" s="65" t="n">
        <x:v>3293</x:v>
      </x:c>
      <x:c r="D71" s="65" t="str">
        <x:v>c5eb9607999423d551c42b0adab489b344c46aa1cd4bf1d0a872900ec17b8739</x:v>
      </x:c>
      <x:c r="E71" s="65" t="str">
        <x:v>BYTE_IDENTICAL</x:v>
      </x:c>
    </x:row>
    <x:row r="72" ht="46" customHeight="1">
      <x:c r="A72" s="64" t="str">
        <x:v>05_Frontend_UI/02_DESIGN_SYSTEM_AND_A11Y.md</x:v>
      </x:c>
      <x:c r="B72" s="64" t="str">
        <x:v>.md</x:v>
      </x:c>
      <x:c r="C72" s="64" t="n">
        <x:v>3214</x:v>
      </x:c>
      <x:c r="D72" s="64" t="str">
        <x:v>47aede81a1c411e47b572ab7b2a7b9acaf89b99a826136327482b2fb88070f10</x:v>
      </x:c>
      <x:c r="E72" s="64" t="str">
        <x:v>BYTE_IDENTICAL</x:v>
      </x:c>
    </x:row>
    <x:row r="73" ht="46" customHeight="1">
      <x:c r="A73" s="65" t="str">
        <x:v>05_Frontend_UI/03_PUBLIC_COPY_AND_SEO_MIGRATION.md</x:v>
      </x:c>
      <x:c r="B73" s="65" t="str">
        <x:v>.md</x:v>
      </x:c>
      <x:c r="C73" s="65" t="n">
        <x:v>3081</x:v>
      </x:c>
      <x:c r="D73" s="65" t="str">
        <x:v>b8aa46ad6b57ff65a9db83342fe228822f2ca7b376241cdf1f1ce02dff72bec7</x:v>
      </x:c>
      <x:c r="E73" s="65" t="str">
        <x:v>BYTE_IDENTICAL</x:v>
      </x:c>
    </x:row>
    <x:row r="74" ht="46" customHeight="1">
      <x:c r="A74" s="64" t="str">
        <x:v>05_Frontend_UI/DESIGN_TOKENS.json</x:v>
      </x:c>
      <x:c r="B74" s="64" t="str">
        <x:v>.json</x:v>
      </x:c>
      <x:c r="C74" s="64" t="n">
        <x:v>815</x:v>
      </x:c>
      <x:c r="D74" s="64" t="str">
        <x:v>d07c335d4bdd22d168d8d766a1d575457c938c087fa13a8ec140d3e5b1fb5eb7</x:v>
      </x:c>
      <x:c r="E74" s="64" t="str">
        <x:v>BYTE_IDENTICAL</x:v>
      </x:c>
    </x:row>
    <x:row r="75" ht="46" customHeight="1">
      <x:c r="A75" s="65" t="str">
        <x:v>05_Frontend_UI/SCREEN_REGISTRY.csv</x:v>
      </x:c>
      <x:c r="B75" s="65" t="str">
        <x:v>.csv</x:v>
      </x:c>
      <x:c r="C75" s="65" t="n">
        <x:v>9089</x:v>
      </x:c>
      <x:c r="D75" s="65" t="str">
        <x:v>73e65f2eaaae37a48ee8f4cd6aae972a7f6601db156f866ebc4e5f8daed2df10</x:v>
      </x:c>
      <x:c r="E75" s="65" t="str">
        <x:v>BYTE_IDENTICAL</x:v>
      </x:c>
    </x:row>
    <x:row r="76" ht="46" customHeight="1">
      <x:c r="A76" s="64" t="str">
        <x:v>05_Frontend_UI/SCREEN_REGISTRY.json</x:v>
      </x:c>
      <x:c r="B76" s="64" t="str">
        <x:v>.json</x:v>
      </x:c>
      <x:c r="C76" s="64" t="n">
        <x:v>18433</x:v>
      </x:c>
      <x:c r="D76" s="64" t="str">
        <x:v>f889ae17392d53c1c1085eb7ad8adaf0ee16b517346fdfc438de4c3bcaa8cf6e</x:v>
      </x:c>
      <x:c r="E76" s="64" t="str">
        <x:v>BYTE_IDENTICAL</x:v>
      </x:c>
    </x:row>
    <x:row r="77" ht="46" customHeight="1">
      <x:c r="A77" s="65" t="str">
        <x:v>06_AI_Bao_cao/01_AI_ORCHESTRATION.md</x:v>
      </x:c>
      <x:c r="B77" s="65" t="str">
        <x:v>.md</x:v>
      </x:c>
      <x:c r="C77" s="65" t="n">
        <x:v>4122</x:v>
      </x:c>
      <x:c r="D77" s="65" t="str">
        <x:v>56a345d3573c25e8cbedf693157b97bdd727dd9ee80143672c89755db9e76e7f</x:v>
      </x:c>
      <x:c r="E77" s="65" t="str">
        <x:v>BYTE_IDENTICAL</x:v>
      </x:c>
    </x:row>
    <x:row r="78" ht="46" customHeight="1">
      <x:c r="A78" s="64" t="str">
        <x:v>06_AI_Bao_cao/02_AUTONOMY_AND_ADMIN_MINIMIZATION.md</x:v>
      </x:c>
      <x:c r="B78" s="64" t="str">
        <x:v>.md</x:v>
      </x:c>
      <x:c r="C78" s="64" t="n">
        <x:v>3801</x:v>
      </x:c>
      <x:c r="D78" s="64" t="str">
        <x:v>3d74d97e716e4cac55362e74a2647999e64b69150546857b9fff3f646674f612</x:v>
      </x:c>
      <x:c r="E78" s="64" t="str">
        <x:v>BYTE_IDENTICAL</x:v>
      </x:c>
    </x:row>
    <x:row r="79" ht="46" customHeight="1">
      <x:c r="A79" s="65" t="str">
        <x:v>06_AI_Bao_cao/03_REPORT_FACTORY.md</x:v>
      </x:c>
      <x:c r="B79" s="65" t="str">
        <x:v>.md</x:v>
      </x:c>
      <x:c r="C79" s="65" t="n">
        <x:v>3708</x:v>
      </x:c>
      <x:c r="D79" s="65" t="str">
        <x:v>9619d462d31315a7472e19e9bce7eb6e4448b2f715bf9f046670064c71cbd9fd</x:v>
      </x:c>
      <x:c r="E79" s="65" t="str">
        <x:v>BYTE_IDENTICAL</x:v>
      </x:c>
    </x:row>
    <x:row r="80" ht="46" customHeight="1">
      <x:c r="A80" s="64" t="str">
        <x:v>06_AI_Bao_cao/04_EDITORIAL_AND_EDUCATIONAL_STANDARD.md</x:v>
      </x:c>
      <x:c r="B80" s="64" t="str">
        <x:v>.md</x:v>
      </x:c>
      <x:c r="C80" s="64" t="n">
        <x:v>3621</x:v>
      </x:c>
      <x:c r="D80" s="64" t="str">
        <x:v>e25834a25e848255e3cae655e1f472403b84888a3893d778fc816d624d19339d</x:v>
      </x:c>
      <x:c r="E80" s="64" t="str">
        <x:v>BYTE_IDENTICAL</x:v>
      </x:c>
    </x:row>
    <x:row r="81" ht="46" customHeight="1">
      <x:c r="A81" s="65" t="str">
        <x:v>06_AI_Bao_cao/05_USER_VALUE_AND_SAMPLE_NARRATIVE.md</x:v>
      </x:c>
      <x:c r="B81" s="65" t="str">
        <x:v>.md</x:v>
      </x:c>
      <x:c r="C81" s="65" t="n">
        <x:v>3728</x:v>
      </x:c>
      <x:c r="D81" s="65" t="str">
        <x:v>819fee6ae311da6ff357d844b516d279237eeee047c0470ac897540eea6aee7b</x:v>
      </x:c>
      <x:c r="E81" s="65" t="str">
        <x:v>BYTE_IDENTICAL</x:v>
      </x:c>
    </x:row>
    <x:row r="82" ht="46" customHeight="1">
      <x:c r="A82" s="64" t="str">
        <x:v>06_AI_Bao_cao/AUTOMATION_WORKFLOWS.json</x:v>
      </x:c>
      <x:c r="B82" s="64" t="str">
        <x:v>.json</x:v>
      </x:c>
      <x:c r="C82" s="64" t="n">
        <x:v>2910</x:v>
      </x:c>
      <x:c r="D82" s="64" t="str">
        <x:v>efa5ba8d6f656cf40e08bacb65e77f2a12e74d112656da9bca79b46bd95aa00b</x:v>
      </x:c>
      <x:c r="E82" s="64" t="str">
        <x:v>BYTE_IDENTICAL</x:v>
      </x:c>
    </x:row>
    <x:row r="83" ht="46" customHeight="1">
      <x:c r="A83" s="65" t="str">
        <x:v>06_AI_Bao_cao/AUTONOMY_POLICY.json</x:v>
      </x:c>
      <x:c r="B83" s="65" t="str">
        <x:v>.json</x:v>
      </x:c>
      <x:c r="C83" s="65" t="n">
        <x:v>2093</x:v>
      </x:c>
      <x:c r="D83" s="65" t="str">
        <x:v>987cdd892f83876b80ce4951a3b33b295e87a1937bb178f7e55b64c54b13257e</x:v>
      </x:c>
      <x:c r="E83" s="65" t="str">
        <x:v>BYTE_IDENTICAL</x:v>
      </x:c>
    </x:row>
    <x:row r="84" ht="46" customHeight="1">
      <x:c r="A84" s="64" t="str">
        <x:v>06_AI_Bao_cao/templates/LEVEL_1.json</x:v>
      </x:c>
      <x:c r="B84" s="64" t="str">
        <x:v>.json</x:v>
      </x:c>
      <x:c r="C84" s="64" t="n">
        <x:v>3639</x:v>
      </x:c>
      <x:c r="D84" s="64" t="str">
        <x:v>aff43ca819925900dbcaf501a81239b6c522115a9abef84649b352a5a3144dd2</x:v>
      </x:c>
      <x:c r="E84" s="64" t="str">
        <x:v>BYTE_IDENTICAL</x:v>
      </x:c>
    </x:row>
    <x:row r="85" ht="46" customHeight="1">
      <x:c r="A85" s="65" t="str">
        <x:v>06_AI_Bao_cao/templates/LEVEL_1.md</x:v>
      </x:c>
      <x:c r="B85" s="65" t="str">
        <x:v>.md</x:v>
      </x:c>
      <x:c r="C85" s="65" t="n">
        <x:v>1915</x:v>
      </x:c>
      <x:c r="D85" s="65" t="str">
        <x:v>1bae9802357962668d05e782b8681e3b93dd83e52eaecae1138b5ae5372758df</x:v>
      </x:c>
      <x:c r="E85" s="65" t="str">
        <x:v>BYTE_IDENTICAL</x:v>
      </x:c>
    </x:row>
    <x:row r="86" ht="46" customHeight="1">
      <x:c r="A86" s="64" t="str">
        <x:v>06_AI_Bao_cao/templates/LEVEL_2.json</x:v>
      </x:c>
      <x:c r="B86" s="64" t="str">
        <x:v>.json</x:v>
      </x:c>
      <x:c r="C86" s="64" t="n">
        <x:v>3550</x:v>
      </x:c>
      <x:c r="D86" s="64" t="str">
        <x:v>77b2939a170f971960552649f5d18164c796721ebc874f84bdd33c6323f2cb6a</x:v>
      </x:c>
      <x:c r="E86" s="64" t="str">
        <x:v>BYTE_IDENTICAL</x:v>
      </x:c>
    </x:row>
    <x:row r="87" ht="46" customHeight="1">
      <x:c r="A87" s="65" t="str">
        <x:v>06_AI_Bao_cao/templates/LEVEL_2.md</x:v>
      </x:c>
      <x:c r="B87" s="65" t="str">
        <x:v>.md</x:v>
      </x:c>
      <x:c r="C87" s="65" t="n">
        <x:v>1838</x:v>
      </x:c>
      <x:c r="D87" s="65" t="str">
        <x:v>c82bfc0cf80dbe11d56c14875b0e19af434abef3cf7480a338257c1b3479470b</x:v>
      </x:c>
      <x:c r="E87" s="65" t="str">
        <x:v>BYTE_IDENTICAL</x:v>
      </x:c>
    </x:row>
    <x:row r="88" ht="46" customHeight="1">
      <x:c r="A88" s="64" t="str">
        <x:v>06_AI_Bao_cao/templates/LEVEL_3.json</x:v>
      </x:c>
      <x:c r="B88" s="64" t="str">
        <x:v>.json</x:v>
      </x:c>
      <x:c r="C88" s="64" t="n">
        <x:v>3536</x:v>
      </x:c>
      <x:c r="D88" s="64" t="str">
        <x:v>a15b2af30f5f5cdd624815a51d66cab8d5ff3f29b353256163b882424ef70400</x:v>
      </x:c>
      <x:c r="E88" s="64" t="str">
        <x:v>BYTE_IDENTICAL</x:v>
      </x:c>
    </x:row>
    <x:row r="89" ht="46" customHeight="1">
      <x:c r="A89" s="65" t="str">
        <x:v>06_AI_Bao_cao/templates/LEVEL_3.md</x:v>
      </x:c>
      <x:c r="B89" s="65" t="str">
        <x:v>.md</x:v>
      </x:c>
      <x:c r="C89" s="65" t="n">
        <x:v>1816</x:v>
      </x:c>
      <x:c r="D89" s="65" t="str">
        <x:v>43412673bd79b8b9d349a27c9d1e6f0265d4963fbd7faab95d1067ab0f5db454</x:v>
      </x:c>
      <x:c r="E89" s="65" t="str">
        <x:v>BYTE_IDENTICAL</x:v>
      </x:c>
    </x:row>
    <x:row r="90" ht="46" customHeight="1">
      <x:c r="A90" s="64" t="str">
        <x:v>06_AI_Bao_cao/templates/LEVEL_4.json</x:v>
      </x:c>
      <x:c r="B90" s="64" t="str">
        <x:v>.json</x:v>
      </x:c>
      <x:c r="C90" s="64" t="n">
        <x:v>3551</x:v>
      </x:c>
      <x:c r="D90" s="64" t="str">
        <x:v>2982f7aee7866ad7188fc4ed0b2b274129370e7655d17ec6097806b7492a2eb0</x:v>
      </x:c>
      <x:c r="E90" s="64" t="str">
        <x:v>BYTE_IDENTICAL</x:v>
      </x:c>
    </x:row>
    <x:row r="91" ht="46" customHeight="1">
      <x:c r="A91" s="65" t="str">
        <x:v>06_AI_Bao_cao/templates/LEVEL_4.md</x:v>
      </x:c>
      <x:c r="B91" s="65" t="str">
        <x:v>.md</x:v>
      </x:c>
      <x:c r="C91" s="65" t="n">
        <x:v>1847</x:v>
      </x:c>
      <x:c r="D91" s="65" t="str">
        <x:v>839746e08a1b1b02717adf3a9596d927ed4bf58075daba76306c380965354dab</x:v>
      </x:c>
      <x:c r="E91" s="65" t="str">
        <x:v>BYTE_IDENTICAL</x:v>
      </x:c>
    </x:row>
    <x:row r="92" ht="46" customHeight="1">
      <x:c r="A92" s="64" t="str">
        <x:v>06_AI_Bao_cao/templates/LEVEL_5.json</x:v>
      </x:c>
      <x:c r="B92" s="64" t="str">
        <x:v>.json</x:v>
      </x:c>
      <x:c r="C92" s="64" t="n">
        <x:v>3542</x:v>
      </x:c>
      <x:c r="D92" s="64" t="str">
        <x:v>08dfd52b24936eb39892969be89e0c18a767444ded3d5f3d1599c75fd286aad9</x:v>
      </x:c>
      <x:c r="E92" s="64" t="str">
        <x:v>BYTE_IDENTICAL</x:v>
      </x:c>
    </x:row>
    <x:row r="93" ht="46" customHeight="1">
      <x:c r="A93" s="65" t="str">
        <x:v>06_AI_Bao_cao/templates/LEVEL_5.md</x:v>
      </x:c>
      <x:c r="B93" s="65" t="str">
        <x:v>.md</x:v>
      </x:c>
      <x:c r="C93" s="65" t="n">
        <x:v>1833</x:v>
      </x:c>
      <x:c r="D93" s="65" t="str">
        <x:v>4e90968c01cd6c651aa3e8bcef722391236ec3a32d9f29788db8e3bfcc4aefaa</x:v>
      </x:c>
      <x:c r="E93" s="65" t="str">
        <x:v>BYTE_IDENTICAL</x:v>
      </x:c>
    </x:row>
    <x:row r="94" ht="46" customHeight="1">
      <x:c r="A94" s="64" t="str">
        <x:v>06_AI_Bao_cao/templates/LEVEL_6.json</x:v>
      </x:c>
      <x:c r="B94" s="64" t="str">
        <x:v>.json</x:v>
      </x:c>
      <x:c r="C94" s="64" t="n">
        <x:v>3538</x:v>
      </x:c>
      <x:c r="D94" s="64" t="str">
        <x:v>8c55325dd66df836a9cdfbdab2e83c739bfabdb999112f1bf3a8cbd608c966c1</x:v>
      </x:c>
      <x:c r="E94" s="64" t="str">
        <x:v>BYTE_IDENTICAL</x:v>
      </x:c>
    </x:row>
    <x:row r="95" ht="46" customHeight="1">
      <x:c r="A95" s="65" t="str">
        <x:v>06_AI_Bao_cao/templates/LEVEL_6.md</x:v>
      </x:c>
      <x:c r="B95" s="65" t="str">
        <x:v>.md</x:v>
      </x:c>
      <x:c r="C95" s="65" t="n">
        <x:v>1815</x:v>
      </x:c>
      <x:c r="D95" s="65" t="str">
        <x:v>edd013293f1aba4f1c469747ead1d24f1a215921b5bb7506b8da854610fb0430</x:v>
      </x:c>
      <x:c r="E95" s="65" t="str">
        <x:v>BYTE_IDENTICAL</x:v>
      </x:c>
    </x:row>
    <x:row r="96" ht="46" customHeight="1">
      <x:c r="A96" s="64" t="str">
        <x:v>06_AI_Bao_cao/templates/LEVEL_7.json</x:v>
      </x:c>
      <x:c r="B96" s="64" t="str">
        <x:v>.json</x:v>
      </x:c>
      <x:c r="C96" s="64" t="n">
        <x:v>3549</x:v>
      </x:c>
      <x:c r="D96" s="64" t="str">
        <x:v>230ce68acbb772f3f0c588ac706221ac83f9c494e007635eb6a485181ec3d5d8</x:v>
      </x:c>
      <x:c r="E96" s="64" t="str">
        <x:v>BYTE_IDENTICAL</x:v>
      </x:c>
    </x:row>
    <x:row r="97" ht="46" customHeight="1">
      <x:c r="A97" s="65" t="str">
        <x:v>06_AI_Bao_cao/templates/LEVEL_7.md</x:v>
      </x:c>
      <x:c r="B97" s="65" t="str">
        <x:v>.md</x:v>
      </x:c>
      <x:c r="C97" s="65" t="n">
        <x:v>1841</x:v>
      </x:c>
      <x:c r="D97" s="65" t="str">
        <x:v>b03ab45aae7d6d11da6f34fdf0a3509d4855679e2edfd9c2fc5c21f771515b92</x:v>
      </x:c>
      <x:c r="E97" s="65" t="str">
        <x:v>BYTE_IDENTICAL</x:v>
      </x:c>
    </x:row>
    <x:row r="98" ht="46" customHeight="1">
      <x:c r="A98" s="64" t="str">
        <x:v>06_AI_Bao_cao/templates/LEVEL_8.json</x:v>
      </x:c>
      <x:c r="B98" s="64" t="str">
        <x:v>.json</x:v>
      </x:c>
      <x:c r="C98" s="64" t="n">
        <x:v>3517</x:v>
      </x:c>
      <x:c r="D98" s="64" t="str">
        <x:v>7d5c1b5ee00920e34d01b83ae4a0772a5f54eda535b89aedcc737a0be1ad9d11</x:v>
      </x:c>
      <x:c r="E98" s="64" t="str">
        <x:v>BYTE_IDENTICAL</x:v>
      </x:c>
    </x:row>
    <x:row r="99" ht="46" customHeight="1">
      <x:c r="A99" s="65" t="str">
        <x:v>06_AI_Bao_cao/templates/LEVEL_8.md</x:v>
      </x:c>
      <x:c r="B99" s="65" t="str">
        <x:v>.md</x:v>
      </x:c>
      <x:c r="C99" s="65" t="n">
        <x:v>1808</x:v>
      </x:c>
      <x:c r="D99" s="65" t="str">
        <x:v>88f95b9262bafb48dc205c417c52a38a592d2c2591a56ada239a134278e63c39</x:v>
      </x:c>
      <x:c r="E99" s="65" t="str">
        <x:v>BYTE_IDENTICAL</x:v>
      </x:c>
    </x:row>
    <x:row r="100" ht="46" customHeight="1">
      <x:c r="A100" s="64" t="str">
        <x:v>06_AI_Bao_cao/templates/LEVEL_9.json</x:v>
      </x:c>
      <x:c r="B100" s="64" t="str">
        <x:v>.json</x:v>
      </x:c>
      <x:c r="C100" s="64" t="n">
        <x:v>3538</x:v>
      </x:c>
      <x:c r="D100" s="64" t="str">
        <x:v>ccfd55f850f65d95a45c1a5a22fde30346b9248dc28fa97577d0cb617d2a975a</x:v>
      </x:c>
      <x:c r="E100" s="64" t="str">
        <x:v>BYTE_IDENTICAL</x:v>
      </x:c>
    </x:row>
    <x:row r="101" ht="46" customHeight="1">
      <x:c r="A101" s="65" t="str">
        <x:v>06_AI_Bao_cao/templates/LEVEL_9.md</x:v>
      </x:c>
      <x:c r="B101" s="65" t="str">
        <x:v>.md</x:v>
      </x:c>
      <x:c r="C101" s="65" t="n">
        <x:v>1831</x:v>
      </x:c>
      <x:c r="D101" s="65" t="str">
        <x:v>46d6264bafc37b6bbbc0537e7534698170dba257b4b4a392f2c5fca1434d1a92</x:v>
      </x:c>
      <x:c r="E101" s="65" t="str">
        <x:v>BYTE_IDENTICAL</x:v>
      </x:c>
    </x:row>
    <x:row r="102" ht="46" customHeight="1">
      <x:c r="A102" s="64" t="str">
        <x:v>07_Bao_mat_Van_hanh/01_P0_CONTAINMENT.md</x:v>
      </x:c>
      <x:c r="B102" s="64" t="str">
        <x:v>.md</x:v>
      </x:c>
      <x:c r="C102" s="64" t="n">
        <x:v>3642</x:v>
      </x:c>
      <x:c r="D102" s="64" t="str">
        <x:v>6bf83b9533ee51afdbd5e4cda510182d2d376fe56b6927d6657bdffba07355d9</x:v>
      </x:c>
      <x:c r="E102" s="64" t="str">
        <x:v>BYTE_IDENTICAL</x:v>
      </x:c>
    </x:row>
    <x:row r="103" ht="46" customHeight="1">
      <x:c r="A103" s="65" t="str">
        <x:v>07_Bao_mat_Van_hanh/02_PRIVACY_AND_DELETION.md</x:v>
      </x:c>
      <x:c r="B103" s="65" t="str">
        <x:v>.md</x:v>
      </x:c>
      <x:c r="C103" s="65" t="n">
        <x:v>3423</x:v>
      </x:c>
      <x:c r="D103" s="65" t="str">
        <x:v>8ddd19adb61333466a5b1922d096ff889ae2ac9b454075fbf67961834b90c5da</x:v>
      </x:c>
      <x:c r="E103" s="65" t="str">
        <x:v>BYTE_IDENTICAL</x:v>
      </x:c>
    </x:row>
    <x:row r="104" ht="46" customHeight="1">
      <x:c r="A104" s="64" t="str">
        <x:v>07_Bao_mat_Van_hanh/03_SECURITY_THREAT_MODEL.md</x:v>
      </x:c>
      <x:c r="B104" s="64" t="str">
        <x:v>.md</x:v>
      </x:c>
      <x:c r="C104" s="64" t="n">
        <x:v>3117</x:v>
      </x:c>
      <x:c r="D104" s="64" t="str">
        <x:v>01a6129a74a55a1a14c2c90591ba1c0ecd721bcc18d03d3b4b974f2943c81701</x:v>
      </x:c>
      <x:c r="E104" s="64" t="str">
        <x:v>BYTE_IDENTICAL</x:v>
      </x:c>
    </x:row>
    <x:row r="105" ht="46" customHeight="1">
      <x:c r="A105" s="65" t="str">
        <x:v>07_Bao_mat_Van_hanh/04_OPERATIONS_SRE_AND_COST.md</x:v>
      </x:c>
      <x:c r="B105" s="65" t="str">
        <x:v>.md</x:v>
      </x:c>
      <x:c r="C105" s="65" t="n">
        <x:v>3359</x:v>
      </x:c>
      <x:c r="D105" s="65" t="str">
        <x:v>bb86a903164a9bcc3746ea0347500d09dffa466a9b96a66435c7afa010d40f0b</x:v>
      </x:c>
      <x:c r="E105" s="65" t="str">
        <x:v>BYTE_IDENTICAL</x:v>
      </x:c>
    </x:row>
    <x:row r="106" ht="46" customHeight="1">
      <x:c r="A106" s="64" t="str">
        <x:v>07_Bao_mat_Van_hanh/05_VIETNAM_LEGAL_READINESS.md</x:v>
      </x:c>
      <x:c r="B106" s="64" t="str">
        <x:v>.md</x:v>
      </x:c>
      <x:c r="C106" s="64" t="n">
        <x:v>3418</x:v>
      </x:c>
      <x:c r="D106" s="64" t="str">
        <x:v>5a5d76267bfbd4f5bdcbaba40fac9d6332e75100485b354f8547d0b5637d0584</x:v>
      </x:c>
      <x:c r="E106" s="64" t="str">
        <x:v>BYTE_IDENTICAL</x:v>
      </x:c>
    </x:row>
    <x:row r="107" ht="46" customHeight="1">
      <x:c r="A107" s="65" t="str">
        <x:v>07_Bao_mat_Van_hanh/06_RELEASE_GATES.md</x:v>
      </x:c>
      <x:c r="B107" s="65" t="str">
        <x:v>.md</x:v>
      </x:c>
      <x:c r="C107" s="65" t="n">
        <x:v>3040</x:v>
      </x:c>
      <x:c r="D107" s="65" t="str">
        <x:v>4e8177162ee36035b60c9f424501734eb8bccb73aba92172abcd5e74a15347a9</x:v>
      </x:c>
      <x:c r="E107" s="65" t="str">
        <x:v>BYTE_IDENTICAL</x:v>
      </x:c>
    </x:row>
    <x:row r="108" ht="46" customHeight="1">
      <x:c r="A108" s="64" t="str">
        <x:v>07_Bao_mat_Van_hanh/CI_RELEASE_POLICY.md</x:v>
      </x:c>
      <x:c r="B108" s="64" t="str">
        <x:v>.md</x:v>
      </x:c>
      <x:c r="C108" s="64" t="n">
        <x:v>1075</x:v>
      </x:c>
      <x:c r="D108" s="64" t="str">
        <x:v>75ef8e61fb58a33f3e731c16a3d09c34ca272da51dd3f2382558c0cb598d9d2e</x:v>
      </x:c>
      <x:c r="E108" s="64" t="str">
        <x:v>BYTE_IDENTICAL</x:v>
      </x:c>
    </x:row>
    <x:row r="109" ht="46" customHeight="1">
      <x:c r="A109" s="65" t="str">
        <x:v>07_Bao_mat_Van_hanh/P0_PACKET/00_SCOPE_AND_AUTHORITY.md</x:v>
      </x:c>
      <x:c r="B109" s="65" t="str">
        <x:v>.md</x:v>
      </x:c>
      <x:c r="C109" s="65" t="n">
        <x:v>2051</x:v>
      </x:c>
      <x:c r="D109" s="65" t="str">
        <x:v>847a0c2672253c16cd780ac2823781bc557317964caa1d2b1e463b688988a619</x:v>
      </x:c>
      <x:c r="E109" s="65" t="str">
        <x:v>BYTE_IDENTICAL</x:v>
      </x:c>
    </x:row>
    <x:row r="110" ht="46" customHeight="1">
      <x:c r="A110" s="64" t="str">
        <x:v>07_Bao_mat_Van_hanh/P0_PACKET/01_EVIDENCE_BASELINE.json</x:v>
      </x:c>
      <x:c r="B110" s="64" t="str">
        <x:v>.json</x:v>
      </x:c>
      <x:c r="C110" s="64" t="n">
        <x:v>4746</x:v>
      </x:c>
      <x:c r="D110" s="64" t="str">
        <x:v>6e96a2a3fada4d8e0eea612a19e301a707e52b7da92c86f8b26adb34256a736a</x:v>
      </x:c>
      <x:c r="E110" s="64" t="str">
        <x:v>BYTE_IDENTICAL</x:v>
      </x:c>
    </x:row>
    <x:row r="111" ht="46" customHeight="1">
      <x:c r="A111" s="65" t="str">
        <x:v>07_Bao_mat_Van_hanh/P0_PACKET/02_SURFACE_INVENTORY.csv</x:v>
      </x:c>
      <x:c r="B111" s="65" t="str">
        <x:v>.csv</x:v>
      </x:c>
      <x:c r="C111" s="65" t="n">
        <x:v>1557</x:v>
      </x:c>
      <x:c r="D111" s="65" t="str">
        <x:v>8edff3cbdf8164179c6cf812ad948c51043c3b09bd32022f2445ad3bd84c052f</x:v>
      </x:c>
      <x:c r="E111" s="65" t="str">
        <x:v>BYTE_IDENTICAL</x:v>
      </x:c>
    </x:row>
    <x:row r="112" ht="46" customHeight="1">
      <x:c r="A112" s="64" t="str">
        <x:v>07_Bao_mat_Van_hanh/P0_PACKET/03_PATCH_PLAN.csv</x:v>
      </x:c>
      <x:c r="B112" s="64" t="str">
        <x:v>.csv</x:v>
      </x:c>
      <x:c r="C112" s="64" t="n">
        <x:v>3323</x:v>
      </x:c>
      <x:c r="D112" s="64" t="str">
        <x:v>dadfca301050bd0a6bff3bd9b92b3e8f4a3af78543e611ea5235ef5c2805b988</x:v>
      </x:c>
      <x:c r="E112" s="64" t="str">
        <x:v>BYTE_IDENTICAL</x:v>
      </x:c>
    </x:row>
    <x:row r="113" ht="46" customHeight="1">
      <x:c r="A113" s="65" t="str">
        <x:v>07_Bao_mat_Van_hanh/P0_PACKET/04_NEGATIVE_TEST_MATRIX.csv</x:v>
      </x:c>
      <x:c r="B113" s="65" t="str">
        <x:v>.csv</x:v>
      </x:c>
      <x:c r="C113" s="65" t="n">
        <x:v>3103</x:v>
      </x:c>
      <x:c r="D113" s="65" t="str">
        <x:v>8f0f8daf5f4b530c18b64b831908458eea14016646a6ff2cd8f187058ce50366</x:v>
      </x:c>
      <x:c r="E113" s="65" t="str">
        <x:v>BYTE_IDENTICAL</x:v>
      </x:c>
    </x:row>
    <x:row r="114" ht="46" customHeight="1">
      <x:c r="A114" s="64" t="str">
        <x:v>07_Bao_mat_Van_hanh/P0_PACKET/05_DEPLOYMENT_AND_ROLLBACK.md</x:v>
      </x:c>
      <x:c r="B114" s="64" t="str">
        <x:v>.md</x:v>
      </x:c>
      <x:c r="C114" s="64" t="n">
        <x:v>1680</x:v>
      </x:c>
      <x:c r="D114" s="64" t="str">
        <x:v>6edc53df1463e302027450f3eece2c03f35a20a8fe363ca66aa8b8ebfd1a6bee</x:v>
      </x:c>
      <x:c r="E114" s="64" t="str">
        <x:v>BYTE_IDENTICAL</x:v>
      </x:c>
    </x:row>
    <x:row r="115" ht="46" customHeight="1">
      <x:c r="A115" s="65" t="str">
        <x:v>07_Bao_mat_Van_hanh/P0_PACKET/06_LEGACY_AND_INCIDENT_TRIAGE.md</x:v>
      </x:c>
      <x:c r="B115" s="65" t="str">
        <x:v>.md</x:v>
      </x:c>
      <x:c r="C115" s="65" t="n">
        <x:v>1839</x:v>
      </x:c>
      <x:c r="D115" s="65" t="str">
        <x:v>afc2fe222c8fe85d3f4085800e80f38e420535e2de13a115709fb0863d715e48</x:v>
      </x:c>
      <x:c r="E115" s="65" t="str">
        <x:v>BYTE_IDENTICAL</x:v>
      </x:c>
    </x:row>
    <x:row r="116" ht="46" customHeight="1">
      <x:c r="A116" s="64" t="str">
        <x:v>07_Bao_mat_Van_hanh/P0_PACKET/07_EXIT_REVIEW.json</x:v>
      </x:c>
      <x:c r="B116" s="64" t="str">
        <x:v>.json</x:v>
      </x:c>
      <x:c r="C116" s="64" t="n">
        <x:v>877</x:v>
      </x:c>
      <x:c r="D116" s="64" t="str">
        <x:v>06d6bfe2e57fbcdbe124f2b24274316c48adc22c6974b9752f0261690d85f630</x:v>
      </x:c>
      <x:c r="E116" s="64" t="str">
        <x:v>BYTE_IDENTICAL</x:v>
      </x:c>
    </x:row>
    <x:row r="117" ht="46" customHeight="1">
      <x:c r="A117" s="65" t="str">
        <x:v>07_Bao_mat_Van_hanh/RETENTION_SCHEDULE_PROPOSED.json</x:v>
      </x:c>
      <x:c r="B117" s="65" t="str">
        <x:v>.json</x:v>
      </x:c>
      <x:c r="C117" s="65" t="n">
        <x:v>1780</x:v>
      </x:c>
      <x:c r="D117" s="65" t="str">
        <x:v>befa643e00eabf4b8b4befd992419ca57173a1ed632a6a34ce7612cef39d50b1</x:v>
      </x:c>
      <x:c r="E117" s="65" t="str">
        <x:v>BYTE_IDENTICAL</x:v>
      </x:c>
    </x:row>
    <x:row r="118" ht="46" customHeight="1">
      <x:c r="A118" s="64" t="str">
        <x:v>08_Thuc_thi_Kinh_doanh/01_INTERNATIONAL_AND_FRANCHISE.md</x:v>
      </x:c>
      <x:c r="B118" s="64" t="str">
        <x:v>.md</x:v>
      </x:c>
      <x:c r="C118" s="64" t="n">
        <x:v>4375</x:v>
      </x:c>
      <x:c r="D118" s="64" t="str">
        <x:v>cebe3f5d851276f8a4df9dd6fe9b29cbb63f8b1d0d9976d2e9bb8643fb91b62a</x:v>
      </x:c>
      <x:c r="E118" s="64" t="str">
        <x:v>BYTE_IDENTICAL</x:v>
      </x:c>
    </x:row>
    <x:row r="119" ht="46" customHeight="1">
      <x:c r="A119" s="65" t="str">
        <x:v>08_Thuc_thi_Kinh_doanh/02_COMMERCIAL_MODEL_AND_UNIT_ECONOMICS.md</x:v>
      </x:c>
      <x:c r="B119" s="65" t="str">
        <x:v>.md</x:v>
      </x:c>
      <x:c r="C119" s="65" t="n">
        <x:v>3333</x:v>
      </x:c>
      <x:c r="D119" s="65" t="str">
        <x:v>cc3bb1d2a278770968134dc8957cfc9a060b754379181b413e6328b801b36e04</x:v>
      </x:c>
      <x:c r="E119" s="65" t="str">
        <x:v>BYTE_IDENTICAL</x:v>
      </x:c>
    </x:row>
    <x:row r="120" ht="46" customHeight="1">
      <x:c r="A120" s="64" t="str">
        <x:v>08_Thuc_thi_Kinh_doanh/03_ROADMAP_AND_RACI.md</x:v>
      </x:c>
      <x:c r="B120" s="64" t="str">
        <x:v>.md</x:v>
      </x:c>
      <x:c r="C120" s="64" t="n">
        <x:v>3322</x:v>
      </x:c>
      <x:c r="D120" s="64" t="str">
        <x:v>f57baf61fbdd860d8a40d80bec8e3232d84a8bc3d40454d4c11935923d1ac313</x:v>
      </x:c>
      <x:c r="E120" s="64" t="str">
        <x:v>BYTE_IDENTICAL</x:v>
      </x:c>
    </x:row>
    <x:row r="121" ht="46" customHeight="1">
      <x:c r="A121" s="65" t="str">
        <x:v>08_Thuc_thi_Kinh_doanh/04_FOUNDER_DECISIONS.md</x:v>
      </x:c>
      <x:c r="B121" s="65" t="str">
        <x:v>.md</x:v>
      </x:c>
      <x:c r="C121" s="65" t="n">
        <x:v>2816</x:v>
      </x:c>
      <x:c r="D121" s="65" t="str">
        <x:v>97b5d81fde84e939461518576ac5cfae631a12c1b0c06d40550253ccf6bbb775</x:v>
      </x:c>
      <x:c r="E121" s="65" t="str">
        <x:v>BYTE_IDENTICAL</x:v>
      </x:c>
    </x:row>
    <x:row r="122" ht="46" customHeight="1">
      <x:c r="A122" s="64" t="str">
        <x:v>08_Thuc_thi_Kinh_doanh/05_AI_DEV_HANDOVER_PROTOCOL.md</x:v>
      </x:c>
      <x:c r="B122" s="64" t="str">
        <x:v>.md</x:v>
      </x:c>
      <x:c r="C122" s="64" t="n">
        <x:v>2963</x:v>
      </x:c>
      <x:c r="D122" s="64" t="str">
        <x:v>9a6294da270816d98f8e9c787af2814a8deefc263bca209552009dcfea2fdeb3</x:v>
      </x:c>
      <x:c r="E122" s="64" t="str">
        <x:v>BYTE_IDENTICAL</x:v>
      </x:c>
    </x:row>
    <x:row r="123" ht="46" customHeight="1">
      <x:c r="A123" s="65" t="str">
        <x:v>08_Thuc_thi_Kinh_doanh/COUNTRY_PACKS.json</x:v>
      </x:c>
      <x:c r="B123" s="65" t="str">
        <x:v>.json</x:v>
      </x:c>
      <x:c r="C123" s="65" t="n">
        <x:v>2872</x:v>
      </x:c>
      <x:c r="D123" s="65" t="str">
        <x:v>a3225049c50246f5e446f0e8960cdea3a04bbe6d7e325c9d46606145b5feb766</x:v>
      </x:c>
      <x:c r="E123" s="65" t="str">
        <x:v>BYTE_IDENTICAL</x:v>
      </x:c>
    </x:row>
    <x:row r="124" ht="46" customHeight="1">
      <x:c r="A124" s="64" t="str">
        <x:v>08_Thuc_thi_Kinh_doanh/DECISION_REGISTER.csv</x:v>
      </x:c>
      <x:c r="B124" s="64" t="str">
        <x:v>.csv</x:v>
      </x:c>
      <x:c r="C124" s="64" t="n">
        <x:v>3860</x:v>
      </x:c>
      <x:c r="D124" s="64" t="str">
        <x:v>d009db808f785adb43d089f05318f92f47865713b350d5320838384e6566cb9e</x:v>
      </x:c>
      <x:c r="E124" s="64" t="str">
        <x:v>BYTE_IDENTICAL</x:v>
      </x:c>
    </x:row>
    <x:row r="125" ht="46" customHeight="1">
      <x:c r="A125" s="65" t="str">
        <x:v>08_Thuc_thi_Kinh_doanh/DECISION_REGISTER.json</x:v>
      </x:c>
      <x:c r="B125" s="65" t="str">
        <x:v>.json</x:v>
      </x:c>
      <x:c r="C125" s="65" t="n">
        <x:v>7027</x:v>
      </x:c>
      <x:c r="D125" s="65" t="str">
        <x:v>05611a2ef112466a90b365a35900b1f20a51dcd10e808c60c88a22868808d2a4</x:v>
      </x:c>
      <x:c r="E125" s="65" t="str">
        <x:v>BYTE_IDENTICAL</x:v>
      </x:c>
    </x:row>
    <x:row r="126" ht="46" customHeight="1">
      <x:c r="A126" s="64" t="str">
        <x:v>08_Thuc_thi_Kinh_doanh/EXECUTION_BACKLOG.csv</x:v>
      </x:c>
      <x:c r="B126" s="64" t="str">
        <x:v>.csv</x:v>
      </x:c>
      <x:c r="C126" s="64" t="n">
        <x:v>41818</x:v>
      </x:c>
      <x:c r="D126" s="64" t="str">
        <x:v>ae96706951d6bd3e11029a8270313d3528dce4a356478e864b918e67686fc59d</x:v>
      </x:c>
      <x:c r="E126" s="64" t="str">
        <x:v>BYTE_IDENTICAL</x:v>
      </x:c>
    </x:row>
    <x:row r="127" ht="46" customHeight="1">
      <x:c r="A127" s="65" t="str">
        <x:v>08_Thuc_thi_Kinh_doanh/EXECUTION_BACKLOG.json</x:v>
      </x:c>
      <x:c r="B127" s="65" t="str">
        <x:v>.json</x:v>
      </x:c>
      <x:c r="C127" s="65" t="n">
        <x:v>90286</x:v>
      </x:c>
      <x:c r="D127" s="65" t="str">
        <x:v>0c9937c8e6e1e30c1b17f18a18aa5a50164b33f6484b9a2db6f7ad9dbbe87386</x:v>
      </x:c>
      <x:c r="E127" s="65" t="str">
        <x:v>BYTE_IDENTICAL</x:v>
      </x:c>
    </x:row>
    <x:row r="128" ht="46" customHeight="1">
      <x:c r="A128" s="64" t="str">
        <x:v>08_Thuc_thi_Kinh_doanh/RELEASE_GATES.csv</x:v>
      </x:c>
      <x:c r="B128" s="64" t="str">
        <x:v>.csv</x:v>
      </x:c>
      <x:c r="C128" s="64" t="n">
        <x:v>1388</x:v>
      </x:c>
      <x:c r="D128" s="64" t="str">
        <x:v>3e3edc8ded587937235b40ed6a40fa18f3d7aeb6acdb836ca7212869281c539a</x:v>
      </x:c>
      <x:c r="E128" s="64" t="str">
        <x:v>BYTE_IDENTICAL</x:v>
      </x:c>
    </x:row>
    <x:row r="129" ht="46" customHeight="1">
      <x:c r="A129" s="65" t="str">
        <x:v>08_Thuc_thi_Kinh_doanh/RELEASE_GATES.json</x:v>
      </x:c>
      <x:c r="B129" s="65" t="str">
        <x:v>.json</x:v>
      </x:c>
      <x:c r="C129" s="65" t="n">
        <x:v>3506</x:v>
      </x:c>
      <x:c r="D129" s="65" t="str">
        <x:v>573558e993f91664e27ed70449f08ecefced7c43c6390bd4830f237522db6681</x:v>
      </x:c>
      <x:c r="E129" s="65" t="str">
        <x:v>BYTE_IDENTICAL</x:v>
      </x:c>
    </x:row>
    <x:row r="130" ht="46" customHeight="1">
      <x:c r="A130" s="64" t="str">
        <x:v>09_Doi_chieu_Bang_chung/01_CURRENT_STATE_AUDIT.md</x:v>
      </x:c>
      <x:c r="B130" s="64" t="str">
        <x:v>.md</x:v>
      </x:c>
      <x:c r="C130" s="64" t="n">
        <x:v>3444</x:v>
      </x:c>
      <x:c r="D130" s="64" t="str">
        <x:v>706618934753f8967269b8353bd413b3682ba0182dcff9abc5964e4096c309aa</x:v>
      </x:c>
      <x:c r="E130" s="64" t="str">
        <x:v>BYTE_IDENTICAL</x:v>
      </x:c>
    </x:row>
    <x:row r="131" ht="46" customHeight="1">
      <x:c r="A131" s="65" t="str">
        <x:v>09_Doi_chieu_Bang_chung/BASELINE_LOCK.json</x:v>
      </x:c>
      <x:c r="B131" s="65" t="str">
        <x:v>.json</x:v>
      </x:c>
      <x:c r="C131" s="65" t="n">
        <x:v>469</x:v>
      </x:c>
      <x:c r="D131" s="65" t="str">
        <x:v>9522da263e060dfa29c032eb5aba9851fe6039fb1b3cd35bc3ad4fa4a2dd466f</x:v>
      </x:c>
      <x:c r="E131" s="65" t="str">
        <x:v>BYTE_IDENTICAL</x:v>
      </x:c>
    </x:row>
    <x:row r="132" ht="46" customHeight="1">
      <x:c r="A132" s="64" t="str">
        <x:v>09_Doi_chieu_Bang_chung/EVIDENCE_LEDGER.csv</x:v>
      </x:c>
      <x:c r="B132" s="64" t="str">
        <x:v>.csv</x:v>
      </x:c>
      <x:c r="C132" s="64" t="n">
        <x:v>2308</x:v>
      </x:c>
      <x:c r="D132" s="64" t="str">
        <x:v>bd4276e9561641ebb33aaaee8d23422f35c744ea2612fbf38b9fa489b82b6cdf</x:v>
      </x:c>
      <x:c r="E132" s="64" t="str">
        <x:v>BYTE_IDENTICAL</x:v>
      </x:c>
    </x:row>
    <x:row r="133" ht="46" customHeight="1">
      <x:c r="A133" s="65" t="str">
        <x:v>09_Doi_chieu_Bang_chung/EVIDENCE_LEDGER.json</x:v>
      </x:c>
      <x:c r="B133" s="65" t="str">
        <x:v>.json</x:v>
      </x:c>
      <x:c r="C133" s="65" t="n">
        <x:v>4228</x:v>
      </x:c>
      <x:c r="D133" s="65" t="str">
        <x:v>6ee8093a7156c98fceaf72f6e39061e726a8bd6e7cf64045108147cf2a51affc</x:v>
      </x:c>
      <x:c r="E133" s="65" t="str">
        <x:v>BYTE_IDENTICAL</x:v>
      </x:c>
    </x:row>
    <x:row r="134" ht="46" customHeight="1">
      <x:c r="A134" s="64" t="str">
        <x:v>09_Doi_chieu_Bang_chung/SOURCE_REGISTRY.csv</x:v>
      </x:c>
      <x:c r="B134" s="64" t="str">
        <x:v>.csv</x:v>
      </x:c>
      <x:c r="C134" s="64" t="n">
        <x:v>10809</x:v>
      </x:c>
      <x:c r="D134" s="64" t="str">
        <x:v>5d3cb3de8fe8aa1f081f01d74ac506202f19c208048cf3d46ff31f96d8fa7fde</x:v>
      </x:c>
      <x:c r="E134" s="64" t="str">
        <x:v>BYTE_IDENTICAL</x:v>
      </x:c>
    </x:row>
    <x:row r="135" ht="46" customHeight="1">
      <x:c r="A135" s="65" t="str">
        <x:v>09_Doi_chieu_Bang_chung/SOURCE_REGISTRY.json</x:v>
      </x:c>
      <x:c r="B135" s="65" t="str">
        <x:v>.json</x:v>
      </x:c>
      <x:c r="C135" s="65" t="n">
        <x:v>17733</x:v>
      </x:c>
      <x:c r="D135" s="65" t="str">
        <x:v>59760243821bfbfb84fda22729621e04118d1d8109077d9454afb83c96838c4a</x:v>
      </x:c>
      <x:c r="E135" s="65" t="str">
        <x:v>BYTE_IDENTICAL</x:v>
      </x:c>
    </x:row>
    <x:row r="136" ht="46" customHeight="1">
      <x:c r="A136" s="64" t="str">
        <x:v>09_Doi_chieu_Bang_chung/SOURCE_TO_TARGET_MATRIX.csv</x:v>
      </x:c>
      <x:c r="B136" s="64" t="str">
        <x:v>.csv</x:v>
      </x:c>
      <x:c r="C136" s="64" t="n">
        <x:v>5490</x:v>
      </x:c>
      <x:c r="D136" s="64" t="str">
        <x:v>716a17c9e4cfb0b8fe3c272973ac62bf5b0c7a96121c599e9049ad6eeb81330f</x:v>
      </x:c>
      <x:c r="E136" s="64" t="str">
        <x:v>BYTE_IDENTICAL</x:v>
      </x:c>
    </x:row>
    <x:row r="137" ht="46" customHeight="1">
      <x:c r="A137" s="65" t="str">
        <x:v>09_Doi_chieu_Bang_chung/SOURCE_TO_TARGET_MATRIX.json</x:v>
      </x:c>
      <x:c r="B137" s="65" t="str">
        <x:v>.json</x:v>
      </x:c>
      <x:c r="C137" s="65" t="n">
        <x:v>11028</x:v>
      </x:c>
      <x:c r="D137" s="65" t="str">
        <x:v>9bae124c90a608c3fc9e45cf4b0a910f09202aaa87629447b960ee72d3ab9321</x:v>
      </x:c>
      <x:c r="E137" s="65" t="str">
        <x:v>BYTE_IDENTICAL</x:v>
      </x:c>
    </x:row>
    <x:row r="138" ht="46" customHeight="1">
      <x:c r="A138" s="64" t="str">
        <x:v>10_Ma_tham_chieu_Kiem_thu/README.md</x:v>
      </x:c>
      <x:c r="B138" s="64" t="str">
        <x:v>.md</x:v>
      </x:c>
      <x:c r="C138" s="64" t="n">
        <x:v>1055</x:v>
      </x:c>
      <x:c r="D138" s="64" t="str">
        <x:v>2336c8c8837e567aa8af025e26b2ce35b8d77e07075ed77aa83d26fa0d5e03fa</x:v>
      </x:c>
      <x:c r="E138" s="64" t="str">
        <x:v>BYTE_IDENTICAL</x:v>
      </x:c>
    </x:row>
    <x:row r="139" ht="46" customHeight="1">
      <x:c r="A139" s="65" t="str">
        <x:v>10_Ma_tham_chieu_Kiem_thu/data/tail80_table.json</x:v>
      </x:c>
      <x:c r="B139" s="65" t="str">
        <x:v>.json</x:v>
      </x:c>
      <x:c r="C139" s="65" t="n">
        <x:v>23987</x:v>
      </x:c>
      <x:c r="D139" s="65" t="str">
        <x:v>1c5157653ee549532093c7800ff60bb9077ae6f9407fa478ec0ad3afe39266e8</x:v>
      </x:c>
      <x:c r="E139" s="65" t="str">
        <x:v>BYTE_IDENTICAL</x:v>
      </x:c>
    </x:row>
    <x:row r="140" ht="46" customHeight="1">
      <x:c r="A140" s="64" t="str">
        <x:v>10_Ma_tham_chieu_Kiem_thu/package.json</x:v>
      </x:c>
      <x:c r="B140" s="64" t="str">
        <x:v>.json</x:v>
      </x:c>
      <x:c r="C140" s="64" t="n">
        <x:v>339</x:v>
      </x:c>
      <x:c r="D140" s="64" t="str">
        <x:v>3409425cc3ef9fd98d8f58ed8da5130e9203f98c181d0cd7aef79c759a827b23</x:v>
      </x:c>
      <x:c r="E140" s="64" t="str">
        <x:v>BYTE_IDENTICAL</x:v>
      </x:c>
    </x:row>
    <x:row r="141" ht="46" customHeight="1">
      <x:c r="A141" s="65" t="str">
        <x:v>10_Ma_tham_chieu_Kiem_thu/src/numbers.mjs</x:v>
      </x:c>
      <x:c r="B141" s="65" t="str">
        <x:v>.mjs</x:v>
      </x:c>
      <x:c r="C141" s="65" t="n">
        <x:v>2902</x:v>
      </x:c>
      <x:c r="D141" s="65" t="str">
        <x:v>5974178a9095e1e5ab976b84ac6c160aa55004ab2acce2a8992bde5354ec3224</x:v>
      </x:c>
      <x:c r="E141" s="65" t="str">
        <x:v>BYTE_IDENTICAL</x:v>
      </x:c>
    </x:row>
    <x:row r="142" ht="46" customHeight="1">
      <x:c r="A142" s="64" t="str">
        <x:v>10_Ma_tham_chieu_Kiem_thu/src/policies.mjs</x:v>
      </x:c>
      <x:c r="B142" s="64" t="str">
        <x:v>.mjs</x:v>
      </x:c>
      <x:c r="C142" s="64" t="n">
        <x:v>2766</x:v>
      </x:c>
      <x:c r="D142" s="64" t="str">
        <x:v>58e0f3c4333d69a8d4a70dd17f2b02195366c9f2efeea115020a25aaa6daa972</x:v>
      </x:c>
      <x:c r="E142" s="64" t="str">
        <x:v>BYTE_IDENTICAL</x:v>
      </x:c>
    </x:row>
    <x:row r="143" ht="46" customHeight="1">
      <x:c r="A143" s="65" t="str">
        <x:v>10_Ma_tham_chieu_Kiem_thu/test-results.tap</x:v>
      </x:c>
      <x:c r="B143" s="65" t="str">
        <x:v>.tap</x:v>
      </x:c>
      <x:c r="C143" s="65" t="n">
        <x:v>9957</x:v>
      </x:c>
      <x:c r="D143" s="65" t="str">
        <x:v>b09c6b32ff323edf62cc103da0f72f78254514e67b8bedaf1cb27d4f4c9e738f</x:v>
      </x:c>
      <x:c r="E143" s="65" t="str">
        <x:v>BYTE_IDENTICAL</x:v>
      </x:c>
    </x:row>
    <x:row r="144" ht="46" customHeight="1">
      <x:c r="A144" s="64" t="str">
        <x:v>10_Ma_tham_chieu_Kiem_thu/tests/reference.test.mjs</x:v>
      </x:c>
      <x:c r="B144" s="64" t="str">
        <x:v>.mjs</x:v>
      </x:c>
      <x:c r="C144" s="64" t="n">
        <x:v>7004</x:v>
      </x:c>
      <x:c r="D144" s="64" t="str">
        <x:v>70f38450c69edd9c88d17357c71ec5ebeb7e2b9dcdb9711ea4e6dfc1ac7e8e34</x:v>
      </x:c>
      <x:c r="E144" s="64" t="str">
        <x:v>BYTE_IDENTICAL</x:v>
      </x:c>
    </x:row>
    <x:row r="145" ht="46" customHeight="1">
      <x:c r="A145" s="65" t="str">
        <x:v>10_Ma_tham_chieu_Kiem_thu/tools/collect_public_evidence.py</x:v>
      </x:c>
      <x:c r="B145" s="65" t="str">
        <x:v>.py</x:v>
      </x:c>
      <x:c r="C145" s="65" t="n">
        <x:v>1415</x:v>
      </x:c>
      <x:c r="D145" s="65" t="str">
        <x:v>18305a2311dcec37c7f97e4414fbe6b07994d03a72a4cb6b55391d20c40365e7</x:v>
      </x:c>
      <x:c r="E145" s="65" t="str">
        <x:v>BYTE_IDENTICAL</x:v>
      </x:c>
    </x:row>
    <x:row r="146" ht="46" customHeight="1">
      <x:c r="A146" s="64" t="str">
        <x:v>FILE_CATALOG.csv</x:v>
      </x:c>
      <x:c r="B146" s="64" t="str">
        <x:v>.csv</x:v>
      </x:c>
      <x:c r="C146" s="64" t="n">
        <x:v>28500</x:v>
      </x:c>
      <x:c r="D146" s="64" t="str">
        <x:v>d751196e0f9fd7d682b9293e9dc176379f0ee3473fdc2a699fa232c5a9ebaed5</x:v>
      </x:c>
      <x:c r="E146" s="64" t="str">
        <x:v>BYTE_IDENTICAL</x:v>
      </x:c>
    </x:row>
    <x:row r="147" ht="46" customHeight="1">
      <x:c r="A147" s="65" t="str">
        <x:v>FILE_CATALOG.json</x:v>
      </x:c>
      <x:c r="B147" s="65" t="str">
        <x:v>.json</x:v>
      </x:c>
      <x:c r="C147" s="65" t="n">
        <x:v>40892</x:v>
      </x:c>
      <x:c r="D147" s="65" t="str">
        <x:v>ebb4fa85fb4d5559c99d37b5adc0c663368726d9cccf82f7d4a5c70b39d8bf81</x:v>
      </x:c>
      <x:c r="E147" s="65" t="str">
        <x:v>BYTE_IDENTICAL</x:v>
      </x:c>
    </x:row>
    <x:row r="148" ht="46" customHeight="1">
      <x:c r="A148" s="64" t="str">
        <x:v>INDEX.html</x:v>
      </x:c>
      <x:c r="B148" s="64" t="str">
        <x:v>.html</x:v>
      </x:c>
      <x:c r="C148" s="64" t="n">
        <x:v>48605</x:v>
      </x:c>
      <x:c r="D148" s="64" t="str">
        <x:v>f6083978ab93ec5210f33e7e2a4dea035b1c5aadb23debea5aaccc55c9da3b3d</x:v>
      </x:c>
      <x:c r="E148" s="64" t="str">
        <x:v>BYTE_IDENTICAL</x:v>
      </x:c>
    </x:row>
    <x:row r="149" ht="46" customHeight="1">
      <x:c r="A149" s="65" t="str">
        <x:v>MANIFEST.json</x:v>
      </x:c>
      <x:c r="B149" s="65" t="str">
        <x:v>.json</x:v>
      </x:c>
      <x:c r="C149" s="65" t="n">
        <x:v>28196</x:v>
      </x:c>
      <x:c r="D149" s="65" t="str">
        <x:v>b06423786b796fd3b1f80bb90b815e2fe455e2385a2f1212651476c41e6cea44</x:v>
      </x:c>
      <x:c r="E149" s="65" t="str">
        <x:v>BYTE_IDENTICAL</x:v>
      </x:c>
    </x:row>
    <x:row r="150" ht="46" customHeight="1">
      <x:c r="A150" s="64" t="str">
        <x:v>README.md</x:v>
      </x:c>
      <x:c r="B150" s="64" t="str">
        <x:v>.md</x:v>
      </x:c>
      <x:c r="C150" s="64" t="n">
        <x:v>5029</x:v>
      </x:c>
      <x:c r="D150" s="64" t="str">
        <x:v>6c582337ff4a1626836c88c17a9022b591fa4a1992a75834877c74ec1cedaa05</x:v>
      </x:c>
      <x:c r="E150" s="64" t="str">
        <x:v>BYTE_IDENTICAL</x:v>
      </x:c>
    </x:row>
    <x:row r="151" ht="46" customHeight="1">
      <x:c r="A151" s="65" t="str">
        <x:v>REFERENCE_USE_AND_RIGHTS.md</x:v>
      </x:c>
      <x:c r="B151" s="65" t="str">
        <x:v>.md</x:v>
      </x:c>
      <x:c r="C151" s="65" t="n">
        <x:v>1224</x:v>
      </x:c>
      <x:c r="D151" s="65" t="str">
        <x:v>2768e16326597f9adf25859d3f1ee92150fd69ddab49a22442f04c30f9773a8f</x:v>
      </x:c>
      <x:c r="E151" s="65" t="str">
        <x:v>BYTE_IDENTICAL</x:v>
      </x:c>
    </x:row>
    <x:row r="152" ht="46" customHeight="1">
      <x:c r="A152" s="64" t="str">
        <x:v>VERIFY_PACKAGE.py</x:v>
      </x:c>
      <x:c r="B152" s="64" t="str">
        <x:v>.py</x:v>
      </x:c>
      <x:c r="C152" s="64" t="n">
        <x:v>889</x:v>
      </x:c>
      <x:c r="D152" s="64" t="str">
        <x:v>151f593a8b599ac0b94ea7c5e39396457336a673b44ee5751e417f325256c47c</x:v>
      </x:c>
      <x:c r="E152" s="64" t="str">
        <x:v>BYTE_IDENTICAL</x:v>
      </x:c>
    </x:row>
    <x:row r="153" ht="46" customHeight="1">
      <x:c r="A153" s="65" t="str">
        <x:v>manifest.txt</x:v>
      </x:c>
      <x:c r="B153" s="65" t="str">
        <x:v>.txt</x:v>
      </x:c>
      <x:c r="C153" s="65" t="n">
        <x:v>6408</x:v>
      </x:c>
      <x:c r="D153" s="65" t="str">
        <x:v>a17ecfb14c912c7f271abe49104664b77a4ad60ea1b6a2a9e513f79e6363b055</x:v>
      </x:c>
      <x:c r="E153" s="65" t="str">
        <x:v>BYTE_IDENTICAL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ba74c8a815c4107"/>
  </x:tableParts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40" hidden="0" customWidth="1"/>
    <x:col min="3" max="3" width="44" hidden="0" customWidth="1"/>
    <x:col min="4" max="4" width="70" hidden="0" customWidth="1"/>
    <x:col min="5" max="5" width="70" hidden="0" customWidth="1"/>
  </x:cols>
  <x:sheetData>
    <x:row r="1" ht="34" customHeight="1">
      <x:c r="A1" s="56" t="str">
        <x:v>18 nguồn bổ sung</x:v>
      </x:c>
      <x:c r="B1" s="56"/>
      <x:c r="C1" s="56"/>
      <x:c r="D1" s="56"/>
      <x:c r="E1" s="56"/>
    </x:row>
    <x:row r="2" ht="34" customHeight="1">
      <x:c r="A2" s="58" t="str">
        <x:v>Nguồn chưa đọc lại được giữ nhãn kế thừa; không gọi mọi tài liệu là đã đọc toàn văn.</x:v>
      </x:c>
      <x:c r="B2" s="58"/>
      <x:c r="C2" s="58"/>
      <x:c r="D2" s="58"/>
      <x:c r="E2" s="58"/>
    </x:row>
    <x:row r="4" ht="28" customHeight="1">
      <x:c r="A4" s="61" t="str">
        <x:v>Mã</x:v>
      </x:c>
      <x:c r="B4" s="61" t="str">
        <x:v>Nguồn</x:v>
      </x:c>
      <x:c r="C4" s="61" t="str">
        <x:v>Trạng thái đọc</x:v>
      </x:c>
      <x:c r="D4" s="61" t="str">
        <x:v>Phạm vi</x:v>
      </x:c>
      <x:c r="E4" s="61" t="str">
        <x:v>Địa chỉ</x:v>
      </x:c>
    </x:row>
    <x:row r="5" ht="46" customHeight="1">
      <x:c r="A5" s="65" t="str">
        <x:v>N01</x:v>
      </x:c>
      <x:c r="B5" s="65" t="str">
        <x:v>W3C WCAG 2.2</x:v>
      </x:c>
      <x:c r="C5" s="65" t="str">
        <x:v>CURRENT_CONTENT_READ</x:v>
      </x:c>
      <x:c r="D5" s="65" t="str">
        <x:v>Tiêu chuẩn accessibility; chỉ mục tiêu thiết kế, chưa chứng nhận AA</x:v>
      </x:c>
      <x:c r="E5" s="65" t="str">
        <x:v>https://www.w3.org/TR/WCAG22/</x:v>
      </x:c>
    </x:row>
    <x:row r="6" ht="46" customHeight="1">
      <x:c r="A6" s="64" t="str">
        <x:v>N02</x:v>
      </x:c>
      <x:c r="B6" s="64" t="str">
        <x:v>PostgreSQL Row Security</x:v>
      </x:c>
      <x:c r="C6" s="64" t="str">
        <x:v>CURRENT_CONTENT_READ</x:v>
      </x:c>
      <x:c r="D6" s="64" t="str">
        <x:v>RLS; role và owner bypass cần kiểm thử riêng</x:v>
      </x:c>
      <x:c r="E6" s="64" t="str">
        <x:v>https://www.postgresql.org/docs/current/ddl-rowsecurity.html</x:v>
      </x:c>
    </x:row>
    <x:row r="7" ht="46" customHeight="1">
      <x:c r="A7" s="65" t="str">
        <x:v>N03</x:v>
      </x:c>
      <x:c r="B7" s="65" t="str">
        <x:v>Cloudflare Queues delivery</x:v>
      </x:c>
      <x:c r="C7" s="65" t="str">
        <x:v>CURRENT_CONTENT_READ</x:v>
      </x:c>
      <x:c r="D7" s="65" t="str">
        <x:v>At-least-once; idempotency</x:v>
      </x:c>
      <x:c r="E7" s="65" t="str">
        <x:v>https://developers.cloudflare.com/queues/reference/delivery-guarantees/</x:v>
      </x:c>
    </x:row>
    <x:row r="8" ht="46" customHeight="1">
      <x:c r="A8" s="64" t="str">
        <x:v>N04</x:v>
      </x:c>
      <x:c r="B8" s="64" t="str">
        <x:v>OpenAPI 3.1.1</x:v>
      </x:c>
      <x:c r="C8" s="64" t="str">
        <x:v>CURRENT_CONTENT_READ</x:v>
      </x:c>
      <x:c r="D8" s="64" t="str">
        <x:v>Phiên bản hợp đồng được chọn; không khẳng định mới nhất</x:v>
      </x:c>
      <x:c r="E8" s="64" t="str">
        <x:v>https://spec.openapis.org/oas/v3.1.1.html</x:v>
      </x:c>
    </x:row>
    <x:row r="9" ht="46" customHeight="1">
      <x:c r="A9" s="65" t="str">
        <x:v>N05</x:v>
      </x:c>
      <x:c r="B9" s="65" t="str">
        <x:v>RFC 9457 Problem Details</x:v>
      </x:c>
      <x:c r="C9" s="65" t="str">
        <x:v>CURRENT_CONTENT_READ</x:v>
      </x:c>
      <x:c r="D9" s="65" t="str">
        <x:v>Định dạng lỗi HTTP</x:v>
      </x:c>
      <x:c r="E9" s="65" t="str">
        <x:v>https://www.rfc-editor.org/rfc/rfc9457.html</x:v>
      </x:c>
    </x:row>
    <x:row r="10" ht="46" customHeight="1">
      <x:c r="A10" s="64" t="str">
        <x:v>N06</x:v>
      </x:c>
      <x:c r="B10" s="64" t="str">
        <x:v>RFC 8785 JCS</x:v>
      </x:c>
      <x:c r="C10" s="64" t="str">
        <x:v>CURRENT_CONTENT_READ</x:v>
      </x:c>
      <x:c r="D10" s="64" t="str">
        <x:v>Tham chiếu canonicalization; demo chỉ hỗ trợ tập con riêng</x:v>
      </x:c>
      <x:c r="E10" s="64" t="str">
        <x:v>https://www.rfc-editor.org/rfc/rfc8785.html</x:v>
      </x:c>
    </x:row>
    <x:row r="11" ht="46" customHeight="1">
      <x:c r="A11" s="65" t="str">
        <x:v>N07</x:v>
      </x:c>
      <x:c r="B11" s="65" t="str">
        <x:v>Unicode normalization</x:v>
      </x:c>
      <x:c r="C11" s="65" t="str">
        <x:v>OFFICIAL_REFERENCE_BASELINE_CARRIED_FORWARD</x:v>
      </x:c>
      <x:c r="D11" s="65" t="str">
        <x:v>Giữ nguyên tên và tạo derivative NFC</x:v>
      </x:c>
      <x:c r="E11" s="65" t="str">
        <x:v>https://unicode.org/reports/tr15/</x:v>
      </x:c>
    </x:row>
    <x:row r="12" ht="46" customHeight="1">
      <x:c r="A12" s="64" t="str">
        <x:v>N08</x:v>
      </x:c>
      <x:c r="B12" s="64" t="str">
        <x:v>IANA time zone database</x:v>
      </x:c>
      <x:c r="C12" s="64" t="str">
        <x:v>OFFICIAL_REFERENCE_BASELINE_CARRIED_FORWARD</x:v>
      </x:c>
      <x:c r="D12" s="64" t="str">
        <x:v>Lịch sử múi giờ và pin version</x:v>
      </x:c>
      <x:c r="E12" s="64" t="str">
        <x:v>https://www.iana.org/time-zones</x:v>
      </x:c>
    </x:row>
    <x:row r="13" ht="46" customHeight="1">
      <x:c r="A13" s="65" t="str">
        <x:v>N09</x:v>
      </x:c>
      <x:c r="B13" s="65" t="str">
        <x:v>OWASP object authorization</x:v>
      </x:c>
      <x:c r="C13" s="65" t="str">
        <x:v>OFFICIAL_REFERENCE_BASELINE_CARRIED_FORWARD</x:v>
      </x:c>
      <x:c r="D13" s="65" t="str">
        <x:v>Quyền từng đối tượng</x:v>
      </x:c>
      <x:c r="E13" s="65" t="str">
        <x:v>https://owasp.org/API-Security/editions/2023/en/0xa1-broken-object-level-authorization/</x:v>
      </x:c>
    </x:row>
    <x:row r="14" ht="46" customHeight="1">
      <x:c r="A14" s="64" t="str">
        <x:v>N10</x:v>
      </x:c>
      <x:c r="B14" s="64" t="str">
        <x:v>JSON Schema 2020-12</x:v>
      </x:c>
      <x:c r="C14" s="64" t="str">
        <x:v>CURRENT_CONTENT_READ</x:v>
      </x:c>
      <x:c r="D14" s="64" t="str">
        <x:v>Schema cấu trúc; không thay business authorization</x:v>
      </x:c>
      <x:c r="E14" s="64" t="str">
        <x:v>https://json-schema.org/draft/2020-12</x:v>
      </x:c>
    </x:row>
    <x:row r="15" ht="46" customHeight="1">
      <x:c r="A15" s="65" t="str">
        <x:v>N11</x:v>
      </x:c>
      <x:c r="B15" s="65" t="str">
        <x:v>Luật 91/2025/QH15</x:v>
      </x:c>
      <x:c r="C15" s="65" t="str">
        <x:v>CURRENT_PUBLIC_METADATA</x:v>
      </x:c>
      <x:c r="D15" s="65" t="str">
        <x:v>Metadata văn bản; áp dụng cần counsel</x:v>
      </x:c>
      <x:c r="E15" s="65" t="str">
        <x:v>https://congbao.chinhphu.vn/van-ban/luat-so-91-2025-qh15-45578/57730.htm</x:v>
      </x:c>
    </x:row>
    <x:row r="16" ht="46" customHeight="1">
      <x:c r="A16" s="64" t="str">
        <x:v>N12</x:v>
      </x:c>
      <x:c r="B16" s="64" t="str">
        <x:v>Luật 134/2025/QH15</x:v>
      </x:c>
      <x:c r="C16" s="64" t="str">
        <x:v>CURRENT_PUBLIC_METADATA</x:v>
      </x:c>
      <x:c r="D16" s="64" t="str">
        <x:v>Metadata văn bản; áp dụng cần counsel</x:v>
      </x:c>
      <x:c r="E16" s="64" t="str">
        <x:v>https://congbao.chinhphu.vn/van-ban/luat-so-134-2025-qh15-468694/61695.htm</x:v>
      </x:c>
    </x:row>
    <x:row r="17" ht="46" customHeight="1">
      <x:c r="A17" s="65" t="str">
        <x:v>N13</x:v>
      </x:c>
      <x:c r="B17" s="65" t="str">
        <x:v>Luật 122/2025/QH15</x:v>
      </x:c>
      <x:c r="C17" s="65" t="str">
        <x:v>CURRENT_PUBLIC_METADATA</x:v>
      </x:c>
      <x:c r="D17" s="65" t="str">
        <x:v>Metadata văn bản; áp dụng cần counsel</x:v>
      </x:c>
      <x:c r="E17" s="65" t="str">
        <x:v>https://congbao.chinhphu.vn/van-ban/luat-so-122-2025-qh15-468683/61714.htm</x:v>
      </x:c>
    </x:row>
    <x:row r="18" ht="46" customHeight="1">
      <x:c r="A18" s="64" t="str">
        <x:v>N14</x:v>
      </x:c>
      <x:c r="B18" s="64" t="str">
        <x:v>Nghị định hướng dẫn AI 142/2026</x:v>
      </x:c>
      <x:c r="C18" s="64" t="str">
        <x:v>CURRENT_PUBLIC_METADATA</x:v>
      </x:c>
      <x:c r="D18" s="64" t="str">
        <x:v>Nguồn thông tin Chính phủ; chưa thay đọc điều khoản</x:v>
      </x:c>
      <x:c r="E18" s="64" t="str">
        <x:v>https://media.chinhphu.vn/ban-hanh-nghi-dinh-quy-dinh-chi-tiet-mot-so-dieu-va-bien-phap-thi-hanh-luat-tri-tue-nhan-tao-102260508162952667.htm</x:v>
      </x:c>
    </x:row>
    <x:row r="19" ht="46" customHeight="1">
      <x:c r="A19" s="65" t="str">
        <x:v>N15</x:v>
      </x:c>
      <x:c r="B19" s="65" t="str">
        <x:v>EU AI Act FAQs</x:v>
      </x:c>
      <x:c r="C19" s="65" t="str">
        <x:v>CURRENT_PUBLIC_METADATA</x:v>
      </x:c>
      <x:c r="D19" s="65" t="str">
        <x:v>Phân loại chức năng và hành vi bị cấm</x:v>
      </x:c>
      <x:c r="E19" s="65" t="str">
        <x:v>https://digital-strategy.ec.europa.eu/en/faqs/navigating-ai-act</x:v>
      </x:c>
    </x:row>
    <x:row r="20" ht="46" customHeight="1">
      <x:c r="A20" s="64" t="str">
        <x:v>N16</x:v>
      </x:c>
      <x:c r="B20" s="64" t="str">
        <x:v>Life Code public home</x:v>
      </x:c>
      <x:c r="C20" s="64" t="str">
        <x:v>CURRENT_CONTENT_READ</x:v>
      </x:c>
      <x:c r="D20" s="64" t="str">
        <x:v>Nội dung public được công cụ truy xuất; không receipt runtime SHA</x:v>
      </x:c>
      <x:c r="E20" s="64" t="str">
        <x:v>https://lifecode.iai.one/</x:v>
      </x:c>
    </x:row>
    <x:row r="21" ht="46" customHeight="1">
      <x:c r="A21" s="65" t="str">
        <x:v>N17</x:v>
      </x:c>
      <x:c r="B21" s="65" t="str">
        <x:v>GitHub main pinned</x:v>
      </x:c>
      <x:c r="C21" s="65" t="str">
        <x:v>CURRENT_CONTENT_READ</x:v>
      </x:c>
      <x:c r="D21" s="65" t="str">
        <x:v>Mã nguồn remote được đọc</x:v>
      </x:c>
      <x:c r="E21" s="65" t="str">
        <x:v>https://github.com/tranhatam-collab/Life-Code-OS/tree/99b402764437f81859fa0cd3a3af860125f7bd52</x:v>
      </x:c>
    </x:row>
    <x:row r="22" ht="46" customHeight="1">
      <x:c r="A22" s="64" t="str">
        <x:v>N18</x:v>
      </x:c>
      <x:c r="B22" s="64" t="str">
        <x:v>GitHub audit pinned</x:v>
      </x:c>
      <x:c r="C22" s="64" t="str">
        <x:v>CURRENT_CONTENT_READ</x:v>
      </x:c>
      <x:c r="D22" s="64" t="str">
        <x:v>Baseline audit; không chứng nhận production</x:v>
      </x:c>
      <x:c r="E22" s="64" t="str">
        <x:v>https://github.com/tranhatam-collab/Life-Code-OS/tree/336ef35a8386a744c6de18a7f7c6e268e89e6dac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6b7f26dd278435f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55" hidden="0" customWidth="1"/>
    <x:col min="3" max="3" width="35" hidden="0" customWidth="1"/>
    <x:col min="4" max="4" width="44" hidden="0" customWidth="1"/>
    <x:col min="5" max="5" width="100" hidden="0" customWidth="1"/>
  </x:cols>
  <x:sheetData>
    <x:row r="1" ht="34" customHeight="1">
      <x:c r="A1" s="56" t="str">
        <x:v>83 thao tác API đích</x:v>
      </x:c>
      <x:c r="B1" s="56"/>
      <x:c r="C1" s="56"/>
      <x:c r="D1" s="56"/>
      <x:c r="E1" s="56"/>
    </x:row>
    <x:row r="2" ht="34" customHeight="1">
      <x:c r="A2" s="58" t="str">
        <x:v>Đặc tả thiết kế, không phải API production đã hoạt động. Local demo có hợp đồng riêng ba route.</x:v>
      </x:c>
      <x:c r="B2" s="58"/>
      <x:c r="C2" s="58"/>
      <x:c r="D2" s="58"/>
      <x:c r="E2" s="58"/>
    </x:row>
    <x:row r="4" ht="28" customHeight="1">
      <x:c r="A4" s="61" t="str">
        <x:v>HTTP</x:v>
      </x:c>
      <x:c r="B4" s="61" t="str">
        <x:v>Đường dẫn</x:v>
      </x:c>
      <x:c r="C4" s="61" t="str">
        <x:v>Operation ID</x:v>
      </x:c>
      <x:c r="D4" s="61" t="str">
        <x:v>Trạng thái</x:v>
      </x:c>
      <x:c r="E4" s="61" t="str">
        <x:v>Chính sách</x:v>
      </x:c>
    </x:row>
    <x:row r="5" ht="46" customHeight="1">
      <x:c r="A5" s="65" t="str">
        <x:v>GET</x:v>
      </x:c>
      <x:c r="B5" s="65" t="str">
        <x:v>/health</x:v>
      </x:c>
      <x:c r="C5" s="65" t="str">
        <x:v>health</x:v>
      </x:c>
      <x:c r="D5" s="65" t="str">
        <x:v>DESIGN_ONLY_BASELINE_PRESERVED</x:v>
      </x:c>
      <x:c r="E5" s="65" t="str">
        <x:v>Liveness tối thiểu. Không truy vấn dữ liệu hồ sơ; không chứng minh readiness, phân quyền hoặc deployed SHA.</x:v>
      </x:c>
    </x:row>
    <x:row r="6" ht="46" customHeight="1">
      <x:c r="A6" s="64" t="str">
        <x:v>GET</x:v>
      </x:c>
      <x:c r="B6" s="64" t="str">
        <x:v>/catalog</x:v>
      </x:c>
      <x:c r="C6" s="64" t="str">
        <x:v>catalog</x:v>
      </x:c>
      <x:c r="D6" s="64" t="str">
        <x:v>DESIGN_ONLY_BASELINE_PRESERVED</x:v>
      </x:c>
      <x:c r="E6" s="64" t="str">
        <x:v>Quyền yêu cầu: public. Server resolve principal, không tin client owner. Kiểm tra policy/product/method/country tại service; mô-đun chưa mở trả trạng thái phù hợp.</x:v>
      </x:c>
    </x:row>
    <x:row r="7" ht="46" customHeight="1">
      <x:c r="A7" s="65" t="str">
        <x:v>GET</x:v>
      </x:c>
      <x:c r="B7" s="65" t="str">
        <x:v>/methods</x:v>
      </x:c>
      <x:c r="C7" s="65" t="str">
        <x:v>methods</x:v>
      </x:c>
      <x:c r="D7" s="65" t="str">
        <x:v>DESIGN_ONLY_BASELINE_PRESERVED</x:v>
      </x:c>
      <x:c r="E7" s="65" t="str">
        <x:v>Quyền yêu cầu: public. Server resolve principal, không tin client owner. Kiểm tra policy/product/method/country tại service; mô-đun chưa mở trả trạng thái phù hợp.</x:v>
      </x:c>
    </x:row>
    <x:row r="8" ht="46" customHeight="1">
      <x:c r="A8" s="64" t="str">
        <x:v>GET</x:v>
      </x:c>
      <x:c r="B8" s="64" t="str">
        <x:v>/methods/{methodId}</x:v>
      </x:c>
      <x:c r="C8" s="64" t="str">
        <x:v>methodDetail</x:v>
      </x:c>
      <x:c r="D8" s="64" t="str">
        <x:v>DESIGN_ONLY_BASELINE_PRESERVED</x:v>
      </x:c>
      <x:c r="E8" s="64" t="str">
        <x:v>Quyền yêu cầu: public. Server resolve principal, không tin client owner. Kiểm tra policy/product/method/country tại service; mô-đun chưa mở trả trạng thái phù hợp.</x:v>
      </x:c>
    </x:row>
    <x:row r="9" ht="46" customHeight="1">
      <x:c r="A9" s="65" t="str">
        <x:v>GET</x:v>
      </x:c>
      <x:c r="B9" s="65" t="str">
        <x:v>/auth/login</x:v>
      </x:c>
      <x:c r="C9" s="65" t="str">
        <x:v>login</x:v>
      </x:c>
      <x:c r="D9" s="65" t="str">
        <x:v>DESIGN_ONLY_BASELINE_PRESERVED</x:v>
      </x:c>
      <x:c r="E9" s="65" t="str">
        <x:v>Quyền yêu cầu: public. Server resolve principal, không tin client owner. Kiểm tra policy/product/method/country tại service; mô-đun chưa mở trả trạng thái phù hợp.</x:v>
      </x:c>
    </x:row>
    <x:row r="10" ht="46" customHeight="1">
      <x:c r="A10" s="64" t="str">
        <x:v>GET</x:v>
      </x:c>
      <x:c r="B10" s="64" t="str">
        <x:v>/auth/callback</x:v>
      </x:c>
      <x:c r="C10" s="64" t="str">
        <x:v>authCallback</x:v>
      </x:c>
      <x:c r="D10" s="64" t="str">
        <x:v>DESIGN_ONLY_BASELINE_PRESERVED</x:v>
      </x:c>
      <x:c r="E10" s="64" t="str">
        <x:v>Quyền yêu cầu: public. Server resolve principal, không tin client owner. Kiểm tra policy/product/method/country tại service; mô-đun chưa mở trả trạng thái phù hợp. Yêu cầu đúng một trong code/error; x</x:v>
      </x:c>
    </x:row>
    <x:row r="11" ht="46" customHeight="1">
      <x:c r="A11" s="65" t="str">
        <x:v>POST</x:v>
      </x:c>
      <x:c r="B11" s="65" t="str">
        <x:v>/auth/logout</x:v>
      </x:c>
      <x:c r="C11" s="65" t="str">
        <x:v>logout</x:v>
      </x:c>
      <x:c r="D11" s="65" t="str">
        <x:v>DESIGN_ONLY_BASELINE_PRESERVED</x:v>
      </x:c>
      <x:c r="E11" s="65" t="str">
        <x:v>Quyền yêu cầu: self. Server resolve principal, không tin client owner. Kiểm tra policy/product/method/country tại service; mô-đun chưa mở trả trạng thái phù hợp.</x:v>
      </x:c>
    </x:row>
    <x:row r="12" ht="46" customHeight="1">
      <x:c r="A12" s="64" t="str">
        <x:v>GET</x:v>
      </x:c>
      <x:c r="B12" s="64" t="str">
        <x:v>/subjects</x:v>
      </x:c>
      <x:c r="C12" s="64" t="str">
        <x:v>subjects</x:v>
      </x:c>
      <x:c r="D12" s="64" t="str">
        <x:v>DESIGN_ONLY_BASELINE_PRESERVED</x:v>
      </x:c>
      <x:c r="E12" s="64" t="str">
        <x:v>Quyền yêu cầu: self. Server resolve principal, không tin client owner. Kiểm tra policy/product/method/country tại service; mô-đun chưa mở trả trạng thái phù hợp.</x:v>
      </x:c>
    </x:row>
    <x:row r="13" ht="46" customHeight="1">
      <x:c r="A13" s="65" t="str">
        <x:v>POST</x:v>
      </x:c>
      <x:c r="B13" s="65" t="str">
        <x:v>/subjects</x:v>
      </x:c>
      <x:c r="C13" s="65" t="str">
        <x:v>createSubject</x:v>
      </x:c>
      <x:c r="D13" s="65" t="str">
        <x:v>DESIGN_ONLY_BASELINE_PRESERVED</x:v>
      </x:c>
      <x:c r="E13" s="65" t="str">
        <x:v>Quyền yêu cầu: self. Server resolve principal, không tin client owner. Kiểm tra policy/product/method/country tại service; mô-đun chưa mở trả trạng thái phù hợp.</x:v>
      </x:c>
    </x:row>
    <x:row r="14" ht="46" customHeight="1">
      <x:c r="A14" s="64" t="str">
        <x:v>GET</x:v>
      </x:c>
      <x:c r="B14" s="64" t="str">
        <x:v>/subjects/{subjectId}</x:v>
      </x:c>
      <x:c r="C14" s="64" t="str">
        <x:v>subject</x:v>
      </x:c>
      <x:c r="D14" s="64" t="str">
        <x:v>DESIGN_ONLY_BASELINE_PRESERVED</x:v>
      </x:c>
      <x:c r="E14" s="64" t="str">
        <x:v>Quyền yêu cầu: subject:read. Server resolve principal, không tin client owner. Kiểm tra policy/product/method/country tại service; mô-đun chưa mở trả trạng thái phù hợp.</x:v>
      </x:c>
    </x:row>
    <x:row r="15" ht="46" customHeight="1">
      <x:c r="A15" s="65" t="str">
        <x:v>GET</x:v>
      </x:c>
      <x:c r="B15" s="65" t="str">
        <x:v>/subjects/{subjectId}/overview</x:v>
      </x:c>
      <x:c r="C15" s="65" t="str">
        <x:v>overview</x:v>
      </x:c>
      <x:c r="D15" s="65" t="str">
        <x:v>DESIGN_ONLY_BASELINE_PRESERVED</x:v>
      </x:c>
      <x:c r="E15" s="65" t="str">
        <x:v>Quyền yêu cầu: subject:read. Server resolve principal, không tin client owner. Kiểm tra policy/product/method/country tại service; mô-đun chưa mở trả trạng thái phù hợp.</x:v>
      </x:c>
    </x:row>
    <x:row r="16" ht="46" customHeight="1">
      <x:c r="A16" s="64" t="str">
        <x:v>POST</x:v>
      </x:c>
      <x:c r="B16" s="64" t="str">
        <x:v>/subjects/{subjectId}/profile-versions</x:v>
      </x:c>
      <x:c r="C16" s="64" t="str">
        <x:v>newProfileVersion</x:v>
      </x:c>
      <x:c r="D16" s="64" t="str">
        <x:v>DESIGN_ONLY_BASELINE_PRESERVED</x:v>
      </x:c>
      <x:c r="E16" s="64" t="str">
        <x:v>Quyền yêu cầu: subject:write. Server resolve principal, không tin client owner. Kiểm tra policy/product/method/country tại service; mô-đun chưa mở trả trạng thái phù hợp.</x:v>
      </x:c>
    </x:row>
    <x:row r="17" ht="46" customHeight="1">
      <x:c r="A17" s="65" t="str">
        <x:v>GET</x:v>
      </x:c>
      <x:c r="B17" s="65" t="str">
        <x:v>/subjects/{subjectId}/profile-versions/{versionId}</x:v>
      </x:c>
      <x:c r="C17" s="65" t="str">
        <x:v>profileVersion</x:v>
      </x:c>
      <x:c r="D17" s="65" t="str">
        <x:v>DESIGN_ONLY_BASELINE_PRESERVED</x:v>
      </x:c>
      <x:c r="E17" s="65" t="str">
        <x:v>Quyền yêu cầu: subject:read. Server resolve principal, không tin client owner. Kiểm tra policy/product/method/country tại service; mô-đun chưa mở trả trạng thái phù hợp.</x:v>
      </x:c>
    </x:row>
    <x:row r="18" ht="46" customHeight="1">
      <x:c r="A18" s="64" t="str">
        <x:v>POST</x:v>
      </x:c>
      <x:c r="B18" s="64" t="str">
        <x:v>/subjects/{subjectId}/hypotheses</x:v>
      </x:c>
      <x:c r="C18" s="64" t="str">
        <x:v>newHypothesis</x:v>
      </x:c>
      <x:c r="D18" s="64" t="str">
        <x:v>DESIGN_ONLY_BASELINE_PRESERVED</x:v>
      </x:c>
      <x:c r="E18" s="64" t="str">
        <x:v>Quyền yêu cầu: subject:write. Server resolve principal, không tin client owner. Kiểm tra policy/product/method/country tại service; mô-đun chưa mở trả trạng thái phù hợp.</x:v>
      </x:c>
    </x:row>
    <x:row r="19" ht="46" customHeight="1">
      <x:c r="A19" s="65" t="str">
        <x:v>GET</x:v>
      </x:c>
      <x:c r="B19" s="65" t="str">
        <x:v>/subjects/{subjectId}/hypotheses</x:v>
      </x:c>
      <x:c r="C19" s="65" t="str">
        <x:v>listHypotheses</x:v>
      </x:c>
      <x:c r="D19" s="65" t="str">
        <x:v>NOT_IMPLEMENTED</x:v>
      </x:c>
      <x:c r="E19" s="65" t="str">
        <x:v>subject:read</x:v>
      </x:c>
    </x:row>
    <x:row r="20" ht="46" customHeight="1">
      <x:c r="A20" s="64" t="str">
        <x:v>GET</x:v>
      </x:c>
      <x:c r="B20" s="64" t="str">
        <x:v>/subjects/{subjectId}/consents</x:v>
      </x:c>
      <x:c r="C20" s="64" t="str">
        <x:v>consents</x:v>
      </x:c>
      <x:c r="D20" s="64" t="str">
        <x:v>DESIGN_ONLY_BASELINE_PRESERVED</x:v>
      </x:c>
      <x:c r="E20" s="64" t="str">
        <x:v>Quyền yêu cầu: subject:read. Server resolve principal, không tin client owner. Kiểm tra policy/product/method/country tại service; mô-đun chưa mở trả trạng thái phù hợp.</x:v>
      </x:c>
    </x:row>
    <x:row r="21" ht="46" customHeight="1">
      <x:c r="A21" s="65" t="str">
        <x:v>POST</x:v>
      </x:c>
      <x:c r="B21" s="65" t="str">
        <x:v>/subjects/{subjectId}/consents</x:v>
      </x:c>
      <x:c r="C21" s="65" t="str">
        <x:v>consentDecision</x:v>
      </x:c>
      <x:c r="D21" s="65" t="str">
        <x:v>DESIGN_ONLY_BASELINE_PRESERVED</x:v>
      </x:c>
      <x:c r="E21" s="65" t="str">
        <x:v>Quyền yêu cầu: subject:consent. Server resolve principal, không tin client owner. Kiểm tra policy/product/method/country tại service; mô-đun chưa mở trả trạng thái phù hợp.</x:v>
      </x:c>
    </x:row>
    <x:row r="22" ht="46" customHeight="1">
      <x:c r="A22" s="64" t="str">
        <x:v>GET</x:v>
      </x:c>
      <x:c r="B22" s="64" t="str">
        <x:v>/subjects/{subjectId}/grants</x:v>
      </x:c>
      <x:c r="C22" s="64" t="str">
        <x:v>grants</x:v>
      </x:c>
      <x:c r="D22" s="64" t="str">
        <x:v>DESIGN_ONLY_BASELINE_PRESERVED</x:v>
      </x:c>
      <x:c r="E22" s="64" t="str">
        <x:v>Quyền yêu cầu: subject:share. Server resolve principal, không tin client owner. Kiểm tra policy/product/method/country tại service; mô-đun chưa mở trả trạng thái phù hợp.</x:v>
      </x:c>
    </x:row>
    <x:row r="23" ht="46" customHeight="1">
      <x:c r="A23" s="65" t="str">
        <x:v>POST</x:v>
      </x:c>
      <x:c r="B23" s="65" t="str">
        <x:v>/subjects/{subjectId}/grants</x:v>
      </x:c>
      <x:c r="C23" s="65" t="str">
        <x:v>grant</x:v>
      </x:c>
      <x:c r="D23" s="65" t="str">
        <x:v>DESIGN_ONLY_BASELINE_PRESERVED</x:v>
      </x:c>
      <x:c r="E23" s="65" t="str">
        <x:v>Quyền yêu cầu: subject:share. Server resolve principal, không tin client owner. Kiểm tra policy/product/method/country tại service; mô-đun chưa mở trả trạng thái phù hợp.</x:v>
      </x:c>
    </x:row>
    <x:row r="24" ht="46" customHeight="1">
      <x:c r="A24" s="64" t="str">
        <x:v>DELETE</x:v>
      </x:c>
      <x:c r="B24" s="64" t="str">
        <x:v>/grants/{grantId}</x:v>
      </x:c>
      <x:c r="C24" s="64" t="str">
        <x:v>revokeGrant</x:v>
      </x:c>
      <x:c r="D24" s="64" t="str">
        <x:v>DESIGN_ONLY_BASELINE_PRESERVED</x:v>
      </x:c>
      <x:c r="E24" s="64" t="str">
        <x:v>Quyền yêu cầu: grant:owner. Server resolve principal, không tin client owner. Kiểm tra policy/product/method/country tại service; mô-đun chưa mở trả trạng thái phù hợp.</x:v>
      </x:c>
    </x:row>
    <x:row r="25" ht="46" customHeight="1">
      <x:c r="A25" s="65" t="str">
        <x:v>GET</x:v>
      </x:c>
      <x:c r="B25" s="65" t="str">
        <x:v>/subjects/{subjectId}/observations</x:v>
      </x:c>
      <x:c r="C25" s="65" t="str">
        <x:v>observations</x:v>
      </x:c>
      <x:c r="D25" s="65" t="str">
        <x:v>DESIGN_ONLY_BASELINE_PRESERVED</x:v>
      </x:c>
      <x:c r="E25" s="65" t="str">
        <x:v>Quyền yêu cầu: subject:read. Server resolve principal, không tin client owner. Kiểm tra policy/product/method/country tại service; mô-đun chưa mở trả trạng thái phù hợp.</x:v>
      </x:c>
    </x:row>
    <x:row r="26" ht="46" customHeight="1">
      <x:c r="A26" s="64" t="str">
        <x:v>POST</x:v>
      </x:c>
      <x:c r="B26" s="64" t="str">
        <x:v>/subjects/{subjectId}/observations</x:v>
      </x:c>
      <x:c r="C26" s="64" t="str">
        <x:v>observation</x:v>
      </x:c>
      <x:c r="D26" s="64" t="str">
        <x:v>DESIGN_ONLY_BASELINE_PRESERVED</x:v>
      </x:c>
      <x:c r="E26" s="64" t="str">
        <x:v>Quyền yêu cầu: subject:write. Server resolve principal, không tin client owner. Kiểm tra policy/product/method/country tại service; mô-đun chưa mở trả trạng thái phù hợp.</x:v>
      </x:c>
    </x:row>
    <x:row r="27" ht="46" customHeight="1">
      <x:c r="A27" s="65" t="str">
        <x:v>POST</x:v>
      </x:c>
      <x:c r="B27" s="65" t="str">
        <x:v>/subjects/{subjectId}/questionnaire-responses</x:v>
      </x:c>
      <x:c r="C27" s="65" t="str">
        <x:v>questionnaireResponse</x:v>
      </x:c>
      <x:c r="D27" s="65" t="str">
        <x:v>DESIGN_ONLY_BASELINE_PRESERVED</x:v>
      </x:c>
      <x:c r="E27" s="65" t="str">
        <x:v>Quyền yêu cầu: subject:write. Server resolve principal, không tin client owner. Kiểm tra policy/product/method/country tại service; mô-đun chưa mở trả trạng thái phù hợp.</x:v>
      </x:c>
    </x:row>
    <x:row r="28" ht="46" customHeight="1">
      <x:c r="A28" s="64" t="str">
        <x:v>POST</x:v>
      </x:c>
      <x:c r="B28" s="64" t="str">
        <x:v>/subjects/{subjectId}/plans</x:v>
      </x:c>
      <x:c r="C28" s="64" t="str">
        <x:v>createPlan</x:v>
      </x:c>
      <x:c r="D28" s="64" t="str">
        <x:v>DESIGN_ONLY_BASELINE_PRESERVED</x:v>
      </x:c>
      <x:c r="E28" s="64" t="str">
        <x:v>Quyền yêu cầu: subject:write. Server resolve principal, không tin client owner. Kiểm tra policy/product/method/country tại service; mô-đun chưa mở trả trạng thái phù hợp.</x:v>
      </x:c>
    </x:row>
    <x:row r="29" ht="46" customHeight="1">
      <x:c r="A29" s="65" t="str">
        <x:v>GET</x:v>
      </x:c>
      <x:c r="B29" s="65" t="str">
        <x:v>/subjects/{subjectId}/plans</x:v>
      </x:c>
      <x:c r="C29" s="65" t="str">
        <x:v>plans</x:v>
      </x:c>
      <x:c r="D29" s="65" t="str">
        <x:v>DESIGN_ONLY_BASELINE_PRESERVED</x:v>
      </x:c>
      <x:c r="E29" s="65" t="str">
        <x:v>Quyền yêu cầu: subject:read. Server resolve principal, không tin client owner. Kiểm tra policy/product/method/country tại service; mô-đun chưa mở trả trạng thái phù hợp.</x:v>
      </x:c>
    </x:row>
    <x:row r="30" ht="46" customHeight="1">
      <x:c r="A30" s="64" t="str">
        <x:v>POST</x:v>
      </x:c>
      <x:c r="B30" s="64" t="str">
        <x:v>/actions/{actionId}/check-ins</x:v>
      </x:c>
      <x:c r="C30" s="64" t="str">
        <x:v>checkin</x:v>
      </x:c>
      <x:c r="D30" s="64" t="str">
        <x:v>DESIGN_ONLY_BASELINE_PRESERVED</x:v>
      </x:c>
      <x:c r="E30" s="64" t="str">
        <x:v>Quyền yêu cầu: action:write. Server resolve principal, không tin client owner. Kiểm tra policy/product/method/country tại service; mô-đun chưa mở trả trạng thái phù hợp.</x:v>
      </x:c>
    </x:row>
    <x:row r="31" ht="46" customHeight="1">
      <x:c r="A31" s="65" t="str">
        <x:v>GET</x:v>
      </x:c>
      <x:c r="B31" s="65" t="str">
        <x:v>/subjects/{subjectId}/timeline</x:v>
      </x:c>
      <x:c r="C31" s="65" t="str">
        <x:v>timeline</x:v>
      </x:c>
      <x:c r="D31" s="65" t="str">
        <x:v>DESIGN_ONLY_BASELINE_PRESERVED</x:v>
      </x:c>
      <x:c r="E31" s="65" t="str">
        <x:v>Quyền yêu cầu: subject:read. Server resolve principal, không tin client owner. Kiểm tra policy/product/method/country tại service; mô-đun chưa mở trả trạng thái phù hợp.</x:v>
      </x:c>
    </x:row>
    <x:row r="32" ht="46" customHeight="1">
      <x:c r="A32" s="64" t="str">
        <x:v>POST</x:v>
      </x:c>
      <x:c r="B32" s="64" t="str">
        <x:v>/analysis-runs</x:v>
      </x:c>
      <x:c r="C32" s="64" t="str">
        <x:v>analyze</x:v>
      </x:c>
      <x:c r="D32" s="64" t="str">
        <x:v>DESIGN_ONLY_BASELINE_PRESERVED</x:v>
      </x:c>
      <x:c r="E32" s="64" t="str">
        <x:v>Quyền yêu cầu: subject:analyze. Server resolve principal, không tin client owner. Kiểm tra policy/product/method/country tại service; mô-đun chưa mở trả trạng thái phù hợp.</x:v>
      </x:c>
    </x:row>
    <x:row r="33" ht="46" customHeight="1">
      <x:c r="A33" s="65" t="str">
        <x:v>GET</x:v>
      </x:c>
      <x:c r="B33" s="65" t="str">
        <x:v>/analysis-runs/{runId}</x:v>
      </x:c>
      <x:c r="C33" s="65" t="str">
        <x:v>analysisStatus</x:v>
      </x:c>
      <x:c r="D33" s="65" t="str">
        <x:v>DESIGN_ONLY_BASELINE_PRESERVED</x:v>
      </x:c>
      <x:c r="E33" s="65" t="str">
        <x:v>Quyền yêu cầu: run:read. Server resolve principal, không tin client owner. Kiểm tra policy/product/method/country tại service; mô-đun chưa mở trả trạng thái phù hợp.</x:v>
      </x:c>
    </x:row>
    <x:row r="34" ht="46" customHeight="1">
      <x:c r="A34" s="64" t="str">
        <x:v>POST</x:v>
      </x:c>
      <x:c r="B34" s="64" t="str">
        <x:v>/analysis-runs/{runId}/cancel</x:v>
      </x:c>
      <x:c r="C34" s="64" t="str">
        <x:v>cancelAnalysis</x:v>
      </x:c>
      <x:c r="D34" s="64" t="str">
        <x:v>DESIGN_ONLY_BASELINE_PRESERVED</x:v>
      </x:c>
      <x:c r="E34" s="64" t="str">
        <x:v>Quyền yêu cầu: run:cancel. Server resolve principal, không tin client owner. Kiểm tra policy/product/method/country tại service; mô-đun chưa mở trả trạng thái phù hợp.</x:v>
      </x:c>
    </x:row>
    <x:row r="35" ht="46" customHeight="1">
      <x:c r="A35" s="65" t="str">
        <x:v>GET</x:v>
      </x:c>
      <x:c r="B35" s="65" t="str">
        <x:v>/analysis-runs/{runId}/results</x:v>
      </x:c>
      <x:c r="C35" s="65" t="str">
        <x:v>analysisResults</x:v>
      </x:c>
      <x:c r="D35" s="65" t="str">
        <x:v>DESIGN_ONLY_BASELINE_PRESERVED</x:v>
      </x:c>
      <x:c r="E35" s="65" t="str">
        <x:v>Quyền yêu cầu: run:read. Server resolve principal, không tin client owner. Kiểm tra policy/product/method/country tại service; mô-đun chưa mở trả trạng thái phù hợp.</x:v>
      </x:c>
    </x:row>
    <x:row r="36" ht="46" customHeight="1">
      <x:c r="A36" s="64" t="str">
        <x:v>GET</x:v>
      </x:c>
      <x:c r="B36" s="64" t="str">
        <x:v>/results/{resultId}</x:v>
      </x:c>
      <x:c r="C36" s="64" t="str">
        <x:v>methodResult</x:v>
      </x:c>
      <x:c r="D36" s="64" t="str">
        <x:v>DESIGN_ONLY_BASELINE_PRESERVED</x:v>
      </x:c>
      <x:c r="E36" s="64" t="str">
        <x:v>Quyền yêu cầu: result:read. Server resolve principal, không tin client owner. Kiểm tra policy/product/method/country tại service; mô-đun chưa mở trả trạng thái phù hợp.</x:v>
      </x:c>
    </x:row>
    <x:row r="37" ht="46" customHeight="1">
      <x:c r="A37" s="65" t="str">
        <x:v>POST</x:v>
      </x:c>
      <x:c r="B37" s="65" t="str">
        <x:v>/reports</x:v>
      </x:c>
      <x:c r="C37" s="65" t="str">
        <x:v>createReport</x:v>
      </x:c>
      <x:c r="D37" s="65" t="str">
        <x:v>DESIGN_ONLY_BASELINE_PRESERVED</x:v>
      </x:c>
      <x:c r="E37" s="65" t="str">
        <x:v>Quyền yêu cầu: subject:report. Server resolve principal, không tin client owner. Kiểm tra policy/product/method/country tại service; mô-đun chưa mở trả trạng thái phù hợp.</x:v>
      </x:c>
    </x:row>
    <x:row r="38" ht="46" customHeight="1">
      <x:c r="A38" s="64" t="str">
        <x:v>GET</x:v>
      </x:c>
      <x:c r="B38" s="64" t="str">
        <x:v>/subjects/{subjectId}/reports</x:v>
      </x:c>
      <x:c r="C38" s="64" t="str">
        <x:v>reports</x:v>
      </x:c>
      <x:c r="D38" s="64" t="str">
        <x:v>DESIGN_ONLY_BASELINE_PRESERVED</x:v>
      </x:c>
      <x:c r="E38" s="64" t="str">
        <x:v>Quyền yêu cầu: subject:read. Server resolve principal, không tin client owner. Kiểm tra policy/product/method/country tại service; mô-đun chưa mở trả trạng thái phù hợp.</x:v>
      </x:c>
    </x:row>
    <x:row r="39" ht="46" customHeight="1">
      <x:c r="A39" s="65" t="str">
        <x:v>GET</x:v>
      </x:c>
      <x:c r="B39" s="65" t="str">
        <x:v>/reports/{reportId}</x:v>
      </x:c>
      <x:c r="C39" s="65" t="str">
        <x:v>report</x:v>
      </x:c>
      <x:c r="D39" s="65" t="str">
        <x:v>DESIGN_ONLY_BASELINE_PRESERVED</x:v>
      </x:c>
      <x:c r="E39" s="65" t="str">
        <x:v>Quyền yêu cầu: report:read. Server resolve principal, không tin client owner. Kiểm tra policy/product/method/country tại service; mô-đun chưa mở trả trạng thái phù hợp.</x:v>
      </x:c>
    </x:row>
    <x:row r="40" ht="46" customHeight="1">
      <x:c r="A40" s="64" t="str">
        <x:v>GET</x:v>
      </x:c>
      <x:c r="B40" s="64" t="str">
        <x:v>/reports/{reportId}/revisions</x:v>
      </x:c>
      <x:c r="C40" s="64" t="str">
        <x:v>reportRevisions</x:v>
      </x:c>
      <x:c r="D40" s="64" t="str">
        <x:v>DESIGN_ONLY_BASELINE_PRESERVED</x:v>
      </x:c>
      <x:c r="E40" s="64" t="str">
        <x:v>Quyền yêu cầu: report:read. Server resolve principal, không tin client owner. Kiểm tra policy/product/method/country tại service; mô-đun chưa mở trả trạng thái phù hợp.</x:v>
      </x:c>
    </x:row>
    <x:row r="41" ht="46" customHeight="1">
      <x:c r="A41" s="65" t="str">
        <x:v>POST</x:v>
      </x:c>
      <x:c r="B41" s="65" t="str">
        <x:v>/reports/{reportId}/reviews</x:v>
      </x:c>
      <x:c r="C41" s="65" t="str">
        <x:v>review</x:v>
      </x:c>
      <x:c r="D41" s="65" t="str">
        <x:v>DESIGN_ONLY_BASELINE_PRESERVED</x:v>
      </x:c>
      <x:c r="E41" s="65" t="str">
        <x:v>Quyền yêu cầu: report:review. Server resolve principal, không tin client owner. Kiểm tra policy/product/method/country tại service; mô-đun chưa mở trả trạng thái phù hợp.</x:v>
      </x:c>
    </x:row>
    <x:row r="42" ht="46" customHeight="1">
      <x:c r="A42" s="64" t="str">
        <x:v>POST</x:v>
      </x:c>
      <x:c r="B42" s="64" t="str">
        <x:v>/reports/{reportId}/publish</x:v>
      </x:c>
      <x:c r="C42" s="64" t="str">
        <x:v>publish</x:v>
      </x:c>
      <x:c r="D42" s="64" t="str">
        <x:v>DESIGN_ONLY_BASELINE_PRESERVED</x:v>
      </x:c>
      <x:c r="E42" s="64" t="str">
        <x:v>Quyền yêu cầu: report:publish. Server resolve principal, không tin client owner. Kiểm tra policy/product/method/country tại service; mô-đun chưa mở trả trạng thái phù hợp.</x:v>
      </x:c>
    </x:row>
    <x:row r="43" ht="46" customHeight="1">
      <x:c r="A43" s="65" t="str">
        <x:v>POST</x:v>
      </x:c>
      <x:c r="B43" s="65" t="str">
        <x:v>/reports/{reportId}/exports</x:v>
      </x:c>
      <x:c r="C43" s="65" t="str">
        <x:v>exportReport</x:v>
      </x:c>
      <x:c r="D43" s="65" t="str">
        <x:v>DESIGN_ONLY_BASELINE_PRESERVED</x:v>
      </x:c>
      <x:c r="E43" s="65" t="str">
        <x:v>Quyền yêu cầu: report:export. Server resolve principal, không tin client owner. Kiểm tra policy/product/method/country tại service; mô-đun chưa mở trả trạng thái phù hợp.</x:v>
      </x:c>
    </x:row>
    <x:row r="44" ht="46" customHeight="1">
      <x:c r="A44" s="64" t="str">
        <x:v>GET</x:v>
      </x:c>
      <x:c r="B44" s="64" t="str">
        <x:v>/artifacts/{artifactId}/download</x:v>
      </x:c>
      <x:c r="C44" s="64" t="str">
        <x:v>downloadArtifact</x:v>
      </x:c>
      <x:c r="D44" s="64" t="str">
        <x:v>DESIGN_ONLY_BASELINE_PRESERVED</x:v>
      </x:c>
      <x:c r="E44" s="64" t="str">
        <x:v>Quyền yêu cầu: artifact:download. Server resolve principal, không tin client owner. Kiểm tra policy/product/method/country tại service; mô-đun chưa mở trả trạng thái phù hợp.</x:v>
      </x:c>
    </x:row>
    <x:row r="45" ht="46" customHeight="1">
      <x:c r="A45" s="65" t="str">
        <x:v>POST</x:v>
      </x:c>
      <x:c r="B45" s="65" t="str">
        <x:v>/orders</x:v>
      </x:c>
      <x:c r="C45" s="65" t="str">
        <x:v>order</x:v>
      </x:c>
      <x:c r="D45" s="65" t="str">
        <x:v>DESIGN_ONLY_BASELINE_PRESERVED</x:v>
      </x:c>
      <x:c r="E45" s="65" t="str">
        <x:v>Quyền yêu cầu: self. Server resolve principal, không tin client owner. Kiểm tra policy/product/method/country tại service; mô-đun chưa mở trả trạng thái phù hợp.</x:v>
      </x:c>
    </x:row>
    <x:row r="46" ht="46" customHeight="1">
      <x:c r="A46" s="64" t="str">
        <x:v>GET</x:v>
      </x:c>
      <x:c r="B46" s="64" t="str">
        <x:v>/orders/{orderId}</x:v>
      </x:c>
      <x:c r="C46" s="64" t="str">
        <x:v>orderStatus</x:v>
      </x:c>
      <x:c r="D46" s="64" t="str">
        <x:v>DESIGN_ONLY_BASELINE_PRESERVED</x:v>
      </x:c>
      <x:c r="E46" s="64" t="str">
        <x:v>Quyền yêu cầu: order:owner. Server resolve principal, không tin client owner. Kiểm tra policy/product/method/country tại service; mô-đun chưa mở trả trạng thái phù hợp.</x:v>
      </x:c>
    </x:row>
    <x:row r="47" ht="46" customHeight="1">
      <x:c r="A47" s="65" t="str">
        <x:v>POST</x:v>
      </x:c>
      <x:c r="B47" s="65" t="str">
        <x:v>/orders/{orderId}/checkout</x:v>
      </x:c>
      <x:c r="C47" s="65" t="str">
        <x:v>checkout</x:v>
      </x:c>
      <x:c r="D47" s="65" t="str">
        <x:v>DESIGN_ONLY_BASELINE_PRESERVED</x:v>
      </x:c>
      <x:c r="E47" s="65" t="str">
        <x:v>Quyền yêu cầu: order:owner. Server resolve principal, không tin client owner. Kiểm tra policy/product/method/country tại service; mô-đun chưa mở trả trạng thái phù hợp.</x:v>
      </x:c>
    </x:row>
    <x:row r="48" ht="46" customHeight="1">
      <x:c r="A48" s="64" t="str">
        <x:v>POST</x:v>
      </x:c>
      <x:c r="B48" s="64" t="str">
        <x:v>/orders/{orderId}/refund-requests</x:v>
      </x:c>
      <x:c r="C48" s="64" t="str">
        <x:v>requestRefund</x:v>
      </x:c>
      <x:c r="D48" s="64" t="str">
        <x:v>DESIGN_ONLY_BASELINE_PRESERVED</x:v>
      </x:c>
      <x:c r="E48" s="64" t="str">
        <x:v>Quyền yêu cầu: order:owner. Server resolve principal, không tin client owner. Kiểm tra policy/product/method/country tại service; mô-đun chưa mở trả trạng thái phù hợp.</x:v>
      </x:c>
    </x:row>
    <x:row r="49" ht="46" customHeight="1">
      <x:c r="A49" s="65" t="str">
        <x:v>POST</x:v>
      </x:c>
      <x:c r="B49" s="65" t="str">
        <x:v>/webhooks/payments/{providerId}</x:v>
      </x:c>
      <x:c r="C49" s="65" t="str">
        <x:v>paymentWebhook</x:v>
      </x:c>
      <x:c r="D49" s="65" t="str">
        <x:v>DESIGN_ONLY_BASELINE_PRESERVED</x:v>
      </x:c>
      <x:c r="E49" s="65" t="str">
        <x:v>Provider signature on raw body, replay ledger, timestamp, order/currency/amount server verification. Provider not selected. Not an unauthenticated generic JSON processing route.</x:v>
      </x:c>
    </x:row>
    <x:row r="50" ht="46" customHeight="1">
      <x:c r="A50" s="64" t="str">
        <x:v>GET</x:v>
      </x:c>
      <x:c r="B50" s="64" t="str">
        <x:v>/entitlements</x:v>
      </x:c>
      <x:c r="C50" s="64" t="str">
        <x:v>entitlements</x:v>
      </x:c>
      <x:c r="D50" s="64" t="str">
        <x:v>DESIGN_ONLY_BASELINE_PRESERVED</x:v>
      </x:c>
      <x:c r="E50" s="64" t="str">
        <x:v>Quyền yêu cầu: self. Server resolve principal, không tin client owner. Kiểm tra policy/product/method/country tại service; mô-đun chưa mở trả trạng thái phù hợp.</x:v>
      </x:c>
    </x:row>
    <x:row r="51" ht="46" customHeight="1">
      <x:c r="A51" s="65" t="str">
        <x:v>POST</x:v>
      </x:c>
      <x:c r="B51" s="65" t="str">
        <x:v>/support/tickets</x:v>
      </x:c>
      <x:c r="C51" s="65" t="str">
        <x:v>ticket</x:v>
      </x:c>
      <x:c r="D51" s="65" t="str">
        <x:v>DESIGN_ONLY_BASELINE_PRESERVED</x:v>
      </x:c>
      <x:c r="E51" s="65" t="str">
        <x:v>Quyền yêu cầu: self. Server resolve principal, không tin client owner. Kiểm tra policy/product/method/country tại service; mô-đun chưa mở trả trạng thái phù hợp.</x:v>
      </x:c>
    </x:row>
    <x:row r="52" ht="46" customHeight="1">
      <x:c r="A52" s="64" t="str">
        <x:v>GET</x:v>
      </x:c>
      <x:c r="B52" s="64" t="str">
        <x:v>/support/tickets/{ticketId}</x:v>
      </x:c>
      <x:c r="C52" s="64" t="str">
        <x:v>ticketStatus</x:v>
      </x:c>
      <x:c r="D52" s="64" t="str">
        <x:v>DESIGN_ONLY_BASELINE_PRESERVED</x:v>
      </x:c>
      <x:c r="E52" s="64" t="str">
        <x:v>Quyền yêu cầu: ticket:owner. Server resolve principal, không tin client owner. Kiểm tra policy/product/method/country tại service; mô-đun chưa mở trả trạng thái phù hợp.</x:v>
      </x:c>
    </x:row>
    <x:row r="53" ht="46" customHeight="1">
      <x:c r="A53" s="65" t="str">
        <x:v>POST</x:v>
      </x:c>
      <x:c r="B53" s="65" t="str">
        <x:v>/subjects/{subjectId}/data-exports</x:v>
      </x:c>
      <x:c r="C53" s="65" t="str">
        <x:v>privacyExport</x:v>
      </x:c>
      <x:c r="D53" s="65" t="str">
        <x:v>DESIGN_ONLY_BASELINE_PRESERVED</x:v>
      </x:c>
      <x:c r="E53" s="65" t="str">
        <x:v>Quyền yêu cầu: subject:privacy. Server resolve principal, không tin client owner. Kiểm tra policy/product/method/country tại service; mô-đun chưa mở trả trạng thái phù hợp.</x:v>
      </x:c>
    </x:row>
    <x:row r="54" ht="46" customHeight="1">
      <x:c r="A54" s="64" t="str">
        <x:v>POST</x:v>
      </x:c>
      <x:c r="B54" s="64" t="str">
        <x:v>/subjects/{subjectId}/deletion-jobs</x:v>
      </x:c>
      <x:c r="C54" s="64" t="str">
        <x:v>deleteSubject</x:v>
      </x:c>
      <x:c r="D54" s="64" t="str">
        <x:v>DESIGN_ONLY_BASELINE_PRESERVED</x:v>
      </x:c>
      <x:c r="E54" s="64" t="str">
        <x:v>Quyền yêu cầu: subject:privacy. Server resolve principal, không tin client owner. Kiểm tra policy/product/method/country tại service; mô-đun chưa mở trả trạng thái phù hợp.</x:v>
      </x:c>
    </x:row>
    <x:row r="55" ht="46" customHeight="1">
      <x:c r="A55" s="65" t="str">
        <x:v>GET</x:v>
      </x:c>
      <x:c r="B55" s="65" t="str">
        <x:v>/deletion-jobs/{jobId}</x:v>
      </x:c>
      <x:c r="C55" s="65" t="str">
        <x:v>deletionStatus</x:v>
      </x:c>
      <x:c r="D55" s="65" t="str">
        <x:v>DESIGN_ONLY_BASELINE_PRESERVED</x:v>
      </x:c>
      <x:c r="E55" s="65" t="str">
        <x:v>Quyền yêu cầu: job:owner. Server resolve principal, không tin client owner. Kiểm tra policy/product/method/country tại service; mô-đun chưa mở trả trạng thái phù hợp.</x:v>
      </x:c>
    </x:row>
    <x:row r="56" ht="46" customHeight="1">
      <x:c r="A56" s="64" t="str">
        <x:v>GET</x:v>
      </x:c>
      <x:c r="B56" s="64" t="str">
        <x:v>/jobs/{jobId}</x:v>
      </x:c>
      <x:c r="C56" s="64" t="str">
        <x:v>jobStatus</x:v>
      </x:c>
      <x:c r="D56" s="64" t="str">
        <x:v>DESIGN_ONLY_BASELINE_PRESERVED</x:v>
      </x:c>
      <x:c r="E56" s="64" t="str">
        <x:v>Quyền yêu cầu: job:owner. Server resolve principal, không tin client owner. Kiểm tra policy/product/method/country tại service; mô-đun chưa mở trả trạng thái phù hợp.</x:v>
      </x:c>
    </x:row>
    <x:row r="57" ht="46" customHeight="1">
      <x:c r="A57" s="65" t="str">
        <x:v>POST</x:v>
      </x:c>
      <x:c r="B57" s="65" t="str">
        <x:v>/automations</x:v>
      </x:c>
      <x:c r="C57" s="65" t="str">
        <x:v>newAutomation</x:v>
      </x:c>
      <x:c r="D57" s="65" t="str">
        <x:v>DESIGN_ONLY_BASELINE_PRESERVED</x:v>
      </x:c>
      <x:c r="E57" s="65" t="str">
        <x:v>Quyền yêu cầu: subject:automate. Server resolve principal, không tin client owner. Kiểm tra policy/product/method/country tại service; mô-đun chưa mở trả trạng thái phù hợp.</x:v>
      </x:c>
    </x:row>
    <x:row r="58" ht="46" customHeight="1">
      <x:c r="A58" s="64" t="str">
        <x:v>DELETE</x:v>
      </x:c>
      <x:c r="B58" s="64" t="str">
        <x:v>/automations/{automationId}</x:v>
      </x:c>
      <x:c r="C58" s="64" t="str">
        <x:v>stopAutomation</x:v>
      </x:c>
      <x:c r="D58" s="64" t="str">
        <x:v>DESIGN_ONLY_BASELINE_PRESERVED</x:v>
      </x:c>
      <x:c r="E58" s="64" t="str">
        <x:v>Quyền yêu cầu: automation:owner. Server resolve principal, không tin client owner. Kiểm tra policy/product/method/country tại service; mô-đun chưa mở trả trạng thái phù hợp.</x:v>
      </x:c>
    </x:row>
    <x:row r="59" ht="46" customHeight="1">
      <x:c r="A59" s="65" t="str">
        <x:v>GET</x:v>
      </x:c>
      <x:c r="B59" s="65" t="str">
        <x:v>/practice/cases</x:v>
      </x:c>
      <x:c r="C59" s="65" t="str">
        <x:v>cases</x:v>
      </x:c>
      <x:c r="D59" s="65" t="str">
        <x:v>DESIGN_ONLY_BASELINE_PRESERVED</x:v>
      </x:c>
      <x:c r="E59" s="65" t="str">
        <x:v>Quyền yêu cầu: practitioner:assigned. Server resolve principal, không tin client owner. Kiểm tra policy/product/method/country tại service; mô-đun chưa mở trả trạng thái phù hợp.</x:v>
      </x:c>
    </x:row>
    <x:row r="60" ht="46" customHeight="1">
      <x:c r="A60" s="64" t="str">
        <x:v>GET</x:v>
      </x:c>
      <x:c r="B60" s="64" t="str">
        <x:v>/practice/cases/{caseId}</x:v>
      </x:c>
      <x:c r="C60" s="64" t="str">
        <x:v>caseDetail</x:v>
      </x:c>
      <x:c r="D60" s="64" t="str">
        <x:v>DESIGN_ONLY_BASELINE_PRESERVED</x:v>
      </x:c>
      <x:c r="E60" s="64" t="str">
        <x:v>Quyền yêu cầu: practitioner:assigned. Server resolve principal, không tin client owner. Kiểm tra policy/product/method/country tại service; mô-đun chưa mở trả trạng thái phù hợp.</x:v>
      </x:c>
    </x:row>
    <x:row r="61" ht="46" customHeight="1">
      <x:c r="A61" s="65" t="str">
        <x:v>GET</x:v>
      </x:c>
      <x:c r="B61" s="65" t="str">
        <x:v>/academy/courses</x:v>
      </x:c>
      <x:c r="C61" s="65" t="str">
        <x:v>courses</x:v>
      </x:c>
      <x:c r="D61" s="65" t="str">
        <x:v>DESIGN_ONLY_BASELINE_PRESERVED</x:v>
      </x:c>
      <x:c r="E61" s="65" t="str">
        <x:v>Quyền yêu cầu: public. Server resolve principal, không tin client owner. Kiểm tra policy/product/method/country tại service; mô-đun chưa mở trả trạng thái phù hợp.</x:v>
      </x:c>
    </x:row>
    <x:row r="62" ht="46" customHeight="1">
      <x:c r="A62" s="64" t="str">
        <x:v>POST</x:v>
      </x:c>
      <x:c r="B62" s="64" t="str">
        <x:v>/academy/assignments</x:v>
      </x:c>
      <x:c r="C62" s="64" t="str">
        <x:v>assignment</x:v>
      </x:c>
      <x:c r="D62" s="64" t="str">
        <x:v>DESIGN_ONLY_BASELINE_PRESERVED</x:v>
      </x:c>
      <x:c r="E62" s="64" t="str">
        <x:v>Quyền yêu cầu: enrollment:write. Server resolve principal, không tin client owner. Kiểm tra policy/product/method/country tại service; mô-đun chưa mở trả trạng thái phù hợp.</x:v>
      </x:c>
    </x:row>
    <x:row r="63" ht="46" customHeight="1">
      <x:c r="A63" s="65" t="str">
        <x:v>GET</x:v>
      </x:c>
      <x:c r="B63" s="65" t="str">
        <x:v>/certificates/{certificateId}</x:v>
      </x:c>
      <x:c r="C63" s="65" t="str">
        <x:v>verifyCertificate</x:v>
      </x:c>
      <x:c r="D63" s="65" t="str">
        <x:v>DESIGN_ONLY_BASELINE_PRESERVED</x:v>
      </x:c>
      <x:c r="E63" s="65" t="str">
        <x:v>Quyền yêu cầu: public_minimal. Server resolve principal, không tin client owner. Kiểm tra policy/product/method/country tại service; mô-đun chưa mở trả trạng thái phù hợp.</x:v>
      </x:c>
    </x:row>
    <x:row r="64" ht="46" customHeight="1">
      <x:c r="A64" s="64" t="str">
        <x:v>GET</x:v>
      </x:c>
      <x:c r="B64" s="64" t="str">
        <x:v>/organizations/{organizationId}/overview</x:v>
      </x:c>
      <x:c r="C64" s="64" t="str">
        <x:v>organizationOverview</x:v>
      </x:c>
      <x:c r="D64" s="64" t="str">
        <x:v>DESIGN_ONLY_BASELINE_PRESERVED</x:v>
      </x:c>
      <x:c r="E64" s="64" t="str">
        <x:v>Quyền yêu cầu: organization:member. Server resolve principal, không tin client owner. Kiểm tra policy/product/method/country tại service; mô-đun chưa mở trả trạng thái phù hợp.</x:v>
      </x:c>
    </x:row>
    <x:row r="65" ht="46" customHeight="1">
      <x:c r="A65" s="65" t="str">
        <x:v>GET</x:v>
      </x:c>
      <x:c r="B65" s="65" t="str">
        <x:v>/partners/{partnerId}</x:v>
      </x:c>
      <x:c r="C65" s="65" t="str">
        <x:v>partner</x:v>
      </x:c>
      <x:c r="D65" s="65" t="str">
        <x:v>DESIGN_ONLY_BASELINE_PRESERVED</x:v>
      </x:c>
      <x:c r="E65" s="65" t="str">
        <x:v>Quyền yêu cầu: partner:assigned. Server resolve principal, không tin client owner. Kiểm tra policy/product/method/country tại service; mô-đun chưa mở trả trạng thái phù hợp.</x:v>
      </x:c>
    </x:row>
    <x:row r="66" ht="46" customHeight="1">
      <x:c r="A66" s="64" t="str">
        <x:v>POST</x:v>
      </x:c>
      <x:c r="B66" s="64" t="str">
        <x:v>/admin/method-releases</x:v>
      </x:c>
      <x:c r="C66" s="64" t="str">
        <x:v>methodReleaseDraft</x:v>
      </x:c>
      <x:c r="D66" s="64" t="str">
        <x:v>DESIGN_ONLY_BASELINE_PRESERVED</x:v>
      </x:c>
      <x:c r="E66" s="64" t="str">
        <x:v>Quyền yêu cầu: method:editor. Server resolve principal, không tin client owner. Kiểm tra policy/product/method/country tại service; mô-đun chưa mở trả trạng thái phù hợp.</x:v>
      </x:c>
    </x:row>
    <x:row r="67" ht="46" customHeight="1">
      <x:c r="A67" s="65" t="str">
        <x:v>POST</x:v>
      </x:c>
      <x:c r="B67" s="65" t="str">
        <x:v>/admin/country-packs</x:v>
      </x:c>
      <x:c r="C67" s="65" t="str">
        <x:v>countryPackReview</x:v>
      </x:c>
      <x:c r="D67" s="65" t="str">
        <x:v>DESIGN_ONLY_BASELINE_PRESERVED</x:v>
      </x:c>
      <x:c r="E67" s="65" t="str">
        <x:v>Quyền yêu cầu: legal:reviewer. Server resolve principal, không tin client owner. Kiểm tra policy/product/method/country tại service; mô-đun chưa mở trả trạng thái phù hợp.</x:v>
      </x:c>
    </x:row>
    <x:row r="68" ht="46" customHeight="1">
      <x:c r="A68" s="64" t="str">
        <x:v>GET</x:v>
      </x:c>
      <x:c r="B68" s="64" t="str">
        <x:v>/admin/quality</x:v>
      </x:c>
      <x:c r="C68" s="64" t="str">
        <x:v>quality</x:v>
      </x:c>
      <x:c r="D68" s="64" t="str">
        <x:v>DESIGN_ONLY_BASELINE_PRESERVED</x:v>
      </x:c>
      <x:c r="E68" s="64" t="str">
        <x:v>Quyền yêu cầu: quality:reviewer. Server resolve principal, không tin client owner. Kiểm tra policy/product/method/country tại service; mô-đun chưa mở trả trạng thái phù hợp.</x:v>
      </x:c>
    </x:row>
    <x:row r="69" ht="46" customHeight="1">
      <x:c r="A69" s="65" t="str">
        <x:v>GET</x:v>
      </x:c>
      <x:c r="B69" s="65" t="str">
        <x:v>/admin/operations</x:v>
      </x:c>
      <x:c r="C69" s="65" t="str">
        <x:v>operations</x:v>
      </x:c>
      <x:c r="D69" s="65" t="str">
        <x:v>DESIGN_ONLY_BASELINE_PRESERVED</x:v>
      </x:c>
      <x:c r="E69" s="65" t="str">
        <x:v>Quyền yêu cầu: ops:reader. Server resolve principal, không tin client owner. Kiểm tra policy/product/method/country tại service; mô-đun chưa mở trả trạng thái phù hợp.</x:v>
      </x:c>
    </x:row>
    <x:row r="70" ht="46" customHeight="1">
      <x:c r="A70" s="64" t="str">
        <x:v>POST</x:v>
      </x:c>
      <x:c r="B70" s="64" t="str">
        <x:v>/analysis-runs/compare</x:v>
      </x:c>
      <x:c r="C70" s="64" t="str">
        <x:v>compareRuns</x:v>
      </x:c>
      <x:c r="D70" s="64" t="str">
        <x:v>NOT_IMPLEMENTED</x:v>
      </x:c>
      <x:c r="E70" s="64" t="str">
        <x:v>subject:read</x:v>
      </x:c>
    </x:row>
    <x:row r="71" ht="46" customHeight="1">
      <x:c r="A71" s="65" t="str">
        <x:v>POST</x:v>
      </x:c>
      <x:c r="B71" s="65" t="str">
        <x:v>/methods/{methodId}/preview</x:v>
      </x:c>
      <x:c r="C71" s="65" t="str">
        <x:v>previewMethod</x:v>
      </x:c>
      <x:c r="D71" s="65" t="str">
        <x:v>NOT_IMPLEMENTED</x:v>
      </x:c>
      <x:c r="E71" s="65" t="str">
        <x:v>method:preview</x:v>
      </x:c>
    </x:row>
    <x:row r="72" ht="46" customHeight="1">
      <x:c r="A72" s="64" t="str">
        <x:v>GET</x:v>
      </x:c>
      <x:c r="B72" s="64" t="str">
        <x:v>/methods/{methodId}/dependencies</x:v>
      </x:c>
      <x:c r="C72" s="64" t="str">
        <x:v>methodDependencies</x:v>
      </x:c>
      <x:c r="D72" s="64" t="str">
        <x:v>NOT_IMPLEMENTED</x:v>
      </x:c>
      <x:c r="E72" s="64" t="str">
        <x:v>method:read</x:v>
      </x:c>
    </x:row>
    <x:row r="73" ht="46" customHeight="1">
      <x:c r="A73" s="65" t="str">
        <x:v>GET</x:v>
      </x:c>
      <x:c r="B73" s="65" t="str">
        <x:v>/methods/{methodId}/test-vectors</x:v>
      </x:c>
      <x:c r="C73" s="65" t="str">
        <x:v>methodTestVectors</x:v>
      </x:c>
      <x:c r="D73" s="65" t="str">
        <x:v>NOT_IMPLEMENTED</x:v>
      </x:c>
      <x:c r="E73" s="65" t="str">
        <x:v>method:review</x:v>
      </x:c>
    </x:row>
    <x:row r="74" ht="46" customHeight="1">
      <x:c r="A74" s="64" t="str">
        <x:v>POST</x:v>
      </x:c>
      <x:c r="B74" s="64" t="str">
        <x:v>/subjects/{subjectId}/hypotheses/resolve</x:v>
      </x:c>
      <x:c r="C74" s="64" t="str">
        <x:v>resolveHypotheses</x:v>
      </x:c>
      <x:c r="D74" s="64" t="str">
        <x:v>NOT_IMPLEMENTED</x:v>
      </x:c>
      <x:c r="E74" s="64" t="str">
        <x:v>subject:write</x:v>
      </x:c>
    </x:row>
    <x:row r="75" ht="46" customHeight="1">
      <x:c r="A75" s="65" t="str">
        <x:v>GET</x:v>
      </x:c>
      <x:c r="B75" s="65" t="str">
        <x:v>/analysis-runs/{runId}/trace</x:v>
      </x:c>
      <x:c r="C75" s="65" t="str">
        <x:v>runTrace</x:v>
      </x:c>
      <x:c r="D75" s="65" t="str">
        <x:v>NOT_IMPLEMENTED</x:v>
      </x:c>
      <x:c r="E75" s="65" t="str">
        <x:v>subject:read</x:v>
      </x:c>
    </x:row>
    <x:row r="76" ht="46" customHeight="1">
      <x:c r="A76" s="64" t="str">
        <x:v>GET</x:v>
      </x:c>
      <x:c r="B76" s="64" t="str">
        <x:v>/analysis-runs/{runId}/dependencies</x:v>
      </x:c>
      <x:c r="C76" s="64" t="str">
        <x:v>runDependencies</x:v>
      </x:c>
      <x:c r="D76" s="64" t="str">
        <x:v>NOT_IMPLEMENTED</x:v>
      </x:c>
      <x:c r="E76" s="64" t="str">
        <x:v>subject:read</x:v>
      </x:c>
    </x:row>
    <x:row r="77" ht="46" customHeight="1">
      <x:c r="A77" s="65" t="str">
        <x:v>GET</x:v>
      </x:c>
      <x:c r="B77" s="65" t="str">
        <x:v>/claims/{claimId}/provenance</x:v>
      </x:c>
      <x:c r="C77" s="65" t="str">
        <x:v>claimProvenance</x:v>
      </x:c>
      <x:c r="D77" s="65" t="str">
        <x:v>NOT_IMPLEMENTED</x:v>
      </x:c>
      <x:c r="E77" s="65" t="str">
        <x:v>subject:read</x:v>
      </x:c>
    </x:row>
    <x:row r="78" ht="46" customHeight="1">
      <x:c r="A78" s="64" t="str">
        <x:v>POST</x:v>
      </x:c>
      <x:c r="B78" s="64" t="str">
        <x:v>/reports/{reportId}/review</x:v>
      </x:c>
      <x:c r="C78" s="64" t="str">
        <x:v>reviewReportV2</x:v>
      </x:c>
      <x:c r="D78" s="64" t="str">
        <x:v>NOT_IMPLEMENTED</x:v>
      </x:c>
      <x:c r="E78" s="64" t="str">
        <x:v>report:review</x:v>
      </x:c>
    </x:row>
    <x:row r="79" ht="46" customHeight="1">
      <x:c r="A79" s="65" t="str">
        <x:v>POST</x:v>
      </x:c>
      <x:c r="B79" s="65" t="str">
        <x:v>/reports/{reportId}/withdraw</x:v>
      </x:c>
      <x:c r="C79" s="65" t="str">
        <x:v>withdrawReportV2</x:v>
      </x:c>
      <x:c r="D79" s="65" t="str">
        <x:v>NOT_IMPLEMENTED</x:v>
      </x:c>
      <x:c r="E79" s="65" t="str">
        <x:v>report:withdraw</x:v>
      </x:c>
    </x:row>
    <x:row r="80" ht="46" customHeight="1">
      <x:c r="A80" s="64" t="str">
        <x:v>GET</x:v>
      </x:c>
      <x:c r="B80" s="64" t="str">
        <x:v>/reports/{reportId}/diff/{previousId}</x:v>
      </x:c>
      <x:c r="C80" s="64" t="str">
        <x:v>reportDiff</x:v>
      </x:c>
      <x:c r="D80" s="64" t="str">
        <x:v>NOT_IMPLEMENTED</x:v>
      </x:c>
      <x:c r="E80" s="64" t="str">
        <x:v>subject:read</x:v>
      </x:c>
    </x:row>
    <x:row r="81" ht="46" customHeight="1">
      <x:c r="A81" s="65" t="str">
        <x:v>POST</x:v>
      </x:c>
      <x:c r="B81" s="65" t="str">
        <x:v>/privacy/deletion-requests</x:v>
      </x:c>
      <x:c r="C81" s="65" t="str">
        <x:v>newDeletionV2</x:v>
      </x:c>
      <x:c r="D81" s="65" t="str">
        <x:v>NOT_IMPLEMENTED</x:v>
      </x:c>
      <x:c r="E81" s="65" t="str">
        <x:v>subject:delete</x:v>
      </x:c>
    </x:row>
    <x:row r="82" ht="46" customHeight="1">
      <x:c r="A82" s="64" t="str">
        <x:v>GET</x:v>
      </x:c>
      <x:c r="B82" s="64" t="str">
        <x:v>/privacy/deletion-requests/{requestId}</x:v>
      </x:c>
      <x:c r="C82" s="64" t="str">
        <x:v>deletionStatusV2</x:v>
      </x:c>
      <x:c r="D82" s="64" t="str">
        <x:v>NOT_IMPLEMENTED</x:v>
      </x:c>
      <x:c r="E82" s="64" t="str">
        <x:v>subject:read</x:v>
      </x:c>
    </x:row>
    <x:row r="83" ht="46" customHeight="1">
      <x:c r="A83" s="65" t="str">
        <x:v>GET</x:v>
      </x:c>
      <x:c r="B83" s="65" t="str">
        <x:v>/country-packs/{countryId}/eligibility</x:v>
      </x:c>
      <x:c r="C83" s="65" t="str">
        <x:v>countryEligibility</x:v>
      </x:c>
      <x:c r="D83" s="65" t="str">
        <x:v>NOT_IMPLEMENTED</x:v>
      </x:c>
      <x:c r="E83" s="65" t="str">
        <x:v>self</x:v>
      </x:c>
    </x:row>
    <x:row r="84" ht="46" customHeight="1">
      <x:c r="A84" s="64" t="str">
        <x:v>GET</x:v>
      </x:c>
      <x:c r="B84" s="64" t="str">
        <x:v>/operations/method-releases/{releaseId}/impact</x:v>
      </x:c>
      <x:c r="C84" s="64" t="str">
        <x:v>releaseImpact</x:v>
      </x:c>
      <x:c r="D84" s="64" t="str">
        <x:v>NOT_IMPLEMENTED</x:v>
      </x:c>
      <x:c r="E84" s="64" t="str">
        <x:v>method:review</x:v>
      </x:c>
    </x:row>
    <x:row r="85" ht="46" customHeight="1">
      <x:c r="A85" s="65" t="str">
        <x:v>POST</x:v>
      </x:c>
      <x:c r="B85" s="65" t="str">
        <x:v>/operations/method-releases/{releaseId}/freeze</x:v>
      </x:c>
      <x:c r="C85" s="65" t="str">
        <x:v>freezeMethod</x:v>
      </x:c>
      <x:c r="D85" s="65" t="str">
        <x:v>NOT_IMPLEMENTED</x:v>
      </x:c>
      <x:c r="E85" s="65" t="str">
        <x:v>method:release</x:v>
      </x:c>
    </x:row>
    <x:row r="86" ht="46" customHeight="1">
      <x:c r="A86" s="64" t="str">
        <x:v>GET</x:v>
      </x:c>
      <x:c r="B86" s="64" t="str">
        <x:v>/subjects/{subjectId}/resonance/summary</x:v>
      </x:c>
      <x:c r="C86" s="64" t="str">
        <x:v>resonanceSummaryV2</x:v>
      </x:c>
      <x:c r="D86" s="64" t="str">
        <x:v>NOT_IMPLEMENTED</x:v>
      </x:c>
      <x:c r="E86" s="64" t="str">
        <x:v>subject:read</x:v>
      </x:c>
    </x:row>
    <x:row r="87" ht="46" customHeight="1">
      <x:c r="A87" s="65" t="str">
        <x:v>POST</x:v>
      </x:c>
      <x:c r="B87" s="65" t="str">
        <x:v>/subjects/{subjectId}/offline-batches</x:v>
      </x:c>
      <x:c r="C87" s="65" t="str">
        <x:v>syncOfflineBatch</x:v>
      </x:c>
      <x:c r="D87" s="65" t="str">
        <x:v>NOT_IMPLEMENTED</x:v>
      </x:c>
      <x:c r="E87" s="65" t="str">
        <x:v>subject:write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79b3fd501dc46f0"/>
  </x:tableParts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55" hidden="0" customWidth="1"/>
    <x:col min="4" max="4" width="65" hidden="0" customWidth="1"/>
    <x:col min="5" max="5" width="30" hidden="0" customWidth="1"/>
  </x:cols>
  <x:sheetData>
    <x:row r="1" ht="34" customHeight="1">
      <x:c r="A1" s="56" t="str">
        <x:v>12 màn hình bổ sung</x:v>
      </x:c>
      <x:c r="B1" s="56"/>
      <x:c r="C1" s="56"/>
      <x:c r="D1" s="56"/>
      <x:c r="E1" s="56"/>
    </x:row>
    <x:row r="2" ht="34" customHeight="1">
      <x:c r="A2" s="58" t="str">
        <x:v>Giữ 45 màn hình gốc; tổng registry 57. Native app chưa được triển khai.</x:v>
      </x:c>
      <x:c r="B2" s="58"/>
      <x:c r="C2" s="58"/>
      <x:c r="D2" s="58"/>
      <x:c r="E2" s="58"/>
    </x:row>
    <x:row r="4" ht="28" customHeight="1">
      <x:c r="A4" s="61" t="str">
        <x:v>Mã</x:v>
      </x:c>
      <x:c r="B4" s="61" t="str">
        <x:v>Màn hình</x:v>
      </x:c>
      <x:c r="C4" s="61" t="str">
        <x:v>Route dự kiến</x:v>
      </x:c>
      <x:c r="D4" s="61" t="str">
        <x:v>Mục tiêu</x:v>
      </x:c>
      <x:c r="E4" s="61" t="str">
        <x:v>Trạng thái</x:v>
      </x:c>
    </x:row>
    <x:row r="5" ht="46" customHeight="1">
      <x:c r="A5" s="65" t="str">
        <x:v>V2-S01</x:v>
      </x:c>
      <x:c r="B5" s="65" t="str">
        <x:v>Thư viện demo</x:v>
      </x:c>
      <x:c r="C5" s="65" t="str">
        <x:v>/lab/cases</x:v>
      </x:c>
      <x:c r="D5" s="65" t="str">
        <x:v>Tìm và chạy tình huống tổng hợp</x:v>
      </x:c>
      <x:c r="E5" s="65" t="str">
        <x:v>REFERENCE_UI_ONLY</x:v>
      </x:c>
    </x:row>
    <x:row r="6" ht="46" customHeight="1">
      <x:c r="A6" s="64" t="str">
        <x:v>V2-S02</x:v>
      </x:c>
      <x:c r="B6" s="64" t="str">
        <x:v>So sánh phương án ngày sinh</x:v>
      </x:c>
      <x:c r="C6" s="64" t="str">
        <x:v>/app/profiles/:id/hypotheses</x:v>
      </x:c>
      <x:c r="D6" s="64" t="str">
        <x:v>Không tự chọn ngày theo lời luận</x:v>
      </x:c>
      <x:c r="E6" s="64" t="str">
        <x:v>DESIGN_ONLY</x:v>
      </x:c>
    </x:row>
    <x:row r="7" ht="46" customHeight="1">
      <x:c r="A7" s="65" t="str">
        <x:v>V2-S03</x:v>
      </x:c>
      <x:c r="B7" s="65" t="str">
        <x:v>Giải thích từng bước</x:v>
      </x:c>
      <x:c r="C7" s="65" t="str">
        <x:v>/app/runs/:id/trace</x:v>
      </x:c>
      <x:c r="D7" s="65" t="str">
        <x:v>Đọc công thức và bảng nguồn</x:v>
      </x:c>
      <x:c r="E7" s="65" t="str">
        <x:v>DESIGN_ONLY</x:v>
      </x:c>
    </x:row>
    <x:row r="8" ht="46" customHeight="1">
      <x:c r="A8" s="64" t="str">
        <x:v>V2-S04</x:v>
      </x:c>
      <x:c r="B8" s="64" t="str">
        <x:v>So sánh run</x:v>
      </x:c>
      <x:c r="C8" s="64" t="str">
        <x:v>/app/runs/compare</x:v>
      </x:c>
      <x:c r="D8" s="64" t="str">
        <x:v>Thấy thay đổi do input/rule</x:v>
      </x:c>
      <x:c r="E8" s="64" t="str">
        <x:v>DESIGN_ONLY</x:v>
      </x:c>
    </x:row>
    <x:row r="9" ht="46" customHeight="1">
      <x:c r="A9" s="65" t="str">
        <x:v>V2-S05</x:v>
      </x:c>
      <x:c r="B9" s="65" t="str">
        <x:v>Xung đột đồng bộ</x:v>
      </x:c>
      <x:c r="C9" s="65" t="str">
        <x:v>/app/sync/conflicts</x:v>
      </x:c>
      <x:c r="D9" s="65" t="str">
        <x:v>Không ghi đè offline âm thầm</x:v>
      </x:c>
      <x:c r="E9" s="65" t="str">
        <x:v>DESIGN_ONLY</x:v>
      </x:c>
    </x:row>
    <x:row r="10" ht="46" customHeight="1">
      <x:c r="A10" s="64" t="str">
        <x:v>V2-S06</x:v>
      </x:c>
      <x:c r="B10" s="64" t="str">
        <x:v>Bản đồ phụ thuộc</x:v>
      </x:c>
      <x:c r="C10" s="64" t="str">
        <x:v>/practice/methods/:id/dependencies</x:v>
      </x:c>
      <x:c r="D10" s="64" t="str">
        <x:v>Biết tác động khi thay nguồn</x:v>
      </x:c>
      <x:c r="E10" s="64" t="str">
        <x:v>DESIGN_ONLY</x:v>
      </x:c>
    </x:row>
    <x:row r="11" ht="46" customHeight="1">
      <x:c r="A11" s="65" t="str">
        <x:v>V2-S07</x:v>
      </x:c>
      <x:c r="B11" s="65" t="str">
        <x:v>Hàng chờ phương pháp</x:v>
      </x:c>
      <x:c r="C11" s="65" t="str">
        <x:v>/ops/methods/review</x:v>
      </x:c>
      <x:c r="D11" s="65" t="str">
        <x:v>Tách nghiên cứu và release</x:v>
      </x:c>
      <x:c r="E11" s="65" t="str">
        <x:v>DESIGN_ONLY</x:v>
      </x:c>
    </x:row>
    <x:row r="12" ht="46" customHeight="1">
      <x:c r="A12" s="64" t="str">
        <x:v>V2-S08</x:v>
      </x:c>
      <x:c r="B12" s="64" t="str">
        <x:v>Tác động thu hồi</x:v>
      </x:c>
      <x:c r="C12" s="64" t="str">
        <x:v>/ops/releases/:id/impact</x:v>
      </x:c>
      <x:c r="D12" s="64" t="str">
        <x:v>Tìm report liên quan</x:v>
      </x:c>
      <x:c r="E12" s="64" t="str">
        <x:v>DESIGN_ONLY</x:v>
      </x:c>
    </x:row>
    <x:row r="13" ht="46" customHeight="1">
      <x:c r="A13" s="65" t="str">
        <x:v>V2-S09</x:v>
      </x:c>
      <x:c r="B13" s="65" t="str">
        <x:v>Quyền đang chia sẻ</x:v>
      </x:c>
      <x:c r="C13" s="65" t="str">
        <x:v>/app/privacy/sharing</x:v>
      </x:c>
      <x:c r="D13" s="65" t="str">
        <x:v>Thu hồi theo từng mục đích</x:v>
      </x:c>
      <x:c r="E13" s="65" t="str">
        <x:v>DESIGN_ONLY</x:v>
      </x:c>
    </x:row>
    <x:row r="14" ht="46" customHeight="1">
      <x:c r="A14" s="64" t="str">
        <x:v>V2-S10</x:v>
      </x:c>
      <x:c r="B14" s="64" t="str">
        <x:v>Trạng thái xóa dữ liệu</x:v>
      </x:c>
      <x:c r="C14" s="64" t="str">
        <x:v>/app/privacy/deletions/:id</x:v>
      </x:c>
      <x:c r="D14" s="64" t="str">
        <x:v>Biết phần hoàn tất và chờ</x:v>
      </x:c>
      <x:c r="E14" s="64" t="str">
        <x:v>DESIGN_ONLY</x:v>
      </x:c>
    </x:row>
    <x:row r="15" ht="46" customHeight="1">
      <x:c r="A15" s="65" t="str">
        <x:v>V2-S11</x:v>
      </x:c>
      <x:c r="B15" s="65" t="str">
        <x:v>Điều kiện quốc gia</x:v>
      </x:c>
      <x:c r="C15" s="65" t="str">
        <x:v>/partners/countries/:code</x:v>
      </x:c>
      <x:c r="D15" s="65" t="str">
        <x:v>Không mở thị trường trước legal gate</x:v>
      </x:c>
      <x:c r="E15" s="65" t="str">
        <x:v>DESIGN_ONLY</x:v>
      </x:c>
    </x:row>
    <x:row r="16" ht="46" customHeight="1">
      <x:c r="A16" s="64" t="str">
        <x:v>V2-S12</x:v>
      </x:c>
      <x:c r="B16" s="64" t="str">
        <x:v>Mẫu sách có dữ liệu thiếu</x:v>
      </x:c>
      <x:c r="C16" s="64" t="str">
        <x:v>/lab/reports</x:v>
      </x:c>
      <x:c r="D16" s="64" t="str">
        <x:v>Thấy nội dung chưa đủ thay vì lời giả</x:v>
      </x:c>
      <x:c r="E16" s="64" t="str">
        <x:v>REFERENCE_UI_ONLY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2288b9aad0a4569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85" hidden="0" customWidth="1"/>
  </x:cols>
  <x:sheetData>
    <x:row r="1" ht="34" customHeight="1">
      <x:c r="A1" s="56" t="str">
        <x:v>LIFE CODE OS — BẢNG ĐIỀU HÀNH V2</x:v>
      </x:c>
      <x:c r="B1" s="56"/>
      <x:c r="C1" s="56"/>
    </x:row>
    <x:row r="2" ht="34" customHeight="1">
      <x:c r="A2" s="58" t="str">
        <x:v>20/10/2026 · 11 sheet cũ được giữ nguyên; V2 bổ sung, không tự phê duyệt hoặc đánh dấu production đã làm.</x:v>
      </x:c>
      <x:c r="B2" s="58"/>
      <x:c r="C2" s="58"/>
    </x:row>
    <x:row r="4" ht="28" customHeight="1">
      <x:c r="A4" s="61" t="str">
        <x:v>Hạng mục</x:v>
      </x:c>
      <x:c r="B4" s="61" t="str">
        <x:v>Giá trị / trạng thái</x:v>
      </x:c>
      <x:c r="C4" s="61" t="str">
        <x:v>Cách hiểu</x:v>
      </x:c>
    </x:row>
    <x:row r="5" ht="46" customHeight="1">
      <x:c r="A5" s="65" t="str">
        <x:v>Tệp gốc giữ nguyên</x:v>
      </x:c>
      <x:c r="B5" s="65" t="n">
        <x:f>COUNTA('V2_FileSync'!A5:A153)</x:f>
        <x:v>149</x:v>
      </x:c>
      <x:c r="C5" s="65" t="str">
        <x:v>Đối chiếu SHA-256 ở V2_FileSync</x:v>
      </x:c>
    </x:row>
    <x:row r="6" ht="46" customHeight="1">
      <x:c r="A6" s="64" t="str">
        <x:v>Công việc gốc</x:v>
      </x:c>
      <x:c r="B6" s="64" t="n">
        <x:v>140</x:v>
      </x:c>
      <x:c r="C6" s="64" t="str">
        <x:v>Giữ trong sheet Backlog</x:v>
      </x:c>
    </x:row>
    <x:row r="7" ht="46" customHeight="1">
      <x:c r="A7" s="65" t="str">
        <x:v>Công việc làm rõ V2</x:v>
      </x:c>
      <x:c r="B7" s="65" t="n">
        <x:f>COUNTA('V2_Tasks'!A5:A72)</x:f>
        <x:v>68</x:v>
      </x:c>
      <x:c r="C7" s="65" t="str">
        <x:v>Refinement; không cộng trùng ngày công</x:v>
      </x:c>
    </x:row>
    <x:row r="8" ht="46" customHeight="1">
      <x:c r="A8" s="64" t="str">
        <x:v>Bản ghi công thức</x:v>
      </x:c>
      <x:c r="B8" s="64" t="n">
        <x:f>COUNTA('V2_Formulas'!A5:A36)</x:f>
        <x:v>32</x:v>
      </x:c>
      <x:c r="C8" s="64" t="str">
        <x:v>Tham chiếu và nghiên cứu tách trạng thái</x:v>
      </x:c>
    </x:row>
    <x:row r="9" ht="46" customHeight="1">
      <x:c r="A9" s="65" t="str">
        <x:v>Ca demo có thể chạy</x:v>
      </x:c>
      <x:c r="B9" s="65" t="n">
        <x:f>COUNTA('V2_Demos'!A5:A94)</x:f>
        <x:v>90</x:v>
      </x:c>
      <x:c r="C9" s="65" t="str">
        <x:v>Dữ liệu tổng hợp, không gọi production</x:v>
      </x:c>
    </x:row>
    <x:row r="10" ht="46" customHeight="1">
      <x:c r="A10" s="64" t="str">
        <x:v>API đích</x:v>
      </x:c>
      <x:c r="B10" s="64" t="n">
        <x:f>COUNTA('V2_API'!A5:A87)</x:f>
        <x:v>83</x:v>
      </x:c>
      <x:c r="C10" s="64" t="str">
        <x:v>Đặc tả, chưa phải implementation</x:v>
      </x:c>
    </x:row>
    <x:row r="11" ht="46" customHeight="1">
      <x:c r="A11" s="65" t="str">
        <x:v>Màn hình kế hoạch</x:v>
      </x:c>
      <x:c r="B11" s="65" t="n">
        <x:v>57</x:v>
      </x:c>
      <x:c r="C11" s="65" t="str">
        <x:v>45 gốc + 12 bổ sung</x:v>
      </x:c>
    </x:row>
    <x:row r="12" ht="46" customHeight="1">
      <x:c r="A12" s="64" t="str">
        <x:v>Quyết định mới</x:v>
      </x:c>
      <x:c r="B12" s="64" t="n">
        <x:f>COUNTA('V2_Decisions'!A5:A14)</x:f>
        <x:v>10</x:v>
      </x:c>
      <x:c r="C12" s="64" t="str">
        <x:v>Q21–Q30; chưa duyệt</x:v>
      </x:c>
    </x:row>
    <x:row r="13" ht="46" customHeight="1">
      <x:c r="A13" s="65" t="str">
        <x:v>Node unit/HTTP tests</x:v>
      </x:c>
      <x:c r="B13" s="65" t="n">
        <x:v>125</x:v>
      </x:c>
      <x:c r="C13" s="65" t="str">
        <x:v>Receipt cục bộ; không phải production E2E</x:v>
      </x:c>
    </x:row>
    <x:row r="14" ht="46" customHeight="1">
      <x:c r="A14" s="64" t="str">
        <x:v>Bộ kiểm thử gốc</x:v>
      </x:c>
      <x:c r="B14" s="64" t="n">
        <x:v>83</x:v>
      </x:c>
      <x:c r="C14" s="64" t="str">
        <x:v>Rerun bộ gốc, chưa đổi code legacy</x:v>
      </x:c>
    </x:row>
    <x:row r="15" ht="46" customHeight="1">
      <x:c r="A15" s="65" t="str">
        <x:v>Môi trường production</x:v>
      </x:c>
      <x:c r="B15" s="65" t="str">
        <x:v>NO_GO_PENDING_GATES</x:v>
      </x:c>
      <x:c r="C15" s="65" t="str">
        <x:v>Chưa thay mã đang chạy</x:v>
      </x:c>
    </x:row>
    <x:row r="16" ht="46" customHeight="1">
      <x:c r="A16" s="64" t="str">
        <x:v>Ngân sách</x:v>
      </x:c>
      <x:c r="B16" s="64" t="str">
        <x:v>CHƯA ĐỦ GIẢ ĐỊNH</x:v>
      </x:c>
      <x:c r="C16" s="64" t="str">
        <x:v>Giữ nguyên bảng Costs; không bịa đơn giá</x:v>
      </x:c>
    </x:row>
    <x:row r="17" ht="46" customHeight="1">
      <x:c r="A17" s="65" t="str">
        <x:v>Repository</x:v>
      </x:c>
      <x:c r="B17" s="65" t="str">
        <x:v>GITHUB_WRITE_BLOCKED_403</x:v>
      </x:c>
      <x:c r="C17" s="65" t="str">
        <x:v>ZIP và importer đầy đủ; chưa ghi tệp lên GitHub.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d0f37e78205642ed"/>
  </x:tableParts>
</x:worksheet>
</file>