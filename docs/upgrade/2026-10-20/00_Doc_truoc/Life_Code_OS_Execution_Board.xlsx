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772fd04c48c4472e" /></Relationships>
</file>

<file path=xl/workbook.xml><?xml version="1.0" encoding="utf-8"?>
<x:workbook xmlns:x="http://schemas.openxmlformats.org/spreadsheetml/2006/main">
  <x:sheets>
    <x:sheet xmlns:r="http://schemas.openxmlformats.org/officeDocument/2006/relationships" name="DOC_TRUOC" sheetId="1" r:id="R72b0f8629eb849bf"/>
    <x:sheet xmlns:r="http://schemas.openxmlformats.org/officeDocument/2006/relationships" name="Backlog" sheetId="2" r:id="R65d8e8c4471b4cb5"/>
    <x:sheet xmlns:r="http://schemas.openxmlformats.org/officeDocument/2006/relationships" name="Gates" sheetId="3" r:id="Re5a0d1a8bb8d450b"/>
    <x:sheet xmlns:r="http://schemas.openxmlformats.org/officeDocument/2006/relationships" name="Decisions" sheetId="4" r:id="Rfb50e287cf314b77"/>
    <x:sheet xmlns:r="http://schemas.openxmlformats.org/officeDocument/2006/relationships" name="Products" sheetId="5" r:id="Rd4b9ba79c77e4673"/>
    <x:sheet xmlns:r="http://schemas.openxmlformats.org/officeDocument/2006/relationships" name="SourceMap" sheetId="6" r:id="Rdbdfcb6b06e94bac"/>
    <x:sheet xmlns:r="http://schemas.openxmlformats.org/officeDocument/2006/relationships" name="Sources" sheetId="7" r:id="R5f2e9605f0ad4ff1"/>
    <x:sheet xmlns:r="http://schemas.openxmlformats.org/officeDocument/2006/relationships" name="Screens" sheetId="8" r:id="R1c14e43ffc9249b2"/>
    <x:sheet xmlns:r="http://schemas.openxmlformats.org/officeDocument/2006/relationships" name="Countries" sheetId="9" r:id="R9ebce647c1914e44"/>
    <x:sheet xmlns:r="http://schemas.openxmlformats.org/officeDocument/2006/relationships" name="Costs" sheetId="10" r:id="Rda858fc6b4ef46bb"/>
    <x:sheet xmlns:r="http://schemas.openxmlformats.org/officeDocument/2006/relationships" name="Dashboard" sheetId="11" r:id="Rcbc3cf7e7d3244d3"/>
    <x:sheet xmlns:r="http://schemas.openxmlformats.org/officeDocument/2006/relationships" name="FPOS" sheetId="12" r:id="R75c68795598d4dbc"/>
    <x:sheet xmlns:r="http://schemas.openxmlformats.org/officeDocument/2006/relationships" name="Trace" sheetId="13" r:id="Rc27280a00c6d4713"/>
    <x:sheet xmlns:r="http://schemas.openxmlformats.org/officeDocument/2006/relationships" name="ReadCoverage" sheetId="14" r:id="R43dda6ab65b84a4e"/>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0;[Red](#,##0);&quot;—&quot;"/>
  </x:numFmts>
  <x:fonts count="15">
    <x:font>
      <x:sz val="11"/>
      <x:name val="Carlito"/>
    </x:font>
    <x:font>
      <x:b/>
      <x:sz val="18"/>
      <x:color rgb="FFFFFFFF"/>
      <x:name val="Carlito"/>
    </x:font>
    <x:font>
      <x:sz val="10"/>
      <x:color rgb="FF596B74"/>
      <x:name val="Carlito"/>
    </x:font>
    <x:font>
      <x:b/>
      <x:sz val="11"/>
      <x:color rgb="FFFFFFFF"/>
      <x:name val="Carlito"/>
    </x:font>
    <x:font>
      <x:sz val="10"/>
      <x:name val="Carlito"/>
    </x:font>
    <x:font>
      <x:sz val="10"/>
      <x:color rgb="FF245CA6"/>
      <x:name val="Carlito"/>
    </x:font>
    <x:font>
      <x:sz val="11"/>
      <x:color rgb="FF596B74"/>
      <x:name val="Carlito"/>
    </x:font>
    <x:font>
      <x:sz val="11"/>
      <x:color rgb="FF245CA6"/>
      <x:name val="Carlito"/>
    </x:font>
    <x:font>
      <x:b/>
      <x:sz val="26"/>
      <x:color rgb="FF173E46"/>
      <x:name val="Carlito"/>
    </x:font>
    <x:font>
      <x:b/>
      <x:sz val="11"/>
      <x:name val="Carlito"/>
    </x:font>
    <x:font>
      <x:sz val="11"/>
      <x:color rgb="FF173E46"/>
      <x:name val="Carlito"/>
    </x:font>
    <x:font>
      <x:b/>
      <x:sz val="10"/>
      <x:color rgb="FFFFFFFF"/>
      <x:name val="Arial"/>
    </x:font>
    <x:font>
      <x:sz val="10"/>
      <x:name val="Arial"/>
    </x:font>
    <x:font>
      <x:sz val="10"/>
      <x:color rgb="FF245CA6"/>
      <x:name val="Arial"/>
    </x:font>
    <x:font>
      <x:b/>
      <x:sz val="16"/>
      <x:color rgb="FF20384B"/>
      <x:name val="Arial"/>
    </x:font>
  </x:fonts>
  <x:fills count="7">
    <x:fill>
      <x:patternFill patternType="none"/>
    </x:fill>
    <x:fill>
      <x:patternFill patternType="gray125"/>
    </x:fill>
    <x:fill>
      <x:patternFill patternType="solid">
        <x:fgColor rgb="FF173E46"/>
      </x:patternFill>
    </x:fill>
    <x:fill>
      <x:patternFill patternType="solid">
        <x:fgColor rgb="FF176A61"/>
      </x:patternFill>
    </x:fill>
    <x:fill>
      <x:patternFill patternType="solid">
        <x:fgColor rgb="FFE9F1F0"/>
      </x:patternFill>
    </x:fill>
    <x:fill>
      <x:patternFill patternType="solid">
        <x:fgColor rgb="FF20384B"/>
      </x:patternFill>
    </x:fill>
    <x:fill>
      <x:patternFill patternType="solid">
        <x:fgColor rgb="FFFFF4CD"/>
      </x:patternFill>
    </x:fill>
  </x:fills>
  <x:borders count="2">
    <x:border/>
    <x:border/>
  </x:borders>
  <x:cellStyleXfs count="1">
    <x:xf numFmtId="0" fontId="0" fillId="0" borderId="0"/>
  </x:cellStyleXfs>
  <x:cellXfs count="76">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0" fillId="2" borderId="1" xfId="0" applyNumberFormat="1" applyFont="1" applyFill="1" applyBorder="1"/>
    <x:xf numFmtId="0" fontId="1" fillId="2" borderId="1"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1" xfId="0" applyNumberFormat="1" applyFont="1" applyFill="1" applyBorder="1"/>
    <x:xf numFmtId="0" fontId="2" fillId="0" borderId="1" xfId="0" applyNumberFormat="1" applyFont="1" applyFill="1" applyBorder="1" applyAlignment="1">
      <x:alignment wrapText="1"/>
    </x:xf>
    <x:xf numFmtId="0" fontId="0" fillId="3" borderId="0" xfId="0" applyNumberFormat="1" applyFont="1" applyFill="1" applyBorder="1"/>
    <x:xf numFmtId="0" fontId="3" fillId="3" borderId="0" xfId="0" applyNumberFormat="1" applyFont="1" applyFill="1" applyBorder="1"/>
    <x:xf numFmtId="0" fontId="0" fillId="3" borderId="1" xfId="0" applyNumberFormat="1" applyFont="1" applyFill="1" applyBorder="1"/>
    <x:xf numFmtId="0" fontId="3" fillId="3" borderId="1" xfId="0" applyNumberFormat="1" applyFont="1" applyFill="1" applyBorder="1"/>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3" fillId="3" borderId="0" xfId="0" applyNumberFormat="1" applyFont="1" applyFill="1" applyBorder="1" applyAlignment="1">
      <x:alignment wrapText="1"/>
    </x:xf>
    <x:xf numFmtId="0" fontId="3" fillId="3" borderId="1" xfId="0" applyNumberFormat="1" applyFont="1" applyFill="1" applyBorder="1" applyAlignment="1">
      <x:alignment wrapText="1"/>
    </x:xf>
    <x:xf numFmtId="0" fontId="4" fillId="0" borderId="0" xfId="0" applyNumberFormat="1" applyFont="1" applyFill="1" applyBorder="1"/>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0" borderId="1" xfId="0" applyNumberFormat="1" applyFont="1" applyFill="1" applyBorder="1"/>
    <x:xf numFmtId="0" fontId="4" fillId="0" borderId="1" xfId="0" applyNumberFormat="1" applyFont="1" applyFill="1" applyBorder="1" applyAlignment="1">
      <x:alignment wrapText="1"/>
    </x:xf>
    <x:xf numFmtId="0" fontId="4" fillId="0" borderId="1" xfId="0" applyNumberFormat="1" applyFont="1" applyFill="1" applyBorder="1" applyAlignment="1">
      <x:alignment vertical="top" wrapText="1"/>
    </x:xf>
    <x:xf numFmtId="0" fontId="5" fillId="0" borderId="0" xfId="0" applyNumberFormat="1" applyFont="1" applyFill="1" applyBorder="1" applyAlignment="1">
      <x:alignment vertical="top" wrapText="1"/>
    </x:xf>
    <x:xf numFmtId="0" fontId="5" fillId="0" borderId="1" xfId="0" applyNumberFormat="1" applyFont="1" applyFill="1" applyBorder="1" applyAlignment="1">
      <x:alignment vertical="top" wrapText="1"/>
    </x:xf>
    <x:xf numFmtId="200" fontId="4" fillId="0" borderId="0" xfId="0" applyNumberFormat="1" applyFont="1" applyFill="1" applyBorder="1" applyAlignment="1">
      <x:alignment vertical="top" wrapText="1"/>
    </x:xf>
    <x:xf numFmtId="200" fontId="4" fillId="0" borderId="1" xfId="0" applyNumberFormat="1" applyFont="1" applyFill="1" applyBorder="1" applyAlignment="1">
      <x:alignment vertical="top" wrapText="1"/>
    </x:xf>
    <x:xf numFmtId="201" fontId="0" fillId="0" borderId="0" xfId="0" applyNumberFormat="1" applyFont="1" applyFill="1" applyBorder="1"/>
    <x:xf numFmtId="201" fontId="0" fillId="0" borderId="1" xfId="0" applyNumberFormat="1" applyFont="1" applyFill="1" applyBorder="1"/>
    <x:xf numFmtId="0" fontId="6" fillId="0" borderId="0" xfId="0" applyNumberFormat="1" applyFont="1" applyFill="1" applyBorder="1"/>
    <x:xf numFmtId="0" fontId="6" fillId="0" borderId="0" xfId="0" applyNumberFormat="1" applyFont="1" applyFill="1" applyBorder="1" applyAlignment="1">
      <x:alignment wrapText="1"/>
    </x:xf>
    <x:xf numFmtId="0" fontId="6" fillId="0" borderId="1" xfId="0" applyNumberFormat="1" applyFont="1" applyFill="1" applyBorder="1"/>
    <x:xf numFmtId="0" fontId="6" fillId="0" borderId="1"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0" xfId="0" applyNumberFormat="1" applyFont="1" applyFill="1" applyBorder="1"/>
    <x:xf numFmtId="201" fontId="7" fillId="0" borderId="0" xfId="0" applyNumberFormat="1" applyFont="1" applyFill="1" applyBorder="1"/>
    <x:xf numFmtId="0" fontId="7" fillId="0" borderId="1" xfId="0" applyNumberFormat="1" applyFont="1" applyFill="1" applyBorder="1"/>
    <x:xf numFmtId="201" fontId="7" fillId="0" borderId="1" xfId="0" applyNumberFormat="1" applyFont="1" applyFill="1" applyBorder="1"/>
    <x:xf numFmtId="202" fontId="7" fillId="0" borderId="0" xfId="0" applyNumberFormat="1" applyFont="1" applyFill="1" applyBorder="1" applyAlignment="1">
      <x:alignment wrapText="1"/>
    </x:xf>
    <x:xf numFmtId="202" fontId="0" fillId="0" borderId="0" xfId="0" applyNumberFormat="1" applyFont="1" applyFill="1" applyBorder="1" applyAlignment="1">
      <x:alignment wrapText="1"/>
    </x:xf>
    <x:xf numFmtId="202" fontId="0" fillId="0" borderId="0" xfId="0" applyNumberFormat="1" applyFont="1" applyFill="1" applyBorder="1"/>
    <x:xf numFmtId="202" fontId="7" fillId="0" borderId="1" xfId="0" applyNumberFormat="1" applyFont="1" applyFill="1" applyBorder="1" applyAlignment="1">
      <x:alignment wrapText="1"/>
    </x:xf>
    <x:xf numFmtId="202" fontId="0" fillId="0" borderId="1" xfId="0" applyNumberFormat="1" applyFont="1" applyFill="1" applyBorder="1" applyAlignment="1">
      <x:alignment wrapText="1"/>
    </x:xf>
    <x:xf numFmtId="202" fontId="0" fillId="0" borderId="1" xfId="0" applyNumberFormat="1" applyFont="1" applyFill="1" applyBorder="1"/>
    <x:xf numFmtId="0" fontId="0" fillId="4" borderId="0" xfId="0" applyNumberFormat="1" applyFont="1" applyFill="1" applyBorder="1"/>
    <x:xf numFmtId="0" fontId="8" fillId="4" borderId="0" xfId="0" applyNumberFormat="1" applyFont="1" applyFill="1" applyBorder="1"/>
    <x:xf numFmtId="0" fontId="0" fillId="4" borderId="1" xfId="0" applyNumberFormat="1" applyFont="1" applyFill="1" applyBorder="1"/>
    <x:xf numFmtId="0" fontId="8" fillId="4" borderId="1" xfId="0" applyNumberFormat="1" applyFont="1" applyFill="1" applyBorder="1"/>
    <x:xf numFmtId="0" fontId="9" fillId="4" borderId="0" xfId="0" applyNumberFormat="1" applyFont="1" applyFill="1" applyBorder="1"/>
    <x:xf numFmtId="0" fontId="9" fillId="4" borderId="1" xfId="0" applyNumberFormat="1" applyFont="1" applyFill="1" applyBorder="1"/>
    <x:xf numFmtId="0" fontId="10" fillId="4" borderId="0" xfId="0" applyNumberFormat="1" applyFont="1" applyFill="1" applyBorder="1"/>
    <x:xf numFmtId="0" fontId="10" fillId="4" borderId="0" xfId="0" applyNumberFormat="1" applyFont="1" applyFill="1" applyBorder="1" applyAlignment="1">
      <x:alignment wrapText="1"/>
    </x:xf>
    <x:xf numFmtId="0" fontId="11" fillId="3" borderId="0" xfId="0" applyNumberFormat="1" applyFont="1" applyFill="1" applyBorder="1" applyAlignment="1">
      <x:alignment wrapText="1"/>
    </x:xf>
    <x:xf numFmtId="0" fontId="12" fillId="0" borderId="0" xfId="0" applyNumberFormat="1" applyFont="1" applyFill="1" applyBorder="1"/>
    <x:xf numFmtId="0" fontId="12" fillId="0"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200" fontId="12" fillId="0" borderId="0" xfId="0" applyNumberFormat="1" applyFont="1" applyFill="1" applyBorder="1" applyAlignment="1">
      <x:alignment vertical="top" wrapText="1"/>
    </x:xf>
    <x:xf numFmtId="0" fontId="11" fillId="5" borderId="0" xfId="0" applyNumberFormat="1" applyFont="1" applyFill="1" applyBorder="1" applyAlignment="1">
      <x:alignment wrapText="1"/>
    </x:xf>
    <x:xf numFmtId="0" fontId="12" fillId="5" borderId="0" xfId="0" applyNumberFormat="1" applyFont="1" applyFill="1" applyBorder="1"/>
    <x:xf numFmtId="0" fontId="11" fillId="5" borderId="0" xfId="0" applyNumberFormat="1" applyFont="1" applyFill="1" applyBorder="1"/>
    <x:xf numFmtId="0" fontId="12" fillId="0" borderId="0" xfId="0" applyNumberFormat="1" applyFont="1" applyFill="1" applyBorder="1" applyAlignment="1">
      <x:alignment wrapText="1"/>
    </x:xf>
    <x:xf numFmtId="0" fontId="12" fillId="6" borderId="0" xfId="0" applyNumberFormat="1" applyFont="1" applyFill="1" applyBorder="1" applyAlignment="1">
      <x:alignment wrapText="1"/>
    </x:xf>
    <x:xf numFmtId="0" fontId="0" fillId="6" borderId="0" xfId="0" applyNumberFormat="1" applyFont="1" applyFill="1" applyBorder="1"/>
    <x:xf numFmtId="0" fontId="0" fillId="0" borderId="0" xfId="0">
      <x:extLst>
        <x:ext uri="{C7286773-470A-42A8-94C5-96B5CB345126}">
          <xfpb:xfComplement xmlns:xfpb="http://schemas.microsoft.com/office/spreadsheetml/2022/featurepropertybag" i="0"/>
        </x:ext>
      </x:extLst>
    </x:xf>
    <x:xf numFmtId="0" fontId="12" fillId="0" borderId="0" xfId="0" applyNumberFormat="1" applyFont="1" applyFill="1" applyBorder="1">
      <x:extLst>
        <x:ext uri="{C7286773-470A-42A8-94C5-96B5CB345126}">
          <xfpb:xfComplement xmlns:xfpb="http://schemas.microsoft.com/office/spreadsheetml/2022/featurepropertybag" i="0"/>
        </x:ext>
      </x:extLst>
    </x:xf>
    <x:xf numFmtId="0" fontId="12"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11" fillId="5" borderId="0" xfId="0" applyNumberFormat="1" applyFont="1" applyFill="1" applyBorder="1" applyAlignment="1">
      <x:alignment vertical="top" wrapText="1"/>
    </x:xf>
    <x:xf numFmtId="0" fontId="12" fillId="6" borderId="0"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6" borderId="0" xfId="0" applyNumberFormat="1" applyFont="1" applyFill="1" applyBorder="1" applyAlignment="1">
      <x:alignment vertical="top"/>
    </x:xf>
    <x:xf numFmtId="0" fontId="12"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0" fontId="12" fillId="0" borderId="0" xfId="0" applyNumberFormat="1" applyFont="1" applyFill="1" applyBorder="1" applyAlignment="1">
      <x:alignment horizontal="center" vertical="top" wrapText="1"/>
    </x:xf>
    <x:xf numFmtId="0" fontId="12" fillId="0" borderId="0" xfId="0" applyNumberFormat="1" applyFont="1" applyFill="1" applyBorder="1" applyAlignment="1">
      <x:alignment horizontal="center" vertical="top" wrapText="1"/>
    </x:xf>
    <x:xf numFmtId="0" fontId="14"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ce6588e706d4cc0" /><Relationship Type="http://schemas.openxmlformats.org/officeDocument/2006/relationships/theme" Target="/xl/theme/theme1.xml" Id="Rb0dd509ceec64e39" /><Relationship Type="http://schemas.microsoft.com/office/2022/11/relationships/FeaturePropertyBag" Target="/xl/featurePropertyBag/featurePropertyBag.xml" Id="R181873b4f3ef4bef" /><Relationship Type="http://schemas.openxmlformats.org/officeDocument/2006/relationships/sharedStrings" Target="/xl/sharedStrings.xml" Id="Rd0593d878c9a4653" /><Relationship Type="http://schemas.openxmlformats.org/officeDocument/2006/relationships/worksheet" Target="/xl/worksheets/sheet1.xml" Id="R72b0f8629eb849bf" /><Relationship Type="http://schemas.openxmlformats.org/officeDocument/2006/relationships/worksheet" Target="/xl/worksheets/sheet2.xml" Id="R65d8e8c4471b4cb5" /><Relationship Type="http://schemas.openxmlformats.org/officeDocument/2006/relationships/worksheet" Target="/xl/worksheets/sheet3.xml" Id="Re5a0d1a8bb8d450b" /><Relationship Type="http://schemas.openxmlformats.org/officeDocument/2006/relationships/worksheet" Target="/xl/worksheets/sheet4.xml" Id="Rfb50e287cf314b77" /><Relationship Type="http://schemas.openxmlformats.org/officeDocument/2006/relationships/worksheet" Target="/xl/worksheets/sheet5.xml" Id="Rd4b9ba79c77e4673" /><Relationship Type="http://schemas.openxmlformats.org/officeDocument/2006/relationships/worksheet" Target="/xl/worksheets/sheet6.xml" Id="Rdbdfcb6b06e94bac" /><Relationship Type="http://schemas.openxmlformats.org/officeDocument/2006/relationships/worksheet" Target="/xl/worksheets/sheet7.xml" Id="R5f2e9605f0ad4ff1" /><Relationship Type="http://schemas.openxmlformats.org/officeDocument/2006/relationships/worksheet" Target="/xl/worksheets/sheet8.xml" Id="R1c14e43ffc9249b2" /><Relationship Type="http://schemas.openxmlformats.org/officeDocument/2006/relationships/worksheet" Target="/xl/worksheets/sheet9.xml" Id="R9ebce647c1914e44" /><Relationship Type="http://schemas.openxmlformats.org/officeDocument/2006/relationships/worksheet" Target="/xl/worksheets/sheet10.xml" Id="Rda858fc6b4ef46bb" /><Relationship Type="http://schemas.openxmlformats.org/officeDocument/2006/relationships/worksheet" Target="/xl/worksheets/sheet11.xml" Id="Rcbc3cf7e7d3244d3" /><Relationship Type="http://schemas.openxmlformats.org/officeDocument/2006/relationships/worksheet" Target="/xl/worksheets/sheet12.xml" Id="R75c68795598d4dbc" /><Relationship Type="http://schemas.openxmlformats.org/officeDocument/2006/relationships/worksheet" Target="/xl/worksheets/sheet13.xml" Id="Rc27280a00c6d4713" /><Relationship Type="http://schemas.openxmlformats.org/officeDocument/2006/relationships/worksheet" Target="/xl/worksheets/sheet14.xml" Id="R43dda6ab65b84a4e"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BacklogTable" displayName="BacklogTable" ref="A4:L144" headerRowCount="1" totalsRowCount="0" totalsRowShown="0">
  <x:tableColumns count="12">
    <x:tableColumn id="1" name="ID"/>
    <x:tableColumn id="2" name="Phase"/>
    <x:tableColumn id="3" name="Công việc"/>
    <x:tableColumn id="4" name="Chủ trì"/>
    <x:tableColumn id="5" name="Ưu tiên"/>
    <x:tableColumn id="6" name="Status"/>
    <x:tableColumn id="7" name="Ngày công thấp"/>
    <x:tableColumn id="8" name="Ngày công cao"/>
    <x:tableColumn id="9" name="Phụ thuộc"/>
    <x:tableColumn id="10" name="Gate"/>
    <x:tableColumn id="11" name="Nghiệm thu"/>
    <x:tableColumn id="12" name="Evidence"/>
  </x:tableColumns>
  <x:tableStyleInfo name="TableStyleMedium2" showFirstColumn="0" showLastColumn="0" showRowStripes="1" showColumnStripes="0"/>
</x:table>
</file>

<file path=xl/tables/table2.xml><?xml version="1.0" encoding="utf-8"?>
<x:table xmlns:x="http://schemas.openxmlformats.org/spreadsheetml/2006/main" id="2" name="GatesTable" displayName="GatesTable" ref="A4:F16" headerRowCount="1" totalsRowCount="0" totalsRowShown="0">
  <x:tableColumns count="6">
    <x:tableColumn id="1" name="Gate"/>
    <x:tableColumn id="2" name="Tên"/>
    <x:tableColumn id="3" name="Chủ trì"/>
    <x:tableColumn id="4" name="Status"/>
    <x:tableColumn id="5" name="Tiêu chí"/>
    <x:tableColumn id="6" name="Evidence"/>
  </x:tableColumns>
  <x:tableStyleInfo name="TableStyleMedium2" showFirstColumn="0" showLastColumn="0" showRowStripes="1" showColumnStripes="0"/>
</x:table>
</file>

<file path=xl/tables/table3.xml><?xml version="1.0" encoding="utf-8"?>
<x:table xmlns:x="http://schemas.openxmlformats.org/spreadsheetml/2006/main" id="3" name="DecisionsTable" displayName="DecisionsTable" ref="A4:E24" headerRowCount="1" totalsRowCount="0" totalsRowShown="0">
  <x:tableColumns count="5">
    <x:tableColumn id="1" name="Mã"/>
    <x:tableColumn id="2" name="Quyết định"/>
    <x:tableColumn id="3" name="Status"/>
    <x:tableColumn id="4" name="Người duyệt"/>
    <x:tableColumn id="5" name="Điều kiện / bằng chứng"/>
  </x:tableColumns>
  <x:tableStyleInfo name="TableStyleMedium2" showFirstColumn="0" showLastColumn="0" showRowStripes="1" showColumnStripes="0"/>
</x:table>
</file>

<file path=xl/tables/table4.xml><?xml version="1.0" encoding="utf-8"?>
<x:table xmlns:x="http://schemas.openxmlformats.org/spreadsheetml/2006/main" id="4" name="ProductsTable" displayName="ProductsTable" ref="A4:G27" headerRowCount="1" totalsRowCount="0" totalsRowShown="0">
  <x:tableColumns count="7">
    <x:tableColumn id="1" name="SKU"/>
    <x:tableColumn id="2" name="Sản phẩm"/>
    <x:tableColumn id="3" name="Cấp"/>
    <x:tableColumn id="4" name="Phase"/>
    <x:tableColumn id="5" name="Dòng"/>
    <x:tableColumn id="6" name="Đầu ra"/>
    <x:tableColumn id="7" name="Giới hạn"/>
  </x:tableColumns>
  <x:tableStyleInfo name="TableStyleMedium2" showFirstColumn="0" showLastColumn="0" showRowStripes="1" showColumnStripes="0"/>
</x:table>
</file>

<file path=xl/tables/table5.xml><?xml version="1.0" encoding="utf-8"?>
<x:table xmlns:x="http://schemas.openxmlformats.org/spreadsheetml/2006/main" id="5" name="SourceMapTable" displayName="SourceMapTable" ref="A4:G34" headerRowCount="1" totalsRowCount="0" totalsRowShown="0">
  <x:tableColumns count="7">
    <x:tableColumn id="1" name="Mã"/>
    <x:tableColumn id="2" name="Bề mặt"/>
    <x:tableColumn id="3" name="Tệp nguồn"/>
    <x:tableColumn id="4" name="Xử lý"/>
    <x:tableColumn id="5" name="Đích"/>
    <x:tableColumn id="6" name="Task"/>
    <x:tableColumn id="7" name="Tiêu chí"/>
  </x:tableColumns>
  <x:tableStyleInfo name="TableStyleMedium2" showFirstColumn="0" showLastColumn="0" showRowStripes="1" showColumnStripes="0"/>
</x:table>
</file>

<file path=xl/tables/table6.xml><?xml version="1.0" encoding="utf-8"?>
<x:table xmlns:x="http://schemas.openxmlformats.org/spreadsheetml/2006/main" id="6" name="SourcesTable" displayName="SourcesTable" ref="A4:E57" headerRowCount="1" totalsRowCount="0" totalsRowShown="0">
  <x:tableColumns count="5">
    <x:tableColumn id="1" name="ID"/>
    <x:tableColumn id="2" name="Tên"/>
    <x:tableColumn id="3" name="URL"/>
    <x:tableColumn id="4" name="Phạm vi đã tiếp cận"/>
    <x:tableColumn id="5" name="Giới hạn"/>
  </x:tableColumns>
  <x:tableStyleInfo name="TableStyleMedium2" showFirstColumn="0" showLastColumn="0" showRowStripes="1" showColumnStripes="0"/>
</x:table>
</file>

<file path=xl/tables/table7.xml><?xml version="1.0" encoding="utf-8"?>
<x:table xmlns:x="http://schemas.openxmlformats.org/spreadsheetml/2006/main" id="7" name="ScreensTable" displayName="ScreensTable" ref="A4:G49" headerRowCount="1" totalsRowCount="0" totalsRowShown="0">
  <x:tableColumns count="7">
    <x:tableColumn id="1" name="ID"/>
    <x:tableColumn id="2" name="Màn hình"/>
    <x:tableColumn id="3" name="Route đích"/>
    <x:tableColumn id="4" name="Principal"/>
    <x:tableColumn id="5" name="API"/>
    <x:tableColumn id="6" name="Trạng thái cần thử"/>
    <x:tableColumn id="7" name="Task"/>
  </x:tableColumns>
  <x:tableStyleInfo name="TableStyleMedium2" showFirstColumn="0" showLastColumn="0" showRowStripes="1" showColumnStripes="0"/>
</x:table>
</file>

<file path=xl/tables/table8.xml><?xml version="1.0" encoding="utf-8"?>
<x:table xmlns:x="http://schemas.openxmlformats.org/spreadsheetml/2006/main" id="8" name="CountriesTable" displayName="CountriesTable" ref="A4:E9" headerRowCount="1" totalsRowCount="0" totalsRowShown="0">
  <x:tableColumns count="5">
    <x:tableColumn id="1" name="Mã"/>
    <x:tableColumn id="2" name="Quốc gia"/>
    <x:tableColumn id="3" name="Locale"/>
    <x:tableColumn id="4" name="Status"/>
    <x:tableColumn id="5" name="Ghi chú"/>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f116d6e4fdf14352" /></Relationships>
</file>

<file path=xl/worksheets/_rels/sheet3.xml.rels>&#65279;<?xml version="1.0" encoding="utf-8"?><Relationships xmlns="http://schemas.openxmlformats.org/package/2006/relationships"><Relationship Type="http://schemas.openxmlformats.org/officeDocument/2006/relationships/table" Target="/xl/tables/table2.xml" Id="Rdb95f00997ec4014" /></Relationships>
</file>

<file path=xl/worksheets/_rels/sheet4.xml.rels>&#65279;<?xml version="1.0" encoding="utf-8"?><Relationships xmlns="http://schemas.openxmlformats.org/package/2006/relationships"><Relationship Type="http://schemas.openxmlformats.org/officeDocument/2006/relationships/table" Target="/xl/tables/table3.xml" Id="R4117cfc0e9694856" /></Relationships>
</file>

<file path=xl/worksheets/_rels/sheet5.xml.rels>&#65279;<?xml version="1.0" encoding="utf-8"?><Relationships xmlns="http://schemas.openxmlformats.org/package/2006/relationships"><Relationship Type="http://schemas.openxmlformats.org/officeDocument/2006/relationships/table" Target="/xl/tables/table4.xml" Id="R9e3b89249a1247bc" /></Relationships>
</file>

<file path=xl/worksheets/_rels/sheet6.xml.rels>&#65279;<?xml version="1.0" encoding="utf-8"?><Relationships xmlns="http://schemas.openxmlformats.org/package/2006/relationships"><Relationship Type="http://schemas.openxmlformats.org/officeDocument/2006/relationships/table" Target="/xl/tables/table5.xml" Id="R79f4ed795f7c465d" /></Relationships>
</file>

<file path=xl/worksheets/_rels/sheet7.xml.rels>&#65279;<?xml version="1.0" encoding="utf-8"?><Relationships xmlns="http://schemas.openxmlformats.org/package/2006/relationships"><Relationship Type="http://schemas.openxmlformats.org/officeDocument/2006/relationships/table" Target="/xl/tables/table6.xml" Id="Re58a77497d354a55" /></Relationships>
</file>

<file path=xl/worksheets/_rels/sheet8.xml.rels>&#65279;<?xml version="1.0" encoding="utf-8"?><Relationships xmlns="http://schemas.openxmlformats.org/package/2006/relationships"><Relationship Type="http://schemas.openxmlformats.org/officeDocument/2006/relationships/table" Target="/xl/tables/table7.xml" Id="R40bf134e0dbf4179" /></Relationships>
</file>

<file path=xl/worksheets/_rels/sheet9.xml.rels>&#65279;<?xml version="1.0" encoding="utf-8"?><Relationships xmlns="http://schemas.openxmlformats.org/package/2006/relationships"><Relationship Type="http://schemas.openxmlformats.org/officeDocument/2006/relationships/table" Target="/xl/tables/table8.xml" Id="R4735ff87a91f4c82"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4" hidden="0" customWidth="1"/>
    <x:col min="2" max="2" width="110" hidden="0" customWidth="1"/>
    <x:col min="3" max="3" width="20" hidden="0" customWidth="1"/>
    <x:col min="4" max="4" width="20" hidden="0" customWidth="1"/>
    <x:col min="5" max="5" width="20" hidden="0" customWidth="1"/>
    <x:col min="6" max="6" width="20" hidden="0" customWidth="1"/>
    <x:col min="7" max="7" width="20" hidden="0" customWidth="1"/>
    <x:col min="8" max="8" width="20" hidden="0" customWidth="1"/>
  </x:cols>
  <x:sheetData>
    <x:row r="1" ht="34" customHeight="1">
      <x:c r="A1" s="3" t="str">
        <x:v>LIFE CODE OS | Bảng điều hành nâng cấp</x:v>
      </x:c>
      <x:c r="B1" s="3"/>
      <x:c r="C1" s="3"/>
      <x:c r="D1" s="3"/>
      <x:c r="E1" s="3"/>
      <x:c r="F1" s="3"/>
      <x:c r="G1" s="3"/>
      <x:c r="H1" s="3"/>
    </x:row>
    <x:row r="2" ht="33" customHeight="1">
      <x:c r="A2" s="7" t="str">
        <x:v>Bản hợp nhất 20/10/2026. Giữ bản gốc trong sources. Mọi task production chưa bắt đầu; Q chưa được tự duyệt.</x:v>
      </x:c>
      <x:c r="B2" s="7"/>
      <x:c r="C2" s="7"/>
      <x:c r="D2" s="7"/>
      <x:c r="E2" s="7"/>
      <x:c r="F2" s="7"/>
      <x:c r="G2" s="7"/>
      <x:c r="H2" s="7"/>
    </x:row>
    <x:row r="4">
      <x:c r="A4" s="11" t="str">
        <x:v>MỤC</x:v>
      </x:c>
      <x:c r="B4" s="11" t="str">
        <x:v>CÁCH DÙNG</x:v>
      </x:c>
    </x:row>
    <x:row r="5" ht="48" customHeight="1">
      <x:c r="A5" s="14" t="str">
        <x:v>Trạng thái</x:v>
      </x:c>
      <x:c r="B5" s="14" t="str">
        <x:v>Backlog = NOT_STARTED; Gates = NOT_CHECKED. Không phải điểm hoàn thiện sản phẩm.</x:v>
      </x:c>
    </x:row>
    <x:row r="6" ht="48" customHeight="1">
      <x:c r="A6" s="14" t="str">
        <x:v>Chỉnh tiến độ</x:v>
      </x:c>
      <x:c r="B6" s="14" t="str">
        <x:v>Cột Status và Evidence trong Backlog/Gates dành cho đội triển khai cập nhật sau khi có bằng chứng.</x:v>
      </x:c>
    </x:row>
    <x:row r="7" ht="48" customHeight="1">
      <x:c r="A7" s="14" t="str">
        <x:v>Ước lượng</x:v>
      </x:c>
      <x:c r="B7" s="14" t="str">
        <x:v>Ngày công là khoảng dự kiến, không phải thời hạn calendar hoặc báo giá.</x:v>
      </x:c>
    </x:row>
    <x:row r="8" ht="48" customHeight="1">
      <x:c r="A8" s="14" t="str">
        <x:v>Ngân sách</x:v>
      </x:c>
      <x:c r="B8" s="14" t="str">
        <x:v>Costs có FTE và tháng đề xuất. Nhập đơn giá đã được duyệt; hệ không tự điền giá thị trường.</x:v>
      </x:c>
    </x:row>
    <x:row r="9" ht="48" customHeight="1">
      <x:c r="A9" s="14" t="str">
        <x:v>Quyền dữ liệu</x:v>
      </x:c>
      <x:c r="B9" s="14" t="str">
        <x:v>Export/correction/delete luôn có luồng miễn phí. Không dùng số hoặc ảnh để xếp hạng con người.</x:v>
      </x:c>
    </x:row>
    <x:row r="10" ht="48" customHeight="1">
      <x:c r="A10" s="14" t="str">
        <x:v>Nguồn</x:v>
      </x:c>
      <x:c r="B10" s="14" t="str">
        <x:v>Sources và SourceMap liên kết nguồn theo SHA hoặc URL. Deployed SHA chưa xác minh.</x:v>
      </x:c>
    </x:row>
    <x:row r="11" ht="48" customHeight="1">
      <x:c r="A11" s="14" t="str">
        <x:v>Bản chuẩn</x:v>
      </x:c>
      <x:c r="B11" s="14" t="str">
        <x:v>Chi tiết đọc trong MASTER PDF/DOCX và các tệp Markdown/JSON. Workbook là bảng quản trị.</x:v>
      </x:c>
    </x:row>
    <x:row r="12" ht="48" customHeight="1">
      <x:c r="A12" s="14" t="str">
        <x:v>Màu chữ</x:v>
      </x:c>
      <x:c r="B12" s="14" t="str">
        <x:v>Xanh lam: ô cần nhập/cập nhật; xanh đậm: tiêu đề; không mã màu giá trị con người.</x:v>
      </x:c>
    </x:row>
    <x:row r="13" ht="48" customHeight="1">
      <x:c r="A13" s="14" t="str">
        <x:v>Khả năng vận hành</x:v>
      </x:c>
      <x:c r="B13" s="14" t="str">
        <x:v>Mã tham chiếu và schema được thử cục bộ; không thay integration/security/production E2E.</x:v>
      </x:c>
    </x:row>
  </x:sheetData>
  <x:mergeCells>
    <x:mergeCell ref="A1:H1"/>
    <x:mergeCell ref="A2:H2"/>
  </x:mergeCells>
  <x:pageMargins left="0.7" right="0.7" top="0.75" bottom="0.75" header="0.3" footer="0.3"/>
</x:worksheet>
</file>

<file path=xl/worksheets/sheet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10" hidden="0" customWidth="1"/>
    <x:col min="3" max="3" width="18" hidden="0" customWidth="1"/>
    <x:col min="4" max="4" width="55" hidden="0" customWidth="1"/>
    <x:col min="5" max="5" width="28" hidden="0" customWidth="1"/>
    <x:col min="6" max="6" width="26" hidden="0" customWidth="1"/>
    <x:col min="7" max="7" width="16" hidden="0" customWidth="1"/>
    <x:col min="8" max="8" width="16" hidden="0" customWidth="1"/>
    <x:col min="9" max="9" width="35" hidden="0" customWidth="1"/>
    <x:col min="10" max="10" width="24" hidden="0" customWidth="1"/>
    <x:col min="11" max="11" width="55" hidden="0" customWidth="1"/>
    <x:col min="12" max="12" width="70" hidden="0" customWidth="1"/>
    <x:col min="14" max="14" width="55" hidden="0" customWidth="1"/>
    <x:col min="15" max="15" width="60" hidden="0" customWidth="1"/>
    <x:col min="16" max="16" width="50" hidden="0" customWidth="1"/>
    <x:col min="17" max="17" width="36" hidden="0" customWidth="1"/>
    <x:col min="18" max="18" width="28" hidden="0" customWidth="1"/>
    <x:col min="13" max="13" width="30" hidden="0" customWidth="1"/>
    <x:col min="19" max="19" width="60" hidden="0" customWidth="1"/>
    <x:col min="20" max="20" width="55" hidden="0" customWidth="1"/>
    <x:col min="21" max="21" width="65" hidden="0" customWidth="1"/>
    <x:col min="22" max="22" width="32" hidden="0" customWidth="1"/>
    <x:col min="23" max="23" width="65" hidden="0" customWidth="1"/>
    <x:col min="24" max="24" width="28" hidden="0" customWidth="1"/>
  </x:cols>
  <x:sheetData>
    <x:row r="1" ht="34" customHeight="1">
      <x:c r="A1" s="3" t="str">
        <x:v>Công việc phát triển Life Code OS</x:v>
      </x:c>
      <x:c r="B1" s="3"/>
      <x:c r="C1" s="3"/>
      <x:c r="D1" s="3"/>
      <x:c r="E1" s="3"/>
      <x:c r="F1" s="3"/>
      <x:c r="G1" s="3"/>
      <x:c r="H1" s="3"/>
      <x:c r="I1" s="3"/>
      <x:c r="J1" s="3"/>
      <x:c r="K1" s="3"/>
      <x:c r="L1" s="3"/>
    </x:row>
    <x:row r="2" ht="33" customHeight="1">
      <x:c r="A2" s="7" t="str">
        <x:v>Mọi dòng là việc triển khai cần làm; số ngày công là estimate thiết kế, chưa phải cam kết.</x:v>
      </x:c>
      <x:c r="B2" s="7"/>
      <x:c r="C2" s="7"/>
      <x:c r="D2" s="7"/>
      <x:c r="E2" s="7"/>
      <x:c r="F2" s="7"/>
      <x:c r="G2" s="7"/>
      <x:c r="H2" s="7"/>
      <x:c r="I2" s="7"/>
      <x:c r="J2" s="7"/>
      <x:c r="K2" s="7"/>
      <x:c r="L2" s="7"/>
    </x:row>
    <x:row r="4" ht="36" customHeight="1">
      <x:c r="A4" s="68" t="str">
        <x:v>ID</x:v>
      </x:c>
      <x:c r="B4" s="68" t="str">
        <x:v>Phase</x:v>
      </x:c>
      <x:c r="C4" s="68" t="str">
        <x:v>Luồng</x:v>
      </x:c>
      <x:c r="D4" s="68" t="str">
        <x:v>Công việc</x:v>
      </x:c>
      <x:c r="E4" s="68" t="str">
        <x:v>Vai trò</x:v>
      </x:c>
      <x:c r="F4" s="68" t="str">
        <x:v>Trạng thái</x:v>
      </x:c>
      <x:c r="G4" s="68" t="str">
        <x:v>Ngày công thấp</x:v>
      </x:c>
      <x:c r="H4" s="68" t="str">
        <x:v>Ngày công cao</x:v>
      </x:c>
      <x:c r="I4" s="68" t="str">
        <x:v>Phụ thuộc</x:v>
      </x:c>
      <x:c r="J4" s="68" t="str">
        <x:v>Gate</x:v>
      </x:c>
      <x:c r="K4" s="68" t="str">
        <x:v>Đầu ra</x:v>
      </x:c>
      <x:c r="L4" s="68" t="str">
        <x:v>Nghiệm thu</x:v>
      </x:c>
      <x:c r="M4" s="68" t="str">
        <x:v>Người được phân công</x:v>
      </x:c>
      <x:c r="N4" s="68" t="str">
        <x:v>Đường dẫn cho phép</x:v>
      </x:c>
      <x:c r="O4" s="68" t="str">
        <x:v>Kiểm thử</x:v>
      </x:c>
      <x:c r="P4" s="68" t="str">
        <x:v>Đường dẫn receipt</x:v>
      </x:c>
      <x:c r="Q4" s="68" t="str">
        <x:v>Reviewer</x:v>
      </x:c>
      <x:c r="R4" s="68" t="str">
        <x:v>Quyết định</x:v>
      </x:c>
      <x:c r="S4" s="68" t="str">
        <x:v>Kiểm thử phủ định</x:v>
      </x:c>
      <x:c r="T4" s="68" t="str">
        <x:v>Không được làm</x:v>
      </x:c>
      <x:c r="U4" s="68" t="str">
        <x:v>Rollback</x:v>
      </x:c>
      <x:c r="V4" s="68" t="str">
        <x:v>Quyền production</x:v>
      </x:c>
      <x:c r="W4" s="68" t="str">
        <x:v>Evidence bắt buộc</x:v>
      </x:c>
      <x:c r="X4" s="68" t="str">
        <x:v>Evidence status</x:v>
      </x:c>
    </x:row>
    <x:row r="5" ht="104" hidden="0" customHeight="1">
      <x:c r="A5" s="56" t="str">
        <x:v>P0-01</x:v>
      </x:c>
      <x:c r="B5" s="56" t="str">
        <x:v>P0</x:v>
      </x:c>
      <x:c r="C5" s="56" t="str">
        <x:v>P0</x:v>
      </x:c>
      <x:c r="D5" s="56" t="str">
        <x:v>Chốt scope containment và người chỉ huy</x:v>
      </x:c>
      <x:c r="E5" s="56" t="str">
        <x:v>Security + Platform</x:v>
      </x:c>
      <x:c r="F5" s="57" t="str">
        <x:v>NOT_STARTED</x:v>
      </x:c>
      <x:c r="G5" s="73" t="n">
        <x:v>1</x:v>
      </x:c>
      <x:c r="H5" s="73" t="n">
        <x:v>2</x:v>
      </x:c>
      <x:c r="I5" s="56" t="str"/>
      <x:c r="J5" s="56" t="str">
        <x:v>G01;G02;G03</x:v>
      </x:c>
      <x:c r="K5" s="56" t="str">
        <x:v>evidence/P0-01/receipt.json + diff/spec/test logs</x:v>
      </x:c>
      <x:c r="L5" s="57" t="str">
        <x:v>Scope/domain/role được ký; không có quyền deploy ngầm</x:v>
      </x:c>
      <x:c r="M5" s="69" t="str">
        <x:v>CHƯA PHÂN CÔNG</x:v>
      </x:c>
      <x:c r="N5" s="56" t="str">
        <x:v>docs/upgrade/2026-10-20/07_Bao_mat_Van_hanh/01_P0_CONTAINMENT.md
docs/upgrade/2026-10-20/08_Thuc_thi_Kinh_doanh/DECISION_REGISTER.json
evidence/tasks/P0-01/**</x:v>
      </x:c>
      <x:c r="O5" s="56" t="str">
        <x:v>P0-01:source_repo_remote_branch_full_sha_receipt
P0-01:named_commander_scope_environment_and_contact_matrix
P0-01:authority_separates_planning_containment_and_production_actions</x:v>
      </x:c>
      <x:c r="P5" s="56" t="str">
        <x:v>evidence/tasks/P0-01/&lt;sha&gt;/receipt.json</x:v>
      </x:c>
      <x:c r="Q5" s="56" t="str">
        <x:v>Independent QA/Security/Legal as applicable</x:v>
      </x:c>
      <x:c r="R5" s="56" t="str">
        <x:v>Q10
Q11</x:v>
      </x:c>
      <x:c r="S5" s="56" t="str">
        <x:v>P0-01:unnamed_or_expired_authority_rejected
P0-01:ambiguous_repo_or_environment_blocks_action
P0-01:general_continue_instruction_does_not_authorize_deploy_or_data_access</x:v>
      </x:c>
      <x:c r="T5" s="56" t="str">
        <x:v>production deploy or mutation
production/real-customer data access
secret value read or output
scope outside allowed paths
approval/status invention
history rewrite</x:v>
      </x:c>
      <x:c r="U5" s="56" t="str">
        <x:v>Version/revoke the scope decision with an audit trail; no runtime action is permitted by this task.</x:v>
      </x:c>
      <x:c r="V5" s="56" t="str">
        <x:v>SEPARATE_APPROVAL_REQUIRED</x:v>
      </x:c>
      <x:c r="W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5" s="56" t="str">
        <x:v>NOT_CHECKED</x:v>
      </x:c>
    </x:row>
    <x:row r="6" ht="212" hidden="0" customHeight="1">
      <x:c r="A6" s="56" t="str">
        <x:v>P0-02</x:v>
      </x:c>
      <x:c r="B6" s="56" t="str">
        <x:v>P0</x:v>
      </x:c>
      <x:c r="C6" s="56" t="str">
        <x:v>P0</x:v>
      </x:c>
      <x:c r="D6" s="56" t="str">
        <x:v>Lập surface inventory và lưu evidence riêng tư</x:v>
      </x:c>
      <x:c r="E6" s="56" t="str">
        <x:v>Security + Platform</x:v>
      </x:c>
      <x:c r="F6" s="57" t="str">
        <x:v>NOT_STARTED</x:v>
      </x:c>
      <x:c r="G6" s="73" t="n">
        <x:v>1</x:v>
      </x:c>
      <x:c r="H6" s="73" t="n">
        <x:v>2</x:v>
      </x:c>
      <x:c r="I6" s="56" t="str">
        <x:v>P0-08</x:v>
      </x:c>
      <x:c r="J6" s="56" t="str">
        <x:v>G01;G02;G03</x:v>
      </x:c>
      <x:c r="K6" s="56" t="str">
        <x:v>evidence/P0-02/receipt.json + diff/spec/test logs</x:v>
      </x:c>
      <x:c r="L6" s="57" t="str">
        <x:v>Liệt kê custom/worker/preview/jobs; không xuất PII</x:v>
      </x:c>
      <x:c r="M6" s="69" t="str">
        <x:v>CHƯA PHÂN CÔNG</x:v>
      </x:c>
      <x:c r="N6" s="56" t="str">
        <x:v>bat-dau.html
dashboard.html
engine-lab.html
workers/life-code-api/src/index.js
workers/life-code-api/src/engine.mjs
workers/life-code-api/src/report.mjs
engine/core/lci.js
engine/core/timeline.js
engine/core/risk-wealth-mission.js
.github/workflows/deploy-pages.yml
.github/workflows/deploy-worker.yml
scripts/prepare-pages.sh
scripts/deploy-pages.sh
workers/life-code-api/wrangler.toml
docs/upgrade/2026-10-20/09_Doi_chieu_Bang_chung/SOURCE_TO_TARGET_MATRIX.json
evidence/tasks/P0-02/**</x:v>
      </x:c>
      <x:c r="O6" s="56" t="str">
        <x:v>P0-02:inventory_public_custom_preview_and_workers_routes
P0-02:inventory_worker_bindings_queues_storage_and_deployment_ids
P0-02:hash_each_baseline_source_surface_and_evidence_artifact
P0-02:classify_owner_data_and_runtime_verification_state</x:v>
      </x:c>
      <x:c r="P6" s="56" t="str">
        <x:v>evidence/tasks/P0-02/&lt;sha&gt;/receipt.json</x:v>
      </x:c>
      <x:c r="Q6" s="56" t="str">
        <x:v>Independent QA/Security/Legal as applicable</x:v>
      </x:c>
      <x:c r="R6" s="56" t="str">
        <x:v>Q10
Q11</x:v>
      </x:c>
      <x:c r="S6" s="56" t="str">
        <x:v>P0-02:similarly_named_repo_domain_or_preview_not_substituted
P0-02:no_real_private_payload_or_token_captured
P0-02:missing_provider_receipt_remains_not_checked</x:v>
      </x:c>
      <x:c r="T6" s="56" t="str">
        <x:v>production deploy or mutation
production/real-customer data access
secret value read or output
scope outside allowed paths
approval/status invention
history rewrite</x:v>
      </x:c>
      <x:c r="U6" s="56" t="str">
        <x:v>Revert only the inventory document version; preserve collected evidence and source hashes, and do not mutate a runtime from inventory work.</x:v>
      </x:c>
      <x:c r="V6" s="56" t="str">
        <x:v>SEPARATE_APPROVAL_REQUIRED</x:v>
      </x:c>
      <x:c r="W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6" s="56" t="str">
        <x:v>NOT_CHECKED</x:v>
      </x:c>
    </x:row>
    <x:row r="7" ht="104" hidden="0" customHeight="1">
      <x:c r="A7" s="56" t="str">
        <x:v>P0-03</x:v>
      </x:c>
      <x:c r="B7" s="56" t="str">
        <x:v>P0</x:v>
      </x:c>
      <x:c r="C7" s="56" t="str">
        <x:v>P0</x:v>
      </x:c>
      <x:c r="D7" s="56" t="str">
        <x:v>Khóa intake/profile/report/session legacy server-side</x:v>
      </x:c>
      <x:c r="E7" s="56" t="str">
        <x:v>Security + Platform</x:v>
      </x:c>
      <x:c r="F7" s="57" t="str">
        <x:v>NOT_STARTED</x:v>
      </x:c>
      <x:c r="G7" s="73" t="n">
        <x:v>1</x:v>
      </x:c>
      <x:c r="H7" s="73" t="n">
        <x:v>2</x:v>
      </x:c>
      <x:c r="I7" s="56" t="str">
        <x:v>P0-02</x:v>
      </x:c>
      <x:c r="J7" s="56" t="str">
        <x:v>G01;G02;G03</x:v>
      </x:c>
      <x:c r="K7" s="56" t="str">
        <x:v>evidence/P0-03/receipt.json + diff/spec/test logs</x:v>
      </x:c>
      <x:c r="L7" s="57" t="str">
        <x:v>Mọi đường vòng được kiểm tra từ bên ngoài với dữ liệu giả</x:v>
      </x:c>
      <x:c r="M7" s="69" t="str">
        <x:v>CHƯA PHÂN CÔNG</x:v>
      </x:c>
      <x:c r="N7" s="56" t="str">
        <x:v>workers/life-code-api/src/index.js
workers/life-code-api/src/report.mjs
workers/life-code-api/tests/**
evidence/tasks/P0-03/**</x:v>
      </x:c>
      <x:c r="O7" s="56" t="str">
        <x:v>P0-03:anonymous_profile_report_and_intake_denied
P0-03:owner_profile_and_report_allowed_only_after_server_session
P0-03:cross_account_profile_and_result_id_denied_without_metadata
P0-03:blocked_request_has_no_write_job_or_artifact_side_effect</x:v>
      </x:c>
      <x:c r="P7" s="56" t="str">
        <x:v>evidence/tasks/P0-03/&lt;sha&gt;/receipt.json</x:v>
      </x:c>
      <x:c r="Q7" s="56" t="str">
        <x:v>Independent QA/Security/Legal as applicable</x:v>
      </x:c>
      <x:c r="R7" s="56" t="str">
        <x:v>Q10
Q11</x:v>
      </x:c>
      <x:c r="S7" s="56" t="str">
        <x:v>P0-03:path_body_query_and_header_id_swap
P0-03:direct_workers_preview_and_custom_domain_bypass_denied
P0-03:cors_or_noindex_never_substitutes_for_authorization</x:v>
      </x:c>
      <x:c r="T7" s="56" t="str">
        <x:v>production deploy or mutation
production/real-customer data access
secret value read or output
scope outside allowed paths
approval/status invention
history rewrite</x:v>
      </x:c>
      <x:c r="U7" s="56" t="str">
        <x:v>Roll back only to a verified containment artifact or static maintenance mode; never restore an artifact with the legacy unscoped routes.</x:v>
      </x:c>
      <x:c r="V7" s="56" t="str">
        <x:v>SEPARATE_APPROVAL_REQUIRED</x:v>
      </x:c>
      <x:c r="W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7" s="56" t="str">
        <x:v>NOT_CHECKED</x:v>
      </x:c>
    </x:row>
    <x:row r="8" ht="104" hidden="0" customHeight="1">
      <x:c r="A8" s="56" t="str">
        <x:v>P0-04</x:v>
      </x:c>
      <x:c r="B8" s="56" t="str">
        <x:v>P0</x:v>
      </x:c>
      <x:c r="C8" s="56" t="str">
        <x:v>P0</x:v>
      </x:c>
      <x:c r="D8" s="56" t="str">
        <x:v>Thu hồi token legacy và chặn cấp theo client ID</x:v>
      </x:c>
      <x:c r="E8" s="56" t="str">
        <x:v>Security + Platform</x:v>
      </x:c>
      <x:c r="F8" s="57" t="str">
        <x:v>NOT_STARTED</x:v>
      </x:c>
      <x:c r="G8" s="73" t="n">
        <x:v>1</x:v>
      </x:c>
      <x:c r="H8" s="73" t="n">
        <x:v>2</x:v>
      </x:c>
      <x:c r="I8" s="56" t="str">
        <x:v>P0-03</x:v>
      </x:c>
      <x:c r="J8" s="56" t="str">
        <x:v>G01;G02;G03</x:v>
      </x:c>
      <x:c r="K8" s="56" t="str">
        <x:v>evidence/P0-04/receipt.json + diff/spec/test logs</x:v>
      </x:c>
      <x:c r="L8" s="57" t="str">
        <x:v>Token cũ401; payload user_id không cấp quyền</x:v>
      </x:c>
      <x:c r="M8" s="69" t="str">
        <x:v>CHƯA PHÂN CÔNG</x:v>
      </x:c>
      <x:c r="N8" s="56" t="str">
        <x:v>workers/life-code-api/src/index.js
workers/life-code-api/tests/**
evidence/tasks/P0-04/**</x:v>
      </x:c>
      <x:c r="O8" s="56" t="str">
        <x:v>P0-04:client_user_id_is_ignored_as_identity
P0-04:legacy_token_rejected_on_every_private_route
P0-04:session_expiry_rotation_and_revoke_epoch
P0-04:revocation_receipt_contains_scope_count_and_environment_without_token_value</x:v>
      </x:c>
      <x:c r="P8" s="56" t="str">
        <x:v>evidence/tasks/P0-04/&lt;sha&gt;/receipt.json</x:v>
      </x:c>
      <x:c r="Q8" s="56" t="str">
        <x:v>Independent QA/Security/Legal as applicable</x:v>
      </x:c>
      <x:c r="R8" s="56" t="str">
        <x:v>Q10
Q11</x:v>
      </x:c>
      <x:c r="S8" s="56" t="str">
        <x:v>P0-04:replay_expired_revoked_and_forged_tokens
P0-04:body_query_or_header_identity_override_denied
P0-04:no_raw_token_in_database_log_or_receipt</x:v>
      </x:c>
      <x:c r="T8" s="56" t="str">
        <x:v>production deploy or mutation
production/real-customer data access
secret value read or output
scope outside allowed paths
approval/status invention
history rewrite</x:v>
      </x:c>
      <x:c r="U8" s="56" t="str">
        <x:v>Keep legacy issuance and tokens disabled; if new authentication fails, use signed-out/static maintenance rather than reactivating legacy sessions.</x:v>
      </x:c>
      <x:c r="V8" s="56" t="str">
        <x:v>SEPARATE_APPROVAL_REQUIRED</x:v>
      </x:c>
      <x:c r="W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8" s="56" t="str">
        <x:v>NOT_CHECKED</x:v>
      </x:c>
    </x:row>
    <x:row r="9" ht="104" hidden="0" customHeight="1">
      <x:c r="A9" s="56" t="str">
        <x:v>P0-05</x:v>
      </x:c>
      <x:c r="B9" s="56" t="str">
        <x:v>P0</x:v>
      </x:c>
      <x:c r="C9" s="56" t="str">
        <x:v>P0</x:v>
      </x:c>
      <x:c r="D9" s="56" t="str">
        <x:v>Ẩn và khóa Engine Lab mọi môi trường public</x:v>
      </x:c>
      <x:c r="E9" s="56" t="str">
        <x:v>Security + Platform</x:v>
      </x:c>
      <x:c r="F9" s="57" t="str">
        <x:v>NOT_STARTED</x:v>
      </x:c>
      <x:c r="G9" s="73" t="n">
        <x:v>1</x:v>
      </x:c>
      <x:c r="H9" s="73" t="n">
        <x:v>2</x:v>
      </x:c>
      <x:c r="I9" s="56" t="str">
        <x:v>P0-03</x:v>
      </x:c>
      <x:c r="J9" s="56" t="str">
        <x:v>G01;G02;G03</x:v>
      </x:c>
      <x:c r="K9" s="56" t="str">
        <x:v>evidence/P0-05/receipt.json + diff/spec/test logs</x:v>
      </x:c>
      <x:c r="L9" s="57" t="str">
        <x:v>Direct URL và API vẫn bị chặn, không chỉ noindex</x:v>
      </x:c>
      <x:c r="M9" s="69" t="str">
        <x:v>CHƯA PHÂN CÔNG</x:v>
      </x:c>
      <x:c r="N9" s="56" t="str">
        <x:v>engine-lab.html
.github/workflows/deploy-pages.yml
scripts/prepare-pages.sh
scripts/deploy-pages.sh
workers/life-code-api/wrangler.toml
evidence/tasks/P0-05/**</x:v>
      </x:c>
      <x:c r="O9" s="56" t="str">
        <x:v>P0-05:engine_lab_absent_from_public_allowlist_and_artifact
P0-05:custom_preview_and_workers_routes_deny_engine_lab
P0-05:direct_asset_and_case_variant_probe_denied
P0-05:internal_access_requires_server_authorization_if_retained</x:v>
      </x:c>
      <x:c r="P9" s="56" t="str">
        <x:v>evidence/tasks/P0-05/&lt;sha&gt;/receipt.json</x:v>
      </x:c>
      <x:c r="Q9" s="56" t="str">
        <x:v>Independent QA/Security/Legal as applicable</x:v>
      </x:c>
      <x:c r="R9" s="56" t="str">
        <x:v>Q10
Q11</x:v>
      </x:c>
      <x:c r="S9" s="56" t="str">
        <x:v>P0-05:hidden_link_noindex_or_client_redirect_not_accepted_as_control
P0-05:old_cached_artifact_cannot_reopen_engine_lab
P0-05:rollback_artifact_scan_rejects_engine_lab</x:v>
      </x:c>
      <x:c r="T9" s="56" t="str">
        <x:v>production deploy or mutation
production/real-customer data access
secret value read or output
scope outside allowed paths
approval/status invention
history rewrite</x:v>
      </x:c>
      <x:c r="U9" s="56" t="str">
        <x:v>Retain deny/static maintenance behavior; rollback may use only a scanned artifact that does not expose Engine Lab.</x:v>
      </x:c>
      <x:c r="V9" s="56" t="str">
        <x:v>SEPARATE_APPROVAL_REQUIRED</x:v>
      </x:c>
      <x:c r="W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9" s="56" t="str">
        <x:v>NOT_CHECKED</x:v>
      </x:c>
    </x:row>
    <x:row r="10" ht="152" hidden="0" customHeight="1">
      <x:c r="A10" s="56" t="str">
        <x:v>P0-06</x:v>
      </x:c>
      <x:c r="B10" s="56" t="str">
        <x:v>P0</x:v>
      </x:c>
      <x:c r="C10" s="56" t="str">
        <x:v>P0</x:v>
      </x:c>
      <x:c r="D10" s="56" t="str">
        <x:v>Cách ly LCI/timeline/risk legacy</x:v>
      </x:c>
      <x:c r="E10" s="56" t="str">
        <x:v>Security + Platform</x:v>
      </x:c>
      <x:c r="F10" s="57" t="str">
        <x:v>NOT_STARTED</x:v>
      </x:c>
      <x:c r="G10" s="73" t="n">
        <x:v>1</x:v>
      </x:c>
      <x:c r="H10" s="73" t="n">
        <x:v>2</x:v>
      </x:c>
      <x:c r="I10" s="56" t="str">
        <x:v>P0-03</x:v>
      </x:c>
      <x:c r="J10" s="56" t="str">
        <x:v>G01;G02;G03</x:v>
      </x:c>
      <x:c r="K10" s="56" t="str">
        <x:v>evidence/P0-06/receipt.json + diff/spec/test logs</x:v>
      </x:c>
      <x:c r="L10" s="57" t="str">
        <x:v>Không có seeded risk/mission trong output người dùng</x:v>
      </x:c>
      <x:c r="M10" s="69" t="str">
        <x:v>CHƯA PHÂN CÔNG</x:v>
      </x:c>
      <x:c r="N10" s="56" t="str">
        <x:v>engine/core/lci.js
engine/core/timeline.js
engine/core/risk-wealth-mission.js
engine/build-life-code-data.js
workers/life-code-api/src/engine.mjs
workers/life-code-api/src/report.mjs
bat-dau.html
dashboard.html
life-code-index.html
engine/tests/**
workers/life-code-api/tests/**
evidence/tasks/P0-06/**</x:v>
      </x:c>
      <x:c r="O10" s="56" t="str">
        <x:v>P0-06:no_lci_risk_wealth_mission_or_sine_timeline_in_public_output
P0-06:legacy_outputs_tagged_experimental_and_not_product_eligible
P0-06:report_and_api_cannot_select_quarantined_result
P0-06:public_artifact_scan_has_no_legacy_generated_data</x:v>
      </x:c>
      <x:c r="P10" s="56" t="str">
        <x:v>evidence/tasks/P0-06/&lt;sha&gt;/receipt.json</x:v>
      </x:c>
      <x:c r="Q10" s="56" t="str">
        <x:v>Independent QA/Security/Legal as applicable</x:v>
      </x:c>
      <x:c r="R10" s="56" t="str">
        <x:v>Q10
Q11</x:v>
      </x:c>
      <x:c r="S10" s="56" t="str">
        <x:v>P0-06:client_flag_product_or_entitlement_cannot_enable_legacy_output
P0-06:cached_report_or_old_job_cannot_publish_quarantined_result
P0-06:rollback_artifact_cannot_restore_legacy_output</x:v>
      </x:c>
      <x:c r="T10" s="56" t="str">
        <x:v>production deploy or mutation
production/real-customer data access
secret value read or output
scope outside allowed paths
approval/status invention
history rewrite</x:v>
      </x:c>
      <x:c r="U10" s="56" t="str">
        <x:v>Keep legacy engines and derived outputs quarantined; fall back to deterministic approved content or static explanation, never the prior scoring artifact.</x:v>
      </x:c>
      <x:c r="V10" s="56" t="str">
        <x:v>SEPARATE_APPROVAL_REQUIRED</x:v>
      </x:c>
      <x:c r="W1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0" s="56" t="str">
        <x:v>NOT_CHECKED</x:v>
      </x:c>
    </x:row>
    <x:row r="11" ht="116" hidden="0" customHeight="1">
      <x:c r="A11" s="56" t="str">
        <x:v>P0-07</x:v>
      </x:c>
      <x:c r="B11" s="56" t="str">
        <x:v>P0</x:v>
      </x:c>
      <x:c r="C11" s="56" t="str">
        <x:v>P0</x:v>
      </x:c>
      <x:c r="D11" s="56" t="str">
        <x:v>Bảo toàn và phân loại hồ sơ legacy</x:v>
      </x:c>
      <x:c r="E11" s="56" t="str">
        <x:v>Security + Platform</x:v>
      </x:c>
      <x:c r="F11" s="57" t="str">
        <x:v>NOT_STARTED</x:v>
      </x:c>
      <x:c r="G11" s="73" t="n">
        <x:v>1</x:v>
      </x:c>
      <x:c r="H11" s="73" t="n">
        <x:v>2</x:v>
      </x:c>
      <x:c r="I11" s="56" t="str">
        <x:v>P0-02</x:v>
      </x:c>
      <x:c r="J11" s="56" t="str">
        <x:v>G01;G02;G03</x:v>
      </x:c>
      <x:c r="K11" s="56" t="str">
        <x:v>evidence/P0-07/receipt.json + diff/spec/test logs</x:v>
      </x:c>
      <x:c r="L11" s="57" t="str">
        <x:v>Phân biệt raw input/quyền chưa rõ/output giả</x:v>
      </x:c>
      <x:c r="M11" s="69" t="str">
        <x:v>CHƯA PHÂN CÔNG</x:v>
      </x:c>
      <x:c r="N11" s="56" t="str">
        <x:v>workers/life-code-api/migrations/001_create_tables.sql
workers/life-code-api/migrations/002_create_sessions.sql
workers/life-code-api/migrations/003_add_profile_metadata.sql
workers/life-code-api/migrations/004_profile_advanced_and_session_meta.sql
workers/life-code-api/migrations/005_rate_limit_and_audit.sql
workers/life-code-api/migrations/006_alert_dispatch_logs.sql
docs/upgrade/2026-10-20/04_Backend_API/MIGRATION_RECONCILIATION_MATRIX.csv
evidence/tasks/P0-07/**</x:v>
      </x:c>
      <x:c r="O11" s="56" t="str">
        <x:v>P0-07:inventory_six_baseline_tables_with_counts_and_source_hashes
P0-07:classify_raw_derived_session_audit_and_unknown_owner_records
P0-07:quarantine_ambiguous_owner_and_legacy_derived_output
P0-07:preservation_manifest_contains_no_secret_or_private_payload</x:v>
      </x:c>
      <x:c r="P11" s="56" t="str">
        <x:v>evidence/tasks/P0-07/&lt;sha&gt;/receipt.json</x:v>
      </x:c>
      <x:c r="Q11" s="56" t="str">
        <x:v>Independent QA/Security/Legal as applicable</x:v>
      </x:c>
      <x:c r="R11" s="56" t="str">
        <x:v>Q10
Q11</x:v>
      </x:c>
      <x:c r="S11" s="56" t="str">
        <x:v>P0-07:no_delete_merge_reassign_or_real_data_migration
P0-07:name_birth_or_known_id_not_accepted_as_ownership
P0-07:legacy_output_not_promoted_to_v2_fact_or_training_truth</x:v>
      </x:c>
      <x:c r="T11" s="56" t="str">
        <x:v>production deploy or mutation
production/real-customer data access
secret value read or output
scope outside allowed paths
approval/status invention
history rewrite</x:v>
      </x:c>
      <x:c r="U11" s="56" t="str">
        <x:v>Preserve the encrypted/source-controlled evidence baseline; reverse only new classification metadata by batch/receipt and never delete the original during review.</x:v>
      </x:c>
      <x:c r="V11" s="56" t="str">
        <x:v>SEPARATE_APPROVAL_REQUIRED</x:v>
      </x:c>
      <x:c r="W1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1" s="56" t="str">
        <x:v>NOT_CHECKED</x:v>
      </x:c>
    </x:row>
    <x:row r="12" ht="104" hidden="0" customHeight="1">
      <x:c r="A12" s="56" t="str">
        <x:v>P0-08</x:v>
      </x:c>
      <x:c r="B12" s="56" t="str">
        <x:v>P0</x:v>
      </x:c>
      <x:c r="C12" s="56" t="str">
        <x:v>P0</x:v>
      </x:c>
      <x:c r="D12" s="56" t="str">
        <x:v>Xác minh clean clone ngoài thư mục iCloud</x:v>
      </x:c>
      <x:c r="E12" s="56" t="str">
        <x:v>Security + Platform</x:v>
      </x:c>
      <x:c r="F12" s="57" t="str">
        <x:v>NOT_STARTED</x:v>
      </x:c>
      <x:c r="G12" s="73" t="n">
        <x:v>1</x:v>
      </x:c>
      <x:c r="H12" s="73" t="n">
        <x:v>2</x:v>
      </x:c>
      <x:c r="I12" s="56" t="str">
        <x:v>P0-01</x:v>
      </x:c>
      <x:c r="J12" s="56" t="str">
        <x:v>G01;G02;G03</x:v>
      </x:c>
      <x:c r="K12" s="56" t="str">
        <x:v>evidence/P0-08/receipt.json + diff/spec/test logs</x:v>
      </x:c>
      <x:c r="L12" s="57" t="str">
        <x:v>Có snapshot không phá dữ liệu và diff exact HEAD</x:v>
      </x:c>
      <x:c r="M12" s="69" t="str">
        <x:v>CHƯA PHÂN CÔNG</x:v>
      </x:c>
      <x:c r="N12" s="56" t="str">
        <x:v>evidence/tasks/P0-08/**</x:v>
      </x:c>
      <x:c r="O12" s="56" t="str">
        <x:v>P0-08:clone_path_remote_branch_and_full_head_receipt
P0-08:git_fsck_objects_refs_and_commit_reachability
P0-08:clean_worktree_and_submodule_lfs_status_if_applicable
P0-08:baseline_file_hash_spot_checks_against_canonical_commit</x:v>
      </x:c>
      <x:c r="P12" s="56" t="str">
        <x:v>evidence/tasks/P0-08/&lt;sha&gt;/receipt.json</x:v>
      </x:c>
      <x:c r="Q12" s="56" t="str">
        <x:v>Independent QA/Security/Legal as applicable</x:v>
      </x:c>
      <x:c r="R12" s="56" t="str">
        <x:v>Q10
Q11</x:v>
      </x:c>
      <x:c r="S12" s="56" t="str">
        <x:v>P0-08:wrong_remote_near_name_or_archive_clone_rejected
P0-08:dirty_or_dataless_icloud_clone_rejected
P0-08:short_sha_or_reported_commit_without_object_rejected</x:v>
      </x:c>
      <x:c r="T12" s="56" t="str">
        <x:v>production deploy or mutation
production/real-customer data access
secret value read or output
scope outside allowed paths
approval/status invention
history rewrite</x:v>
      </x:c>
      <x:c r="U12" s="56" t="str">
        <x:v>Discard only the new candidate clone if verification fails; preserve the original checkout and receipts without attempting Git repair in place.</x:v>
      </x:c>
      <x:c r="V12" s="56" t="str">
        <x:v>SEPARATE_APPROVAL_REQUIRED</x:v>
      </x:c>
      <x:c r="W1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2" s="56" t="str">
        <x:v>NOT_CHECKED</x:v>
      </x:c>
    </x:row>
    <x:row r="13" ht="104" hidden="0" customHeight="1">
      <x:c r="A13" s="56" t="str">
        <x:v>P0-09</x:v>
      </x:c>
      <x:c r="B13" s="56" t="str">
        <x:v>P0</x:v>
      </x:c>
      <x:c r="C13" s="56" t="str">
        <x:v>P0</x:v>
      </x:c>
      <x:c r="D13" s="56" t="str">
        <x:v>Build allowlist và quét artifact tĩnh</x:v>
      </x:c>
      <x:c r="E13" s="56" t="str">
        <x:v>Security + Platform</x:v>
      </x:c>
      <x:c r="F13" s="57" t="str">
        <x:v>NOT_STARTED</x:v>
      </x:c>
      <x:c r="G13" s="73" t="n">
        <x:v>1</x:v>
      </x:c>
      <x:c r="H13" s="73" t="n">
        <x:v>2</x:v>
      </x:c>
      <x:c r="I13" s="56" t="str">
        <x:v>P0-08</x:v>
      </x:c>
      <x:c r="J13" s="56" t="str">
        <x:v>G01;G02;G03</x:v>
      </x:c>
      <x:c r="K13" s="56" t="str">
        <x:v>evidence/P0-09/receipt.json + diff/spec/test logs</x:v>
      </x:c>
      <x:c r="L13" s="57" t="str">
        <x:v>Không .env/workers/api/docs nội bộ ngoài allowlist</x:v>
      </x:c>
      <x:c r="M13" s="69" t="str">
        <x:v>CHƯA PHÂN CÔNG</x:v>
      </x:c>
      <x:c r="N13" s="56" t="str">
        <x:v>.github/workflows/deploy-pages.yml
scripts/prepare-pages.sh
scripts/deploy-pages.sh
package.json
package-lock.json
evidence/tasks/P0-09/**</x:v>
      </x:c>
      <x:c r="O13" s="56" t="str">
        <x:v>P0-09:build_from_explicit_public_allowlist
P0-09:artifact_manifest_paths_sizes_hashes_and_source_sha
P0-09:reproducible_build_digest_or_explained_nondeterminism
P0-09:static_route_and_content_smoke_on_artifact</x:v>
      </x:c>
      <x:c r="P13" s="56" t="str">
        <x:v>evidence/tasks/P0-09/&lt;sha&gt;/receipt.json</x:v>
      </x:c>
      <x:c r="Q13" s="56" t="str">
        <x:v>Independent QA/Security/Legal as applicable</x:v>
      </x:c>
      <x:c r="R13" s="56" t="str">
        <x:v>Q10
Q11</x:v>
      </x:c>
      <x:c r="S13" s="56" t="str">
        <x:v>P0-09:artifact_rejects_env_sql_migrations_engine_docs_evidence_and_private_fixtures
P0-09:symlink_path_traversal_and_unexpected_extension_rejected
P0-09:denylist_only_build_rejected</x:v>
      </x:c>
      <x:c r="T13" s="56" t="str">
        <x:v>production deploy or mutation
production/real-customer data access
secret value read or output
scope outside allowed paths
approval/status invention
history rewrite</x:v>
      </x:c>
      <x:c r="U13" s="56" t="str">
        <x:v>Return to the last independently scanned allowlist artifact or static maintenance; do not restore a denylist-built bundle.</x:v>
      </x:c>
      <x:c r="V13" s="56" t="str">
        <x:v>SEPARATE_APPROVAL_REQUIRED</x:v>
      </x:c>
      <x:c r="W1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3" s="56" t="str">
        <x:v>NOT_CHECKED</x:v>
      </x:c>
    </x:row>
    <x:row r="14" ht="104" hidden="0" customHeight="1">
      <x:c r="A14" s="56" t="str">
        <x:v>P0-10</x:v>
      </x:c>
      <x:c r="B14" s="56" t="str">
        <x:v>P0</x:v>
      </x:c>
      <x:c r="C14" s="56" t="str">
        <x:v>P0</x:v>
      </x:c>
      <x:c r="D14" s="56" t="str">
        <x:v>Deploy containment có approval và receipt</x:v>
      </x:c>
      <x:c r="E14" s="56" t="str">
        <x:v>Security + Platform</x:v>
      </x:c>
      <x:c r="F14" s="57" t="str">
        <x:v>NOT_STARTED</x:v>
      </x:c>
      <x:c r="G14" s="73" t="n">
        <x:v>1</x:v>
      </x:c>
      <x:c r="H14" s="73" t="n">
        <x:v>2</x:v>
      </x:c>
      <x:c r="I14" s="56" t="str">
        <x:v>P0-03;P0-04;P0-05;P0-06;P0-07;P0-09</x:v>
      </x:c>
      <x:c r="J14" s="56" t="str">
        <x:v>G01;G02;G03</x:v>
      </x:c>
      <x:c r="K14" s="56" t="str">
        <x:v>evidence/P0-10/receipt.json + diff/spec/test logs</x:v>
      </x:c>
      <x:c r="L14" s="57" t="str">
        <x:v>SHA/artifact/deploy ID/rollback safe liên kết</x:v>
      </x:c>
      <x:c r="M14" s="69" t="str">
        <x:v>CHƯA PHÂN CÔNG</x:v>
      </x:c>
      <x:c r="N14" s="56" t="str">
        <x:v>.github/workflows/deploy-pages.yml
.github/workflows/deploy-worker.yml
workers/life-code-api/wrangler.toml
evidence/tasks/P0-10/**</x:v>
      </x:c>
      <x:c r="O14" s="56" t="str">
        <x:v>P0-10:approval_binds_exact_sha_artifact_digest_target_and_window
P0-10:provider_deployment_ids_and_domain_routes_match_artifact
P0-10:allowlisted_post_deploy_smoke_and_failure_paths
P0-10:rollback_or_static_maintenance_rehearsal</x:v>
      </x:c>
      <x:c r="P14" s="56" t="str">
        <x:v>evidence/tasks/P0-10/&lt;sha&gt;/receipt.json</x:v>
      </x:c>
      <x:c r="Q14" s="56" t="str">
        <x:v>Independent QA/Security/Legal as applicable</x:v>
      </x:c>
      <x:c r="R14" s="56" t="str">
        <x:v>Q10
Q11</x:v>
      </x:c>
      <x:c r="S14" s="56" t="str">
        <x:v>P0-10:no_approval_or_target_mismatch_blocks_deploy
P0-10:preview_workers_and_custom_domain_bypass_denied
P0-10:rollback_candidate_with_original_vulnerability_rejected</x:v>
      </x:c>
      <x:c r="T14" s="56" t="str">
        <x:v>production deploy or mutation
production/real-customer data access
secret value read or output
scope outside allowed paths
approval/status invention
history rewrite</x:v>
      </x:c>
      <x:c r="U14" s="56" t="str">
        <x:v>Use only an independently verified safe artifact; if none exists, switch to approved static maintenance while preserving privacy-right and support paths.</x:v>
      </x:c>
      <x:c r="V14" s="56" t="str">
        <x:v>SEPARATE_APPROVAL_REQUIRED</x:v>
      </x:c>
      <x:c r="W1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4" s="56" t="str">
        <x:v>NOT_CHECKED</x:v>
      </x:c>
    </x:row>
    <x:row r="15" ht="104" hidden="0" customHeight="1">
      <x:c r="A15" s="56" t="str">
        <x:v>GOV-01</x:v>
      </x:c>
      <x:c r="B15" s="56" t="str">
        <x:v>A</x:v>
      </x:c>
      <x:c r="C15" s="56" t="str">
        <x:v>GOV</x:v>
      </x:c>
      <x:c r="D15" s="56" t="str">
        <x:v>Khóa Q1–Q12 và Q13–Q20</x:v>
      </x:c>
      <x:c r="E15" s="56" t="str">
        <x:v>Founder + Product + Legal</x:v>
      </x:c>
      <x:c r="F15" s="57" t="str">
        <x:v>NOT_STARTED</x:v>
      </x:c>
      <x:c r="G15" s="73" t="n">
        <x:v>2</x:v>
      </x:c>
      <x:c r="H15" s="73" t="n">
        <x:v>5</x:v>
      </x:c>
      <x:c r="I15" s="56" t="str">
        <x:v>P0-02</x:v>
      </x:c>
      <x:c r="J15" s="56" t="str">
        <x:v>G04;G06</x:v>
      </x:c>
      <x:c r="K15" s="56" t="str">
        <x:v>evidence/GOV-01/receipt.json + diff/spec/test logs</x:v>
      </x:c>
      <x:c r="L15" s="57" t="str">
        <x:v>Từng quyết định có điều kiện, approver và phạm vi</x:v>
      </x:c>
      <x:c r="M15" s="69" t="str">
        <x:v>CHƯA PHÂN CÔNG</x:v>
      </x:c>
      <x:c r="N15" s="56" t="str">
        <x:v>docs/**
governance/**
evidence/governance/**</x:v>
      </x:c>
      <x:c r="O15" s="56" t="str">
        <x:v>GOV-01:schema_validation
GOV-01:decision_dependency_review
GOV-01:source_rights_review
GOV-01:json_csv_parity</x:v>
      </x:c>
      <x:c r="P15" s="56" t="str">
        <x:v>evidence/tasks/GOV-01/&lt;sha&gt;/receipt.json</x:v>
      </x:c>
      <x:c r="Q15" s="56" t="str">
        <x:v>Independent QA/Security/Legal as applicable</x:v>
      </x:c>
      <x:c r="R15" s="56" t="str">
        <x:v>Q1
Q2
Q3
Q8
Q12
Q20</x:v>
      </x:c>
      <x:c r="S15" s="56" t="str">
        <x:v>GOV-01:missing_approver_not_promoted
GOV-01:pending_decision_not_encoded_as_approved</x:v>
      </x:c>
      <x:c r="T15" s="56" t="str">
        <x:v>production deploy or mutation
production/real-customer data access
secret value read or output
scope outside allowed paths
approval/status invention
history rewrite</x:v>
      </x:c>
      <x:c r="U15" s="56" t="str">
        <x:v>revert document/decision version with audit trail</x:v>
      </x:c>
      <x:c r="V15" s="56" t="str">
        <x:v>SEPARATE_APPROVAL_REQUIRED</x:v>
      </x:c>
      <x:c r="W1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5" s="56" t="str">
        <x:v>NOT_CHECKED</x:v>
      </x:c>
    </x:row>
    <x:row r="16" ht="104" hidden="0" customHeight="1">
      <x:c r="A16" s="56" t="str">
        <x:v>GOV-02</x:v>
      </x:c>
      <x:c r="B16" s="56" t="str">
        <x:v>A</x:v>
      </x:c>
      <x:c r="C16" s="56" t="str">
        <x:v>GOV</x:v>
      </x:c>
      <x:c r="D16" s="56" t="str">
        <x:v>Chốt thuật ngữ VI/EN và claim taxonomy</x:v>
      </x:c>
      <x:c r="E16" s="56" t="str">
        <x:v>Founder + Product + Legal</x:v>
      </x:c>
      <x:c r="F16" s="57" t="str">
        <x:v>NOT_STARTED</x:v>
      </x:c>
      <x:c r="G16" s="73" t="n">
        <x:v>2</x:v>
      </x:c>
      <x:c r="H16" s="73" t="n">
        <x:v>5</x:v>
      </x:c>
      <x:c r="I16" s="56" t="str">
        <x:v>GOV-01</x:v>
      </x:c>
      <x:c r="J16" s="56" t="str">
        <x:v>G04;G06</x:v>
      </x:c>
      <x:c r="K16" s="56" t="str">
        <x:v>evidence/GOV-02/receipt.json + diff/spec/test logs</x:v>
      </x:c>
      <x:c r="L16" s="57" t="str">
        <x:v>Sáu claim types, không ngôn ngữ phán quyết ẩn</x:v>
      </x:c>
      <x:c r="M16" s="69" t="str">
        <x:v>CHƯA PHÂN CÔNG</x:v>
      </x:c>
      <x:c r="N16" s="56" t="str">
        <x:v>docs/**
governance/**
evidence/governance/**</x:v>
      </x:c>
      <x:c r="O16" s="56" t="str">
        <x:v>GOV-02:schema_validation
GOV-02:decision_dependency_review
GOV-02:source_rights_review
GOV-02:json_csv_parity</x:v>
      </x:c>
      <x:c r="P16" s="56" t="str">
        <x:v>evidence/tasks/GOV-02/&lt;sha&gt;/receipt.json</x:v>
      </x:c>
      <x:c r="Q16" s="56" t="str">
        <x:v>Independent QA/Security/Legal as applicable</x:v>
      </x:c>
      <x:c r="R16" s="56" t="str">
        <x:v>Q1
Q2
Q3
Q8
Q12
Q20</x:v>
      </x:c>
      <x:c r="S16" s="56" t="str">
        <x:v>GOV-02:missing_approver_not_promoted
GOV-02:pending_decision_not_encoded_as_approved</x:v>
      </x:c>
      <x:c r="T16" s="56" t="str">
        <x:v>production deploy or mutation
production/real-customer data access
secret value read or output
scope outside allowed paths
approval/status invention
history rewrite</x:v>
      </x:c>
      <x:c r="U16" s="56" t="str">
        <x:v>revert document/decision version with audit trail</x:v>
      </x:c>
      <x:c r="V16" s="56" t="str">
        <x:v>SEPARATE_APPROVAL_REQUIRED</x:v>
      </x:c>
      <x:c r="W1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6" s="56" t="str">
        <x:v>NOT_CHECKED</x:v>
      </x:c>
    </x:row>
    <x:row r="17" ht="104" hidden="0" customHeight="1">
      <x:c r="A17" s="56" t="str">
        <x:v>GOV-03</x:v>
      </x:c>
      <x:c r="B17" s="56" t="str">
        <x:v>A</x:v>
      </x:c>
      <x:c r="C17" s="56" t="str">
        <x:v>GOV</x:v>
      </x:c>
      <x:c r="D17" s="56" t="str">
        <x:v>Chọn pháp nhân dịch vụ và data roles</x:v>
      </x:c>
      <x:c r="E17" s="56" t="str">
        <x:v>Founder + Product + Legal</x:v>
      </x:c>
      <x:c r="F17" s="57" t="str">
        <x:v>NOT_STARTED</x:v>
      </x:c>
      <x:c r="G17" s="73" t="n">
        <x:v>3</x:v>
      </x:c>
      <x:c r="H17" s="73" t="n">
        <x:v>7</x:v>
      </x:c>
      <x:c r="I17" s="56" t="str">
        <x:v>GOV-02</x:v>
      </x:c>
      <x:c r="J17" s="56" t="str">
        <x:v>G04;G06</x:v>
      </x:c>
      <x:c r="K17" s="56" t="str">
        <x:v>evidence/GOV-03/receipt.json + diff/spec/test logs</x:v>
      </x:c>
      <x:c r="L17" s="57" t="str">
        <x:v>Merchant/controller/processor không mơ hồ</x:v>
      </x:c>
      <x:c r="M17" s="69" t="str">
        <x:v>CHƯA PHÂN CÔNG</x:v>
      </x:c>
      <x:c r="N17" s="56" t="str">
        <x:v>docs/**
governance/**
evidence/governance/**</x:v>
      </x:c>
      <x:c r="O17" s="56" t="str">
        <x:v>GOV-03:schema_validation
GOV-03:decision_dependency_review
GOV-03:source_rights_review
GOV-03:json_csv_parity</x:v>
      </x:c>
      <x:c r="P17" s="56" t="str">
        <x:v>evidence/tasks/GOV-03/&lt;sha&gt;/receipt.json</x:v>
      </x:c>
      <x:c r="Q17" s="56" t="str">
        <x:v>Independent QA/Security/Legal as applicable</x:v>
      </x:c>
      <x:c r="R17" s="56" t="str">
        <x:v>Q1
Q2
Q3
Q8
Q12
Q20</x:v>
      </x:c>
      <x:c r="S17" s="56" t="str">
        <x:v>GOV-03:missing_approver_not_promoted
GOV-03:pending_decision_not_encoded_as_approved</x:v>
      </x:c>
      <x:c r="T17" s="56" t="str">
        <x:v>production deploy or mutation
production/real-customer data access
secret value read or output
scope outside allowed paths
approval/status invention
history rewrite</x:v>
      </x:c>
      <x:c r="U17" s="56" t="str">
        <x:v>revert document/decision version with audit trail</x:v>
      </x:c>
      <x:c r="V17" s="56" t="str">
        <x:v>SEPARATE_APPROVAL_REQUIRED</x:v>
      </x:c>
      <x:c r="W1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7" s="56" t="str">
        <x:v>NOT_CHECKED</x:v>
      </x:c>
    </x:row>
    <x:row r="18" ht="104" hidden="0" customHeight="1">
      <x:c r="A18" s="56" t="str">
        <x:v>GOV-04</x:v>
      </x:c>
      <x:c r="B18" s="56" t="str">
        <x:v>A</x:v>
      </x:c>
      <x:c r="C18" s="56" t="str">
        <x:v>GOV</x:v>
      </x:c>
      <x:c r="D18" s="56" t="str">
        <x:v>Phê duyệt privacy purposes và notices</x:v>
      </x:c>
      <x:c r="E18" s="56" t="str">
        <x:v>Founder + Product + Legal</x:v>
      </x:c>
      <x:c r="F18" s="57" t="str">
        <x:v>NOT_STARTED</x:v>
      </x:c>
      <x:c r="G18" s="73" t="n">
        <x:v>3</x:v>
      </x:c>
      <x:c r="H18" s="73" t="n">
        <x:v>7</x:v>
      </x:c>
      <x:c r="I18" s="56" t="str">
        <x:v>GOV-03</x:v>
      </x:c>
      <x:c r="J18" s="56" t="str">
        <x:v>G04;G06</x:v>
      </x:c>
      <x:c r="K18" s="56" t="str">
        <x:v>evidence/GOV-04/receipt.json + diff/spec/test logs</x:v>
      </x:c>
      <x:c r="L18" s="57" t="str">
        <x:v>Mục đích dịch vụ/research/marketing tách biệt</x:v>
      </x:c>
      <x:c r="M18" s="69" t="str">
        <x:v>CHƯA PHÂN CÔNG</x:v>
      </x:c>
      <x:c r="N18" s="56" t="str">
        <x:v>docs/**
governance/**
evidence/governance/**</x:v>
      </x:c>
      <x:c r="O18" s="56" t="str">
        <x:v>GOV-04:schema_validation
GOV-04:decision_dependency_review
GOV-04:source_rights_review
GOV-04:json_csv_parity</x:v>
      </x:c>
      <x:c r="P18" s="56" t="str">
        <x:v>evidence/tasks/GOV-04/&lt;sha&gt;/receipt.json</x:v>
      </x:c>
      <x:c r="Q18" s="56" t="str">
        <x:v>Independent QA/Security/Legal as applicable</x:v>
      </x:c>
      <x:c r="R18" s="56" t="str">
        <x:v>Q1
Q2
Q3
Q8
Q12
Q20</x:v>
      </x:c>
      <x:c r="S18" s="56" t="str">
        <x:v>GOV-04:missing_approver_not_promoted
GOV-04:pending_decision_not_encoded_as_approved</x:v>
      </x:c>
      <x:c r="T18" s="56" t="str">
        <x:v>production deploy or mutation
production/real-customer data access
secret value read or output
scope outside allowed paths
approval/status invention
history rewrite</x:v>
      </x:c>
      <x:c r="U18" s="56" t="str">
        <x:v>revert document/decision version with audit trail</x:v>
      </x:c>
      <x:c r="V18" s="56" t="str">
        <x:v>SEPARATE_APPROVAL_REQUIRED</x:v>
      </x:c>
      <x:c r="W1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8" s="56" t="str">
        <x:v>NOT_CHECKED</x:v>
      </x:c>
    </x:row>
    <x:row r="19" ht="104" hidden="0" customHeight="1">
      <x:c r="A19" s="56" t="str">
        <x:v>GOV-05</x:v>
      </x:c>
      <x:c r="B19" s="56" t="str">
        <x:v>A</x:v>
      </x:c>
      <x:c r="C19" s="56" t="str">
        <x:v>GOV</x:v>
      </x:c>
      <x:c r="D19" s="56" t="str">
        <x:v>Rà soát luật Việt Nam2026 theo chức năng</x:v>
      </x:c>
      <x:c r="E19" s="56" t="str">
        <x:v>Founder + Product + Legal</x:v>
      </x:c>
      <x:c r="F19" s="57" t="str">
        <x:v>NOT_STARTED</x:v>
      </x:c>
      <x:c r="G19" s="73" t="n">
        <x:v>3</x:v>
      </x:c>
      <x:c r="H19" s="73" t="n">
        <x:v>7</x:v>
      </x:c>
      <x:c r="I19" s="56" t="str">
        <x:v>GOV-04</x:v>
      </x:c>
      <x:c r="J19" s="56" t="str">
        <x:v>G04;G06</x:v>
      </x:c>
      <x:c r="K19" s="56" t="str">
        <x:v>evidence/GOV-05/receipt.json + diff/spec/test logs</x:v>
      </x:c>
      <x:c r="L19" s="57" t="str">
        <x:v>Ý kiến áp dụng dữ liệu/AI/TMĐT và chuyển tiếp</x:v>
      </x:c>
      <x:c r="M19" s="69" t="str">
        <x:v>CHƯA PHÂN CÔNG</x:v>
      </x:c>
      <x:c r="N19" s="56" t="str">
        <x:v>docs/**
governance/**
evidence/governance/**</x:v>
      </x:c>
      <x:c r="O19" s="56" t="str">
        <x:v>GOV-05:schema_validation
GOV-05:decision_dependency_review
GOV-05:source_rights_review
GOV-05:json_csv_parity</x:v>
      </x:c>
      <x:c r="P19" s="56" t="str">
        <x:v>evidence/tasks/GOV-05/&lt;sha&gt;/receipt.json</x:v>
      </x:c>
      <x:c r="Q19" s="56" t="str">
        <x:v>Independent QA/Security/Legal as applicable</x:v>
      </x:c>
      <x:c r="R19" s="56" t="str">
        <x:v>Q1
Q2
Q3
Q8
Q12
Q20</x:v>
      </x:c>
      <x:c r="S19" s="56" t="str">
        <x:v>GOV-05:missing_approver_not_promoted
GOV-05:pending_decision_not_encoded_as_approved</x:v>
      </x:c>
      <x:c r="T19" s="56" t="str">
        <x:v>production deploy or mutation
production/real-customer data access
secret value read or output
scope outside allowed paths
approval/status invention
history rewrite</x:v>
      </x:c>
      <x:c r="U19" s="56" t="str">
        <x:v>revert document/decision version with audit trail</x:v>
      </x:c>
      <x:c r="V19" s="56" t="str">
        <x:v>SEPARATE_APPROVAL_REQUIRED</x:v>
      </x:c>
      <x:c r="W1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9" s="56" t="str">
        <x:v>NOT_CHECKED</x:v>
      </x:c>
    </x:row>
    <x:row r="20" ht="104" hidden="0" customHeight="1">
      <x:c r="A20" s="56" t="str">
        <x:v>GOV-06</x:v>
      </x:c>
      <x:c r="B20" s="56" t="str">
        <x:v>A</x:v>
      </x:c>
      <x:c r="C20" s="56" t="str">
        <x:v>GOV</x:v>
      </x:c>
      <x:c r="D20" s="56" t="str">
        <x:v>Đánh giá IdP/DB/payment/AI vendors</x:v>
      </x:c>
      <x:c r="E20" s="56" t="str">
        <x:v>Founder + Product + Legal</x:v>
      </x:c>
      <x:c r="F20" s="57" t="str">
        <x:v>NOT_STARTED</x:v>
      </x:c>
      <x:c r="G20" s="73" t="n">
        <x:v>3</x:v>
      </x:c>
      <x:c r="H20" s="73" t="n">
        <x:v>7</x:v>
      </x:c>
      <x:c r="I20" s="56" t="str">
        <x:v>GOV-05</x:v>
      </x:c>
      <x:c r="J20" s="56" t="str">
        <x:v>G04;G06</x:v>
      </x:c>
      <x:c r="K20" s="56" t="str">
        <x:v>evidence/GOV-06/receipt.json + diff/spec/test logs</x:v>
      </x:c>
      <x:c r="L20" s="57" t="str">
        <x:v>Data regions/subprocessors/cost/exit được xem</x:v>
      </x:c>
      <x:c r="M20" s="69" t="str">
        <x:v>CHƯA PHÂN CÔNG</x:v>
      </x:c>
      <x:c r="N20" s="56" t="str">
        <x:v>docs/**
governance/**
evidence/governance/**</x:v>
      </x:c>
      <x:c r="O20" s="56" t="str">
        <x:v>GOV-06:schema_validation
GOV-06:decision_dependency_review
GOV-06:source_rights_review
GOV-06:json_csv_parity</x:v>
      </x:c>
      <x:c r="P20" s="56" t="str">
        <x:v>evidence/tasks/GOV-06/&lt;sha&gt;/receipt.json</x:v>
      </x:c>
      <x:c r="Q20" s="56" t="str">
        <x:v>Independent QA/Security/Legal as applicable</x:v>
      </x:c>
      <x:c r="R20" s="56" t="str">
        <x:v>Q1
Q2
Q3
Q8
Q12
Q20</x:v>
      </x:c>
      <x:c r="S20" s="56" t="str">
        <x:v>GOV-06:missing_approver_not_promoted
GOV-06:pending_decision_not_encoded_as_approved</x:v>
      </x:c>
      <x:c r="T20" s="56" t="str">
        <x:v>production deploy or mutation
production/real-customer data access
secret value read or output
scope outside allowed paths
approval/status invention
history rewrite</x:v>
      </x:c>
      <x:c r="U20" s="56" t="str">
        <x:v>revert document/decision version with audit trail</x:v>
      </x:c>
      <x:c r="V20" s="56" t="str">
        <x:v>SEPARATE_APPROVAL_REQUIRED</x:v>
      </x:c>
      <x:c r="W2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20" s="56" t="str">
        <x:v>NOT_CHECKED</x:v>
      </x:c>
    </x:row>
    <x:row r="21" ht="104" hidden="0" customHeight="1">
      <x:c r="A21" s="56" t="str">
        <x:v>GOV-07</x:v>
      </x:c>
      <x:c r="B21" s="56" t="str">
        <x:v>A</x:v>
      </x:c>
      <x:c r="C21" s="56" t="str">
        <x:v>GOV</x:v>
      </x:c>
      <x:c r="D21" s="56" t="str">
        <x:v>Thiết kế quyền nguồn và học liệu</x:v>
      </x:c>
      <x:c r="E21" s="56" t="str">
        <x:v>Founder + Product + Legal</x:v>
      </x:c>
      <x:c r="F21" s="57" t="str">
        <x:v>NOT_STARTED</x:v>
      </x:c>
      <x:c r="G21" s="73" t="n">
        <x:v>3</x:v>
      </x:c>
      <x:c r="H21" s="73" t="n">
        <x:v>7</x:v>
      </x:c>
      <x:c r="I21" s="56" t="str">
        <x:v>GOV-06</x:v>
      </x:c>
      <x:c r="J21" s="56" t="str">
        <x:v>G04;G06</x:v>
      </x:c>
      <x:c r="K21" s="56" t="str">
        <x:v>evidence/GOV-07/receipt.json + diff/spec/test logs</x:v>
      </x:c>
      <x:c r="L21" s="57" t="str">
        <x:v>Sources/edition/license dùng được có record</x:v>
      </x:c>
      <x:c r="M21" s="69" t="str">
        <x:v>CHƯA PHÂN CÔNG</x:v>
      </x:c>
      <x:c r="N21" s="56" t="str">
        <x:v>docs/**
governance/**
evidence/governance/**</x:v>
      </x:c>
      <x:c r="O21" s="56" t="str">
        <x:v>GOV-07:schema_validation
GOV-07:decision_dependency_review
GOV-07:source_rights_review
GOV-07:json_csv_parity</x:v>
      </x:c>
      <x:c r="P21" s="56" t="str">
        <x:v>evidence/tasks/GOV-07/&lt;sha&gt;/receipt.json</x:v>
      </x:c>
      <x:c r="Q21" s="56" t="str">
        <x:v>Independent QA/Security/Legal as applicable</x:v>
      </x:c>
      <x:c r="R21" s="56" t="str">
        <x:v>Q1
Q2
Q3
Q8
Q12
Q20</x:v>
      </x:c>
      <x:c r="S21" s="56" t="str">
        <x:v>GOV-07:missing_approver_not_promoted
GOV-07:pending_decision_not_encoded_as_approved</x:v>
      </x:c>
      <x:c r="T21" s="56" t="str">
        <x:v>production deploy or mutation
production/real-customer data access
secret value read or output
scope outside allowed paths
approval/status invention
history rewrite</x:v>
      </x:c>
      <x:c r="U21" s="56" t="str">
        <x:v>revert document/decision version with audit trail</x:v>
      </x:c>
      <x:c r="V21" s="56" t="str">
        <x:v>SEPARATE_APPROVAL_REQUIRED</x:v>
      </x:c>
      <x:c r="W2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21" s="56" t="str">
        <x:v>NOT_CHECKED</x:v>
      </x:c>
    </x:row>
    <x:row r="22" ht="104" hidden="0" customHeight="1">
      <x:c r="A22" s="56" t="str">
        <x:v>GOV-08</x:v>
      </x:c>
      <x:c r="B22" s="56" t="str">
        <x:v>A</x:v>
      </x:c>
      <x:c r="C22" s="56" t="str">
        <x:v>GOV</x:v>
      </x:c>
      <x:c r="D22" s="56" t="str">
        <x:v>Lập release policy và change authority</x:v>
      </x:c>
      <x:c r="E22" s="56" t="str">
        <x:v>Founder + Product + Legal</x:v>
      </x:c>
      <x:c r="F22" s="57" t="str">
        <x:v>NOT_STARTED</x:v>
      </x:c>
      <x:c r="G22" s="73" t="n">
        <x:v>3</x:v>
      </x:c>
      <x:c r="H22" s="73" t="n">
        <x:v>7</x:v>
      </x:c>
      <x:c r="I22" s="56" t="str">
        <x:v>GOV-07</x:v>
      </x:c>
      <x:c r="J22" s="56" t="str">
        <x:v>G04;G06</x:v>
      </x:c>
      <x:c r="K22" s="56" t="str">
        <x:v>evidence/GOV-08/receipt.json + diff/spec/test logs</x:v>
      </x:c>
      <x:c r="L22" s="57" t="str">
        <x:v>Người viết không tự duyệt mọi ranh giới</x:v>
      </x:c>
      <x:c r="M22" s="69" t="str">
        <x:v>CHƯA PHÂN CÔNG</x:v>
      </x:c>
      <x:c r="N22" s="56" t="str">
        <x:v>docs/**
governance/**
evidence/governance/**</x:v>
      </x:c>
      <x:c r="O22" s="56" t="str">
        <x:v>GOV-08:schema_validation
GOV-08:decision_dependency_review
GOV-08:source_rights_review
GOV-08:json_csv_parity</x:v>
      </x:c>
      <x:c r="P22" s="56" t="str">
        <x:v>evidence/tasks/GOV-08/&lt;sha&gt;/receipt.json</x:v>
      </x:c>
      <x:c r="Q22" s="56" t="str">
        <x:v>Independent QA/Security/Legal as applicable</x:v>
      </x:c>
      <x:c r="R22" s="56" t="str">
        <x:v>Q1
Q2
Q3
Q8
Q12
Q20</x:v>
      </x:c>
      <x:c r="S22" s="56" t="str">
        <x:v>GOV-08:missing_approver_not_promoted
GOV-08:pending_decision_not_encoded_as_approved</x:v>
      </x:c>
      <x:c r="T22" s="56" t="str">
        <x:v>production deploy or mutation
production/real-customer data access
secret value read or output
scope outside allowed paths
approval/status invention
history rewrite</x:v>
      </x:c>
      <x:c r="U22" s="56" t="str">
        <x:v>revert document/decision version with audit trail</x:v>
      </x:c>
      <x:c r="V22" s="56" t="str">
        <x:v>SEPARATE_APPROVAL_REQUIRED</x:v>
      </x:c>
      <x:c r="W2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22" s="56" t="str">
        <x:v>NOT_CHECKED</x:v>
      </x:c>
    </x:row>
    <x:row r="23" ht="104" hidden="0" customHeight="1">
      <x:c r="A23" s="56" t="str">
        <x:v>GOV-09</x:v>
      </x:c>
      <x:c r="B23" s="56" t="str">
        <x:v>A</x:v>
      </x:c>
      <x:c r="C23" s="56" t="str">
        <x:v>GOV</x:v>
      </x:c>
      <x:c r="D23" s="56" t="str">
        <x:v>Chốt first pilot adults/self và scope loại trừ</x:v>
      </x:c>
      <x:c r="E23" s="56" t="str">
        <x:v>Founder + Product + Legal</x:v>
      </x:c>
      <x:c r="F23" s="57" t="str">
        <x:v>NOT_STARTED</x:v>
      </x:c>
      <x:c r="G23" s="73" t="n">
        <x:v>3</x:v>
      </x:c>
      <x:c r="H23" s="73" t="n">
        <x:v>7</x:v>
      </x:c>
      <x:c r="I23" s="56" t="str">
        <x:v>GOV-08</x:v>
      </x:c>
      <x:c r="J23" s="56" t="str">
        <x:v>G04;G06</x:v>
      </x:c>
      <x:c r="K23" s="56" t="str">
        <x:v>evidence/GOV-09/receipt.json + diff/spec/test logs</x:v>
      </x:c>
      <x:c r="L23" s="57" t="str">
        <x:v>Không ảnh/trẻ/sức khỏe sâu ở beta đầu</x:v>
      </x:c>
      <x:c r="M23" s="69" t="str">
        <x:v>CHƯA PHÂN CÔNG</x:v>
      </x:c>
      <x:c r="N23" s="56" t="str">
        <x:v>docs/**
governance/**
evidence/governance/**</x:v>
      </x:c>
      <x:c r="O23" s="56" t="str">
        <x:v>GOV-09:schema_validation
GOV-09:decision_dependency_review
GOV-09:source_rights_review
GOV-09:json_csv_parity</x:v>
      </x:c>
      <x:c r="P23" s="56" t="str">
        <x:v>evidence/tasks/GOV-09/&lt;sha&gt;/receipt.json</x:v>
      </x:c>
      <x:c r="Q23" s="56" t="str">
        <x:v>Independent QA/Security/Legal as applicable</x:v>
      </x:c>
      <x:c r="R23" s="56" t="str">
        <x:v>Q1
Q2
Q3
Q8
Q12
Q20</x:v>
      </x:c>
      <x:c r="S23" s="56" t="str">
        <x:v>GOV-09:missing_approver_not_promoted
GOV-09:pending_decision_not_encoded_as_approved</x:v>
      </x:c>
      <x:c r="T23" s="56" t="str">
        <x:v>production deploy or mutation
production/real-customer data access
secret value read or output
scope outside allowed paths
approval/status invention
history rewrite</x:v>
      </x:c>
      <x:c r="U23" s="56" t="str">
        <x:v>revert document/decision version with audit trail</x:v>
      </x:c>
      <x:c r="V23" s="56" t="str">
        <x:v>SEPARATE_APPROVAL_REQUIRED</x:v>
      </x:c>
      <x:c r="W2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23" s="56" t="str">
        <x:v>NOT_CHECKED</x:v>
      </x:c>
    </x:row>
    <x:row r="24" ht="104" hidden="0" customHeight="1">
      <x:c r="A24" s="56" t="str">
        <x:v>GOV-10</x:v>
      </x:c>
      <x:c r="B24" s="56" t="str">
        <x:v>A</x:v>
      </x:c>
      <x:c r="C24" s="56" t="str">
        <x:v>GOV</x:v>
      </x:c>
      <x:c r="D24" s="56" t="str">
        <x:v>Chốt phương án xử lý báo cáo sai legacy</x:v>
      </x:c>
      <x:c r="E24" s="56" t="str">
        <x:v>Founder + Product + Legal</x:v>
      </x:c>
      <x:c r="F24" s="57" t="str">
        <x:v>NOT_STARTED</x:v>
      </x:c>
      <x:c r="G24" s="73" t="n">
        <x:v>2</x:v>
      </x:c>
      <x:c r="H24" s="73" t="n">
        <x:v>5</x:v>
      </x:c>
      <x:c r="I24" s="56" t="str">
        <x:v>GOV-09</x:v>
      </x:c>
      <x:c r="J24" s="56" t="str">
        <x:v>G04;G06</x:v>
      </x:c>
      <x:c r="K24" s="56" t="str">
        <x:v>evidence/GOV-10/receipt.json + diff/spec/test logs</x:v>
      </x:c>
      <x:c r="L24" s="57" t="str">
        <x:v>Correction/withdraw/user rights có decision</x:v>
      </x:c>
      <x:c r="M24" s="69" t="str">
        <x:v>CHƯA PHÂN CÔNG</x:v>
      </x:c>
      <x:c r="N24" s="56" t="str">
        <x:v>docs/**
governance/**
evidence/governance/**</x:v>
      </x:c>
      <x:c r="O24" s="56" t="str">
        <x:v>GOV-10:schema_validation
GOV-10:decision_dependency_review
GOV-10:source_rights_review
GOV-10:json_csv_parity</x:v>
      </x:c>
      <x:c r="P24" s="56" t="str">
        <x:v>evidence/tasks/GOV-10/&lt;sha&gt;/receipt.json</x:v>
      </x:c>
      <x:c r="Q24" s="56" t="str">
        <x:v>Independent QA/Security/Legal as applicable</x:v>
      </x:c>
      <x:c r="R24" s="56" t="str">
        <x:v>Q1
Q2
Q3
Q8
Q12
Q20</x:v>
      </x:c>
      <x:c r="S24" s="56" t="str">
        <x:v>GOV-10:missing_approver_not_promoted
GOV-10:pending_decision_not_encoded_as_approved</x:v>
      </x:c>
      <x:c r="T24" s="56" t="str">
        <x:v>production deploy or mutation
production/real-customer data access
secret value read or output
scope outside allowed paths
approval/status invention
history rewrite</x:v>
      </x:c>
      <x:c r="U24" s="56" t="str">
        <x:v>revert document/decision version with audit trail</x:v>
      </x:c>
      <x:c r="V24" s="56" t="str">
        <x:v>SEPARATE_APPROVAL_REQUIRED</x:v>
      </x:c>
      <x:c r="W2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24" s="56" t="str">
        <x:v>NOT_CHECKED</x:v>
      </x:c>
    </x:row>
    <x:row r="25" ht="104" hidden="0" customHeight="1">
      <x:c r="A25" s="56" t="str">
        <x:v>TRUST-01</x:v>
      </x:c>
      <x:c r="B25" s="56" t="str">
        <x:v>B</x:v>
      </x:c>
      <x:c r="C25" s="56" t="str">
        <x:v>TRUST</x:v>
      </x:c>
      <x:c r="D25" s="56" t="str">
        <x:v>Tích hợp OIDC/BFF session chuẩn</x:v>
      </x:c>
      <x:c r="E25" s="56" t="str">
        <x:v>Backend + Security</x:v>
      </x:c>
      <x:c r="F25" s="57" t="str">
        <x:v>NOT_STARTED</x:v>
      </x:c>
      <x:c r="G25" s="73" t="n">
        <x:v>2</x:v>
      </x:c>
      <x:c r="H25" s="73" t="n">
        <x:v>5</x:v>
      </x:c>
      <x:c r="I25" s="56" t="str">
        <x:v>P0-10;GOV-04</x:v>
      </x:c>
      <x:c r="J25" s="56" t="str">
        <x:v>G02;G03;G05</x:v>
      </x:c>
      <x:c r="K25" s="56" t="str">
        <x:v>evidence/TRUST-01/receipt.json + diff/spec/test logs</x:v>
      </x:c>
      <x:c r="L25" s="57" t="str">
        <x:v>Không nhận authority từ client; tests login/logout</x:v>
      </x:c>
      <x:c r="M25" s="69" t="str">
        <x:v>CHƯA PHÂN CÔNG</x:v>
      </x:c>
      <x:c r="N25" s="56" t="str">
        <x:v>apps/api/auth/**
packages/auth/**
packages/policy/**
db/policies/**
tests/security/**
docs/**</x:v>
      </x:c>
      <x:c r="O25" s="56" t="str">
        <x:v>TRUST-01:auth_contract
TRUST-01:object_subject_tenant_matrix
TRUST-01:rls_integration
TRUST-01:session_csrf_origin</x:v>
      </x:c>
      <x:c r="P25" s="56" t="str">
        <x:v>evidence/tasks/TRUST-01/&lt;sha&gt;/receipt.json</x:v>
      </x:c>
      <x:c r="Q25" s="56" t="str">
        <x:v>Independent QA/Security/Legal as applicable</x:v>
      </x:c>
      <x:c r="R25" s="56" t="str">
        <x:v>Q4
Q9
Q15</x:v>
      </x:c>
      <x:c r="S25" s="56" t="str">
        <x:v>TRUST-01:idor
TRUST-01:tenant_swap
TRUST-01:subject_swap
TRUST-01:revoked_grant
TRUST-01:enumeration</x:v>
      </x:c>
      <x:c r="T25" s="56" t="str">
        <x:v>production deploy or mutation
production/real-customer data access
secret value read or output
scope outside allowed paths
approval/status invention
history rewrite</x:v>
      </x:c>
      <x:c r="U25" s="56" t="str">
        <x:v>document and rehearse scoped rollback before state-changing acceptance</x:v>
      </x:c>
      <x:c r="V25" s="56" t="str">
        <x:v>SEPARATE_APPROVAL_REQUIRED</x:v>
      </x:c>
      <x:c r="W2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25" s="56" t="str">
        <x:v>NOT_CHECKED</x:v>
      </x:c>
    </x:row>
    <x:row r="26" ht="104" hidden="0" customHeight="1">
      <x:c r="A26" s="56" t="str">
        <x:v>TRUST-02</x:v>
      </x:c>
      <x:c r="B26" s="56" t="str">
        <x:v>B</x:v>
      </x:c>
      <x:c r="C26" s="56" t="str">
        <x:v>TRUST</x:v>
      </x:c>
      <x:c r="D26" s="56" t="str">
        <x:v>Session digest, expiry, rotation, recovery</x:v>
      </x:c>
      <x:c r="E26" s="56" t="str">
        <x:v>Backend + Security</x:v>
      </x:c>
      <x:c r="F26" s="57" t="str">
        <x:v>NOT_STARTED</x:v>
      </x:c>
      <x:c r="G26" s="73" t="n">
        <x:v>2</x:v>
      </x:c>
      <x:c r="H26" s="73" t="n">
        <x:v>5</x:v>
      </x:c>
      <x:c r="I26" s="56" t="str">
        <x:v>TRUST-01</x:v>
      </x:c>
      <x:c r="J26" s="56" t="str">
        <x:v>G02;G03;G05</x:v>
      </x:c>
      <x:c r="K26" s="56" t="str">
        <x:v>evidence/TRUST-02/receipt.json + diff/spec/test logs</x:v>
      </x:c>
      <x:c r="L26" s="57" t="str">
        <x:v>Không bearer raw DB; recovery không dựa DOB</x:v>
      </x:c>
      <x:c r="M26" s="69" t="str">
        <x:v>CHƯA PHÂN CÔNG</x:v>
      </x:c>
      <x:c r="N26" s="56" t="str">
        <x:v>apps/api/auth/**
packages/auth/**
packages/policy/**
db/policies/**
tests/security/**
docs/**</x:v>
      </x:c>
      <x:c r="O26" s="56" t="str">
        <x:v>TRUST-02:auth_contract
TRUST-02:object_subject_tenant_matrix
TRUST-02:rls_integration
TRUST-02:session_csrf_origin</x:v>
      </x:c>
      <x:c r="P26" s="56" t="str">
        <x:v>evidence/tasks/TRUST-02/&lt;sha&gt;/receipt.json</x:v>
      </x:c>
      <x:c r="Q26" s="56" t="str">
        <x:v>Independent QA/Security/Legal as applicable</x:v>
      </x:c>
      <x:c r="R26" s="56" t="str">
        <x:v>Q4
Q9
Q15</x:v>
      </x:c>
      <x:c r="S26" s="56" t="str">
        <x:v>TRUST-02:idor
TRUST-02:tenant_swap
TRUST-02:subject_swap
TRUST-02:revoked_grant
TRUST-02:enumeration</x:v>
      </x:c>
      <x:c r="T26" s="56" t="str">
        <x:v>production deploy or mutation
production/real-customer data access
secret value read or output
scope outside allowed paths
approval/status invention
history rewrite</x:v>
      </x:c>
      <x:c r="U26" s="56" t="str">
        <x:v>document and rehearse scoped rollback before state-changing acceptance</x:v>
      </x:c>
      <x:c r="V26" s="56" t="str">
        <x:v>SEPARATE_APPROVAL_REQUIRED</x:v>
      </x:c>
      <x:c r="W2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26" s="56" t="str">
        <x:v>NOT_CHECKED</x:v>
      </x:c>
    </x:row>
    <x:row r="27" ht="104" hidden="0" customHeight="1">
      <x:c r="A27" s="56" t="str">
        <x:v>TRUST-03</x:v>
      </x:c>
      <x:c r="B27" s="56" t="str">
        <x:v>B</x:v>
      </x:c>
      <x:c r="C27" s="56" t="str">
        <x:v>TRUST</x:v>
      </x:c>
      <x:c r="D27" s="56" t="str">
        <x:v>Schema account/subject/grant/purpose</x:v>
      </x:c>
      <x:c r="E27" s="56" t="str">
        <x:v>Backend + Security</x:v>
      </x:c>
      <x:c r="F27" s="57" t="str">
        <x:v>NOT_STARTED</x:v>
      </x:c>
      <x:c r="G27" s="73" t="n">
        <x:v>3</x:v>
      </x:c>
      <x:c r="H27" s="73" t="n">
        <x:v>7</x:v>
      </x:c>
      <x:c r="I27" s="56" t="str">
        <x:v>TRUST-02</x:v>
      </x:c>
      <x:c r="J27" s="56" t="str">
        <x:v>G02;G03;G05</x:v>
      </x:c>
      <x:c r="K27" s="56" t="str">
        <x:v>evidence/TRUST-03/receipt.json + diff/spec/test logs</x:v>
      </x:c>
      <x:c r="L27" s="57" t="str">
        <x:v>FK và scope version rõ, defaults deny</x:v>
      </x:c>
      <x:c r="M27" s="69" t="str">
        <x:v>CHƯA PHÂN CÔNG</x:v>
      </x:c>
      <x:c r="N27" s="56" t="str">
        <x:v>apps/api/auth/**
packages/auth/**
packages/policy/**
db/policies/**
tests/security/**
docs/**</x:v>
      </x:c>
      <x:c r="O27" s="56" t="str">
        <x:v>TRUST-03:auth_contract
TRUST-03:object_subject_tenant_matrix
TRUST-03:rls_integration
TRUST-03:session_csrf_origin</x:v>
      </x:c>
      <x:c r="P27" s="56" t="str">
        <x:v>evidence/tasks/TRUST-03/&lt;sha&gt;/receipt.json</x:v>
      </x:c>
      <x:c r="Q27" s="56" t="str">
        <x:v>Independent QA/Security/Legal as applicable</x:v>
      </x:c>
      <x:c r="R27" s="56" t="str">
        <x:v>Q4
Q9
Q15</x:v>
      </x:c>
      <x:c r="S27" s="56" t="str">
        <x:v>TRUST-03:idor
TRUST-03:tenant_swap
TRUST-03:subject_swap
TRUST-03:revoked_grant
TRUST-03:enumeration</x:v>
      </x:c>
      <x:c r="T27" s="56" t="str">
        <x:v>production deploy or mutation
production/real-customer data access
secret value read or output
scope outside allowed paths
approval/status invention
history rewrite</x:v>
      </x:c>
      <x:c r="U27" s="56" t="str">
        <x:v>document and rehearse scoped rollback before state-changing acceptance</x:v>
      </x:c>
      <x:c r="V27" s="56" t="str">
        <x:v>SEPARATE_APPROVAL_REQUIRED</x:v>
      </x:c>
      <x:c r="W2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27" s="56" t="str">
        <x:v>NOT_CHECKED</x:v>
      </x:c>
    </x:row>
    <x:row r="28" ht="104" hidden="0" customHeight="1">
      <x:c r="A28" s="56" t="str">
        <x:v>TRUST-04</x:v>
      </x:c>
      <x:c r="B28" s="56" t="str">
        <x:v>B</x:v>
      </x:c>
      <x:c r="C28" s="56" t="str">
        <x:v>TRUST</x:v>
      </x:c>
      <x:c r="D28" s="56" t="str">
        <x:v>Owner/object authorization middleware</x:v>
      </x:c>
      <x:c r="E28" s="56" t="str">
        <x:v>Backend + Security</x:v>
      </x:c>
      <x:c r="F28" s="57" t="str">
        <x:v>NOT_STARTED</x:v>
      </x:c>
      <x:c r="G28" s="73" t="n">
        <x:v>3</x:v>
      </x:c>
      <x:c r="H28" s="73" t="n">
        <x:v>7</x:v>
      </x:c>
      <x:c r="I28" s="56" t="str">
        <x:v>TRUST-03</x:v>
      </x:c>
      <x:c r="J28" s="56" t="str">
        <x:v>G02;G03;G05</x:v>
      </x:c>
      <x:c r="K28" s="56" t="str">
        <x:v>evidence/TRUST-04/receipt.json + diff/spec/test logs</x:v>
      </x:c>
      <x:c r="L28" s="57" t="str">
        <x:v>Hai account thử read/write/list/download chéo đều deny</x:v>
      </x:c>
      <x:c r="M28" s="69" t="str">
        <x:v>CHƯA PHÂN CÔNG</x:v>
      </x:c>
      <x:c r="N28" s="56" t="str">
        <x:v>apps/api/auth/**
packages/auth/**
packages/policy/**
db/policies/**
tests/security/**
docs/**</x:v>
      </x:c>
      <x:c r="O28" s="56" t="str">
        <x:v>TRUST-04:auth_contract
TRUST-04:object_subject_tenant_matrix
TRUST-04:rls_integration
TRUST-04:session_csrf_origin</x:v>
      </x:c>
      <x:c r="P28" s="56" t="str">
        <x:v>evidence/tasks/TRUST-04/&lt;sha&gt;/receipt.json</x:v>
      </x:c>
      <x:c r="Q28" s="56" t="str">
        <x:v>Independent QA/Security/Legal as applicable</x:v>
      </x:c>
      <x:c r="R28" s="56" t="str">
        <x:v>Q4
Q9
Q15</x:v>
      </x:c>
      <x:c r="S28" s="56" t="str">
        <x:v>TRUST-04:idor
TRUST-04:tenant_swap
TRUST-04:subject_swap
TRUST-04:revoked_grant
TRUST-04:enumeration</x:v>
      </x:c>
      <x:c r="T28" s="56" t="str">
        <x:v>production deploy or mutation
production/real-customer data access
secret value read or output
scope outside allowed paths
approval/status invention
history rewrite</x:v>
      </x:c>
      <x:c r="U28" s="56" t="str">
        <x:v>document and rehearse scoped rollback before state-changing acceptance</x:v>
      </x:c>
      <x:c r="V28" s="56" t="str">
        <x:v>SEPARATE_APPROVAL_REQUIRED</x:v>
      </x:c>
      <x:c r="W2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28" s="56" t="str">
        <x:v>NOT_CHECKED</x:v>
      </x:c>
    </x:row>
    <x:row r="29" ht="104" hidden="0" customHeight="1">
      <x:c r="A29" s="56" t="str">
        <x:v>TRUST-05</x:v>
      </x:c>
      <x:c r="B29" s="56" t="str">
        <x:v>B</x:v>
      </x:c>
      <x:c r="C29" s="56" t="str">
        <x:v>TRUST</x:v>
      </x:c>
      <x:c r="D29" s="56" t="str">
        <x:v>RLS tenant/subject với trusted context</x:v>
      </x:c>
      <x:c r="E29" s="56" t="str">
        <x:v>Backend + Security</x:v>
      </x:c>
      <x:c r="F29" s="57" t="str">
        <x:v>NOT_STARTED</x:v>
      </x:c>
      <x:c r="G29" s="73" t="n">
        <x:v>3</x:v>
      </x:c>
      <x:c r="H29" s="73" t="n">
        <x:v>7</x:v>
      </x:c>
      <x:c r="I29" s="56" t="str">
        <x:v>TRUST-04</x:v>
      </x:c>
      <x:c r="J29" s="56" t="str">
        <x:v>G02;G03;G05</x:v>
      </x:c>
      <x:c r="K29" s="56" t="str">
        <x:v>evidence/TRUST-05/receipt.json + diff/spec/test logs</x:v>
      </x:c>
      <x:c r="L29" s="57" t="str">
        <x:v>Role không bypass; transaction pool không lẫn</x:v>
      </x:c>
      <x:c r="M29" s="69" t="str">
        <x:v>CHƯA PHÂN CÔNG</x:v>
      </x:c>
      <x:c r="N29" s="56" t="str">
        <x:v>apps/api/auth/**
packages/auth/**
packages/policy/**
db/policies/**
tests/security/**
docs/**</x:v>
      </x:c>
      <x:c r="O29" s="56" t="str">
        <x:v>TRUST-05:auth_contract
TRUST-05:object_subject_tenant_matrix
TRUST-05:rls_integration
TRUST-05:session_csrf_origin</x:v>
      </x:c>
      <x:c r="P29" s="56" t="str">
        <x:v>evidence/tasks/TRUST-05/&lt;sha&gt;/receipt.json</x:v>
      </x:c>
      <x:c r="Q29" s="56" t="str">
        <x:v>Independent QA/Security/Legal as applicable</x:v>
      </x:c>
      <x:c r="R29" s="56" t="str">
        <x:v>Q4
Q9
Q15</x:v>
      </x:c>
      <x:c r="S29" s="56" t="str">
        <x:v>TRUST-05:idor
TRUST-05:tenant_swap
TRUST-05:subject_swap
TRUST-05:revoked_grant
TRUST-05:enumeration</x:v>
      </x:c>
      <x:c r="T29" s="56" t="str">
        <x:v>production deploy or mutation
production/real-customer data access
secret value read or output
scope outside allowed paths
approval/status invention
history rewrite</x:v>
      </x:c>
      <x:c r="U29" s="56" t="str">
        <x:v>document and rehearse scoped rollback before state-changing acceptance</x:v>
      </x:c>
      <x:c r="V29" s="56" t="str">
        <x:v>SEPARATE_APPROVAL_REQUIRED</x:v>
      </x:c>
      <x:c r="W2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29" s="56" t="str">
        <x:v>NOT_CHECKED</x:v>
      </x:c>
    </x:row>
    <x:row r="30" ht="104" hidden="0" customHeight="1">
      <x:c r="A30" s="56" t="str">
        <x:v>TRUST-06</x:v>
      </x:c>
      <x:c r="B30" s="56" t="str">
        <x:v>B</x:v>
      </x:c>
      <x:c r="C30" s="56" t="str">
        <x:v>TRUST</x:v>
      </x:c>
      <x:c r="D30" s="56" t="str">
        <x:v>CSRF, Origin và CORS đúng vai trò</x:v>
      </x:c>
      <x:c r="E30" s="56" t="str">
        <x:v>Backend + Security</x:v>
      </x:c>
      <x:c r="F30" s="57" t="str">
        <x:v>NOT_STARTED</x:v>
      </x:c>
      <x:c r="G30" s="73" t="n">
        <x:v>3</x:v>
      </x:c>
      <x:c r="H30" s="73" t="n">
        <x:v>7</x:v>
      </x:c>
      <x:c r="I30" s="56" t="str">
        <x:v>TRUST-05</x:v>
      </x:c>
      <x:c r="J30" s="56" t="str">
        <x:v>G02;G03;G05</x:v>
      </x:c>
      <x:c r="K30" s="56" t="str">
        <x:v>evidence/TRUST-06/receipt.json + diff/spec/test logs</x:v>
      </x:c>
      <x:c r="L30" s="57" t="str">
        <x:v>Mutating request không CSRF bị chặn</x:v>
      </x:c>
      <x:c r="M30" s="69" t="str">
        <x:v>CHƯA PHÂN CÔNG</x:v>
      </x:c>
      <x:c r="N30" s="56" t="str">
        <x:v>apps/api/auth/**
packages/auth/**
packages/policy/**
db/policies/**
tests/security/**
docs/**</x:v>
      </x:c>
      <x:c r="O30" s="56" t="str">
        <x:v>TRUST-06:auth_contract
TRUST-06:object_subject_tenant_matrix
TRUST-06:rls_integration
TRUST-06:session_csrf_origin</x:v>
      </x:c>
      <x:c r="P30" s="56" t="str">
        <x:v>evidence/tasks/TRUST-06/&lt;sha&gt;/receipt.json</x:v>
      </x:c>
      <x:c r="Q30" s="56" t="str">
        <x:v>Independent QA/Security/Legal as applicable</x:v>
      </x:c>
      <x:c r="R30" s="56" t="str">
        <x:v>Q4
Q9
Q15</x:v>
      </x:c>
      <x:c r="S30" s="56" t="str">
        <x:v>TRUST-06:idor
TRUST-06:tenant_swap
TRUST-06:subject_swap
TRUST-06:revoked_grant
TRUST-06:enumeration</x:v>
      </x:c>
      <x:c r="T30" s="56" t="str">
        <x:v>production deploy or mutation
production/real-customer data access
secret value read or output
scope outside allowed paths
approval/status invention
history rewrite</x:v>
      </x:c>
      <x:c r="U30" s="56" t="str">
        <x:v>document and rehearse scoped rollback before state-changing acceptance</x:v>
      </x:c>
      <x:c r="V30" s="56" t="str">
        <x:v>SEPARATE_APPROVAL_REQUIRED</x:v>
      </x:c>
      <x:c r="W3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30" s="56" t="str">
        <x:v>NOT_CHECKED</x:v>
      </x:c>
    </x:row>
    <x:row r="31" ht="104" hidden="0" customHeight="1">
      <x:c r="A31" s="56" t="str">
        <x:v>TRUST-07</x:v>
      </x:c>
      <x:c r="B31" s="56" t="str">
        <x:v>B</x:v>
      </x:c>
      <x:c r="C31" s="56" t="str">
        <x:v>TRUST</x:v>
      </x:c>
      <x:c r="D31" s="56" t="str">
        <x:v>Field/section sharing và grant expiry</x:v>
      </x:c>
      <x:c r="E31" s="56" t="str">
        <x:v>Backend + Security</x:v>
      </x:c>
      <x:c r="F31" s="57" t="str">
        <x:v>NOT_STARTED</x:v>
      </x:c>
      <x:c r="G31" s="73" t="n">
        <x:v>3</x:v>
      </x:c>
      <x:c r="H31" s="73" t="n">
        <x:v>7</x:v>
      </x:c>
      <x:c r="I31" s="56" t="str">
        <x:v>TRUST-06</x:v>
      </x:c>
      <x:c r="J31" s="56" t="str">
        <x:v>G02;G03;G05</x:v>
      </x:c>
      <x:c r="K31" s="56" t="str">
        <x:v>evidence/TRUST-07/receipt.json + diff/spec/test logs</x:v>
      </x:c>
      <x:c r="L31" s="57" t="str">
        <x:v>Quyền thay đổi áp dụng list/export/background</x:v>
      </x:c>
      <x:c r="M31" s="69" t="str">
        <x:v>CHƯA PHÂN CÔNG</x:v>
      </x:c>
      <x:c r="N31" s="56" t="str">
        <x:v>apps/api/auth/**
packages/auth/**
packages/policy/**
db/policies/**
tests/security/**
docs/**</x:v>
      </x:c>
      <x:c r="O31" s="56" t="str">
        <x:v>TRUST-07:auth_contract
TRUST-07:object_subject_tenant_matrix
TRUST-07:rls_integration
TRUST-07:session_csrf_origin</x:v>
      </x:c>
      <x:c r="P31" s="56" t="str">
        <x:v>evidence/tasks/TRUST-07/&lt;sha&gt;/receipt.json</x:v>
      </x:c>
      <x:c r="Q31" s="56" t="str">
        <x:v>Independent QA/Security/Legal as applicable</x:v>
      </x:c>
      <x:c r="R31" s="56" t="str">
        <x:v>Q4
Q9
Q15</x:v>
      </x:c>
      <x:c r="S31" s="56" t="str">
        <x:v>TRUST-07:idor
TRUST-07:tenant_swap
TRUST-07:subject_swap
TRUST-07:revoked_grant
TRUST-07:enumeration</x:v>
      </x:c>
      <x:c r="T31" s="56" t="str">
        <x:v>production deploy or mutation
production/real-customer data access
secret value read or output
scope outside allowed paths
approval/status invention
history rewrite</x:v>
      </x:c>
      <x:c r="U31" s="56" t="str">
        <x:v>document and rehearse scoped rollback before state-changing acceptance</x:v>
      </x:c>
      <x:c r="V31" s="56" t="str">
        <x:v>SEPARATE_APPROVAL_REQUIRED</x:v>
      </x:c>
      <x:c r="W3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31" s="56" t="str">
        <x:v>NOT_CHECKED</x:v>
      </x:c>
    </x:row>
    <x:row r="32" ht="104" hidden="0" customHeight="1">
      <x:c r="A32" s="56" t="str">
        <x:v>TRUST-08</x:v>
      </x:c>
      <x:c r="B32" s="56" t="str">
        <x:v>B</x:v>
      </x:c>
      <x:c r="C32" s="56" t="str">
        <x:v>TRUST</x:v>
      </x:c>
      <x:c r="D32" s="56" t="str">
        <x:v>Intake consent và purpose versioning</x:v>
      </x:c>
      <x:c r="E32" s="56" t="str">
        <x:v>Backend + Security</x:v>
      </x:c>
      <x:c r="F32" s="57" t="str">
        <x:v>NOT_STARTED</x:v>
      </x:c>
      <x:c r="G32" s="73" t="n">
        <x:v>3</x:v>
      </x:c>
      <x:c r="H32" s="73" t="n">
        <x:v>7</x:v>
      </x:c>
      <x:c r="I32" s="56" t="str">
        <x:v>TRUST-07</x:v>
      </x:c>
      <x:c r="J32" s="56" t="str">
        <x:v>G02;G03;G05</x:v>
      </x:c>
      <x:c r="K32" s="56" t="str">
        <x:v>evidence/TRUST-08/receipt.json + diff/spec/test logs</x:v>
      </x:c>
      <x:c r="L32" s="57" t="str">
        <x:v>Client hiểu dữ liệu/retention; rút consent có hiệu lực</x:v>
      </x:c>
      <x:c r="M32" s="69" t="str">
        <x:v>CHƯA PHÂN CÔNG</x:v>
      </x:c>
      <x:c r="N32" s="56" t="str">
        <x:v>apps/api/auth/**
packages/auth/**
packages/policy/**
db/policies/**
tests/security/**
docs/**</x:v>
      </x:c>
      <x:c r="O32" s="56" t="str">
        <x:v>TRUST-08:auth_contract
TRUST-08:object_subject_tenant_matrix
TRUST-08:rls_integration
TRUST-08:session_csrf_origin</x:v>
      </x:c>
      <x:c r="P32" s="56" t="str">
        <x:v>evidence/tasks/TRUST-08/&lt;sha&gt;/receipt.json</x:v>
      </x:c>
      <x:c r="Q32" s="56" t="str">
        <x:v>Independent QA/Security/Legal as applicable</x:v>
      </x:c>
      <x:c r="R32" s="56" t="str">
        <x:v>Q4
Q9
Q15</x:v>
      </x:c>
      <x:c r="S32" s="56" t="str">
        <x:v>TRUST-08:idor
TRUST-08:tenant_swap
TRUST-08:subject_swap
TRUST-08:revoked_grant
TRUST-08:enumeration</x:v>
      </x:c>
      <x:c r="T32" s="56" t="str">
        <x:v>production deploy or mutation
production/real-customer data access
secret value read or output
scope outside allowed paths
approval/status invention
history rewrite</x:v>
      </x:c>
      <x:c r="U32" s="56" t="str">
        <x:v>document and rehearse scoped rollback before state-changing acceptance</x:v>
      </x:c>
      <x:c r="V32" s="56" t="str">
        <x:v>SEPARATE_APPROVAL_REQUIRED</x:v>
      </x:c>
      <x:c r="W3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32" s="56" t="str">
        <x:v>NOT_CHECKED</x:v>
      </x:c>
    </x:row>
    <x:row r="33" ht="104" hidden="0" customHeight="1">
      <x:c r="A33" s="56" t="str">
        <x:v>TRUST-09</x:v>
      </x:c>
      <x:c r="B33" s="56" t="str">
        <x:v>B</x:v>
      </x:c>
      <x:c r="C33" s="56" t="str">
        <x:v>TRUST</x:v>
      </x:c>
      <x:c r="D33" s="56" t="str">
        <x:v>Private media staging và authorized download</x:v>
      </x:c>
      <x:c r="E33" s="56" t="str">
        <x:v>Backend + Security</x:v>
      </x:c>
      <x:c r="F33" s="57" t="str">
        <x:v>NOT_STARTED</x:v>
      </x:c>
      <x:c r="G33" s="73" t="n">
        <x:v>3</x:v>
      </x:c>
      <x:c r="H33" s="73" t="n">
        <x:v>7</x:v>
      </x:c>
      <x:c r="I33" s="56" t="str">
        <x:v>TRUST-08</x:v>
      </x:c>
      <x:c r="J33" s="56" t="str">
        <x:v>G02;G03;G05</x:v>
      </x:c>
      <x:c r="K33" s="56" t="str">
        <x:v>evidence/TRUST-09/receipt.json + diff/spec/test logs</x:v>
      </x:c>
      <x:c r="L33" s="57" t="str">
        <x:v>MIME/size/path checks; URL không trong log</x:v>
      </x:c>
      <x:c r="M33" s="69" t="str">
        <x:v>CHƯA PHÂN CÔNG</x:v>
      </x:c>
      <x:c r="N33" s="56" t="str">
        <x:v>apps/api/auth/**
packages/auth/**
packages/policy/**
db/policies/**
tests/security/**
docs/**</x:v>
      </x:c>
      <x:c r="O33" s="56" t="str">
        <x:v>TRUST-09:auth_contract
TRUST-09:object_subject_tenant_matrix
TRUST-09:rls_integration
TRUST-09:session_csrf_origin</x:v>
      </x:c>
      <x:c r="P33" s="56" t="str">
        <x:v>evidence/tasks/TRUST-09/&lt;sha&gt;/receipt.json</x:v>
      </x:c>
      <x:c r="Q33" s="56" t="str">
        <x:v>Independent QA/Security/Legal as applicable</x:v>
      </x:c>
      <x:c r="R33" s="56" t="str">
        <x:v>Q4
Q9
Q15</x:v>
      </x:c>
      <x:c r="S33" s="56" t="str">
        <x:v>TRUST-09:idor
TRUST-09:tenant_swap
TRUST-09:subject_swap
TRUST-09:revoked_grant
TRUST-09:enumeration</x:v>
      </x:c>
      <x:c r="T33" s="56" t="str">
        <x:v>production deploy or mutation
production/real-customer data access
secret value read or output
scope outside allowed paths
approval/status invention
history rewrite</x:v>
      </x:c>
      <x:c r="U33" s="56" t="str">
        <x:v>document and rehearse scoped rollback before state-changing acceptance</x:v>
      </x:c>
      <x:c r="V33" s="56" t="str">
        <x:v>SEPARATE_APPROVAL_REQUIRED</x:v>
      </x:c>
      <x:c r="W3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33" s="56" t="str">
        <x:v>NOT_CHECKED</x:v>
      </x:c>
    </x:row>
    <x:row r="34" ht="104" hidden="0" customHeight="1">
      <x:c r="A34" s="56" t="str">
        <x:v>TRUST-10</x:v>
      </x:c>
      <x:c r="B34" s="56" t="str">
        <x:v>B</x:v>
      </x:c>
      <x:c r="C34" s="56" t="str">
        <x:v>TRUST</x:v>
      </x:c>
      <x:c r="D34" s="56" t="str">
        <x:v>Break-glass có dual review và expiry</x:v>
      </x:c>
      <x:c r="E34" s="56" t="str">
        <x:v>Backend + Security</x:v>
      </x:c>
      <x:c r="F34" s="57" t="str">
        <x:v>NOT_STARTED</x:v>
      </x:c>
      <x:c r="G34" s="73" t="n">
        <x:v>2</x:v>
      </x:c>
      <x:c r="H34" s="73" t="n">
        <x:v>5</x:v>
      </x:c>
      <x:c r="I34" s="56" t="str">
        <x:v>TRUST-09</x:v>
      </x:c>
      <x:c r="J34" s="56" t="str">
        <x:v>G02;G03;G05</x:v>
      </x:c>
      <x:c r="K34" s="56" t="str">
        <x:v>evidence/TRUST-10/receipt.json + diff/spec/test logs</x:v>
      </x:c>
      <x:c r="L34" s="57" t="str">
        <x:v>Không admin đọc mọi hồ sơ mặc định</x:v>
      </x:c>
      <x:c r="M34" s="69" t="str">
        <x:v>CHƯA PHÂN CÔNG</x:v>
      </x:c>
      <x:c r="N34" s="56" t="str">
        <x:v>apps/api/auth/**
packages/auth/**
packages/policy/**
db/policies/**
tests/security/**
docs/**</x:v>
      </x:c>
      <x:c r="O34" s="56" t="str">
        <x:v>TRUST-10:auth_contract
TRUST-10:object_subject_tenant_matrix
TRUST-10:rls_integration
TRUST-10:session_csrf_origin</x:v>
      </x:c>
      <x:c r="P34" s="56" t="str">
        <x:v>evidence/tasks/TRUST-10/&lt;sha&gt;/receipt.json</x:v>
      </x:c>
      <x:c r="Q34" s="56" t="str">
        <x:v>Independent QA/Security/Legal as applicable</x:v>
      </x:c>
      <x:c r="R34" s="56" t="str">
        <x:v>Q4
Q9
Q15</x:v>
      </x:c>
      <x:c r="S34" s="56" t="str">
        <x:v>TRUST-10:idor
TRUST-10:tenant_swap
TRUST-10:subject_swap
TRUST-10:revoked_grant
TRUST-10:enumeration</x:v>
      </x:c>
      <x:c r="T34" s="56" t="str">
        <x:v>production deploy or mutation
production/real-customer data access
secret value read or output
scope outside allowed paths
approval/status invention
history rewrite</x:v>
      </x:c>
      <x:c r="U34" s="56" t="str">
        <x:v>document and rehearse scoped rollback before state-changing acceptance</x:v>
      </x:c>
      <x:c r="V34" s="56" t="str">
        <x:v>SEPARATE_APPROVAL_REQUIRED</x:v>
      </x:c>
      <x:c r="W3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34" s="56" t="str">
        <x:v>NOT_CHECKED</x:v>
      </x:c>
    </x:row>
    <x:row r="35" ht="104" hidden="0" customHeight="1">
      <x:c r="A35" s="56" t="str">
        <x:v>DATA-01</x:v>
      </x:c>
      <x:c r="B35" s="56" t="str">
        <x:v>B</x:v>
      </x:c>
      <x:c r="C35" s="56" t="str">
        <x:v>DATA</x:v>
      </x:c>
      <x:c r="D35" s="56" t="str">
        <x:v>Triển khai profile version và hypotheses</x:v>
      </x:c>
      <x:c r="E35" s="56" t="str">
        <x:v>Data Lead + QA</x:v>
      </x:c>
      <x:c r="F35" s="57" t="str">
        <x:v>NOT_STARTED</x:v>
      </x:c>
      <x:c r="G35" s="73" t="n">
        <x:v>2</x:v>
      </x:c>
      <x:c r="H35" s="73" t="n">
        <x:v>5</x:v>
      </x:c>
      <x:c r="I35" s="56" t="str">
        <x:v>TRUST-03</x:v>
      </x:c>
      <x:c r="J35" s="56" t="str">
        <x:v>G05;G07;G10</x:v>
      </x:c>
      <x:c r="K35" s="56" t="str">
        <x:v>evidence/DATA-01/receipt.json + diff/spec/test logs</x:v>
      </x:c>
      <x:c r="L35" s="57" t="str">
        <x:v>Không ghi đè DOB mâu thuẫn, giữ raw name</x:v>
      </x:c>
      <x:c r="M35" s="69" t="str">
        <x:v>CHƯA PHÂN CÔNG</x:v>
      </x:c>
      <x:c r="N35" s="56" t="str">
        <x:v>packages/data/**
db/migrations/**
apps/worker/jobs/**
tests/data/**
docs/**</x:v>
      </x:c>
      <x:c r="O35" s="56" t="str">
        <x:v>DATA-01:schema_contract
DATA-01:migration_dry_run
DATA-01:reconciliation
DATA-01:outbox_idempotency
DATA-01:export_delete</x:v>
      </x:c>
      <x:c r="P35" s="56" t="str">
        <x:v>evidence/tasks/DATA-01/&lt;sha&gt;/receipt.json</x:v>
      </x:c>
      <x:c r="Q35" s="56" t="str">
        <x:v>Independent QA/Security/Legal as applicable</x:v>
      </x:c>
      <x:c r="R35" s="56" t="str">
        <x:v>Q4
Q5
Q9
Q15</x:v>
      </x:c>
      <x:c r="S35" s="56" t="str">
        <x:v>DATA-01:partial_failure
DATA-01:replay
DATA-01:rollback
DATA-01:legal_hold</x:v>
      </x:c>
      <x:c r="T35" s="56" t="str">
        <x:v>production deploy or mutation
production/real-customer data access
secret value read or output
scope outside allowed paths
approval/status invention
history rewrite</x:v>
      </x:c>
      <x:c r="U35" s="56" t="str">
        <x:v>document and rehearse scoped rollback before state-changing acceptance</x:v>
      </x:c>
      <x:c r="V35" s="56" t="str">
        <x:v>SEPARATE_APPROVAL_REQUIRED</x:v>
      </x:c>
      <x:c r="W3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35" s="56" t="str">
        <x:v>NOT_CHECKED</x:v>
      </x:c>
    </x:row>
    <x:row r="36" ht="104" hidden="0" customHeight="1">
      <x:c r="A36" s="56" t="str">
        <x:v>DATA-02</x:v>
      </x:c>
      <x:c r="B36" s="56" t="str">
        <x:v>B</x:v>
      </x:c>
      <x:c r="C36" s="56" t="str">
        <x:v>DATA</x:v>
      </x:c>
      <x:c r="D36" s="56" t="str">
        <x:v>Định nghĩa120field và mức cần thu</x:v>
      </x:c>
      <x:c r="E36" s="56" t="str">
        <x:v>Data Lead + QA</x:v>
      </x:c>
      <x:c r="F36" s="57" t="str">
        <x:v>NOT_STARTED</x:v>
      </x:c>
      <x:c r="G36" s="73" t="n">
        <x:v>2</x:v>
      </x:c>
      <x:c r="H36" s="73" t="n">
        <x:v>5</x:v>
      </x:c>
      <x:c r="I36" s="56" t="str">
        <x:v>DATA-01</x:v>
      </x:c>
      <x:c r="J36" s="56" t="str">
        <x:v>G05;G07;G10</x:v>
      </x:c>
      <x:c r="K36" s="56" t="str">
        <x:v>evidence/DATA-02/receipt.json + diff/spec/test logs</x:v>
      </x:c>
      <x:c r="L36" s="57" t="str">
        <x:v>Mọi field có purpose/sensitivity/phase</x:v>
      </x:c>
      <x:c r="M36" s="69" t="str">
        <x:v>CHƯA PHÂN CÔNG</x:v>
      </x:c>
      <x:c r="N36" s="56" t="str">
        <x:v>packages/data/**
db/migrations/**
apps/worker/jobs/**
tests/data/**
docs/**</x:v>
      </x:c>
      <x:c r="O36" s="56" t="str">
        <x:v>DATA-02:schema_contract
DATA-02:migration_dry_run
DATA-02:reconciliation
DATA-02:outbox_idempotency
DATA-02:export_delete</x:v>
      </x:c>
      <x:c r="P36" s="56" t="str">
        <x:v>evidence/tasks/DATA-02/&lt;sha&gt;/receipt.json</x:v>
      </x:c>
      <x:c r="Q36" s="56" t="str">
        <x:v>Independent QA/Security/Legal as applicable</x:v>
      </x:c>
      <x:c r="R36" s="56" t="str">
        <x:v>Q4
Q5
Q9
Q15</x:v>
      </x:c>
      <x:c r="S36" s="56" t="str">
        <x:v>DATA-02:partial_failure
DATA-02:replay
DATA-02:rollback
DATA-02:legal_hold</x:v>
      </x:c>
      <x:c r="T36" s="56" t="str">
        <x:v>production deploy or mutation
production/real-customer data access
secret value read or output
scope outside allowed paths
approval/status invention
history rewrite</x:v>
      </x:c>
      <x:c r="U36" s="56" t="str">
        <x:v>document and rehearse scoped rollback before state-changing acceptance</x:v>
      </x:c>
      <x:c r="V36" s="56" t="str">
        <x:v>SEPARATE_APPROVAL_REQUIRED</x:v>
      </x:c>
      <x:c r="W3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36" s="56" t="str">
        <x:v>NOT_CHECKED</x:v>
      </x:c>
    </x:row>
    <x:row r="37" ht="104" hidden="0" customHeight="1">
      <x:c r="A37" s="56" t="str">
        <x:v>DATA-03</x:v>
      </x:c>
      <x:c r="B37" s="56" t="str">
        <x:v>B</x:v>
      </x:c>
      <x:c r="C37" s="56" t="str">
        <x:v>DATA</x:v>
      </x:c>
      <x:c r="D37" s="56" t="str">
        <x:v>D1 inventory và ownership quarantine</x:v>
      </x:c>
      <x:c r="E37" s="56" t="str">
        <x:v>Data Lead + QA</x:v>
      </x:c>
      <x:c r="F37" s="57" t="str">
        <x:v>NOT_STARTED</x:v>
      </x:c>
      <x:c r="G37" s="73" t="n">
        <x:v>3</x:v>
      </x:c>
      <x:c r="H37" s="73" t="n">
        <x:v>7</x:v>
      </x:c>
      <x:c r="I37" s="56" t="str">
        <x:v>DATA-02</x:v>
      </x:c>
      <x:c r="J37" s="56" t="str">
        <x:v>G05;G07;G10</x:v>
      </x:c>
      <x:c r="K37" s="56" t="str">
        <x:v>evidence/DATA-03/receipt.json + diff/spec/test logs</x:v>
      </x:c>
      <x:c r="L37" s="57" t="str">
        <x:v>Hồ sơ chưa rõ không tự map vào account</x:v>
      </x:c>
      <x:c r="M37" s="69" t="str">
        <x:v>CHƯA PHÂN CÔNG</x:v>
      </x:c>
      <x:c r="N37" s="56" t="str">
        <x:v>packages/data/**
db/migrations/**
apps/worker/jobs/**
tests/data/**
docs/**</x:v>
      </x:c>
      <x:c r="O37" s="56" t="str">
        <x:v>DATA-03:schema_contract
DATA-03:migration_dry_run
DATA-03:reconciliation
DATA-03:outbox_idempotency
DATA-03:export_delete</x:v>
      </x:c>
      <x:c r="P37" s="56" t="str">
        <x:v>evidence/tasks/DATA-03/&lt;sha&gt;/receipt.json</x:v>
      </x:c>
      <x:c r="Q37" s="56" t="str">
        <x:v>Independent QA/Security/Legal as applicable</x:v>
      </x:c>
      <x:c r="R37" s="56" t="str">
        <x:v>Q4
Q5
Q9
Q15</x:v>
      </x:c>
      <x:c r="S37" s="56" t="str">
        <x:v>DATA-03:partial_failure
DATA-03:replay
DATA-03:rollback
DATA-03:legal_hold</x:v>
      </x:c>
      <x:c r="T37" s="56" t="str">
        <x:v>production deploy or mutation
production/real-customer data access
secret value read or output
scope outside allowed paths
approval/status invention
history rewrite</x:v>
      </x:c>
      <x:c r="U37" s="56" t="str">
        <x:v>document and rehearse scoped rollback before state-changing acceptance</x:v>
      </x:c>
      <x:c r="V37" s="56" t="str">
        <x:v>SEPARATE_APPROVAL_REQUIRED</x:v>
      </x:c>
      <x:c r="W3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37" s="56" t="str">
        <x:v>NOT_CHECKED</x:v>
      </x:c>
    </x:row>
    <x:row r="38" ht="104" hidden="0" customHeight="1">
      <x:c r="A38" s="56" t="str">
        <x:v>DATA-04</x:v>
      </x:c>
      <x:c r="B38" s="56" t="str">
        <x:v>B</x:v>
      </x:c>
      <x:c r="C38" s="56" t="str">
        <x:v>DATA</x:v>
      </x:c>
      <x:c r="D38" s="56" t="str">
        <x:v>Dry-run D1→PostgreSQL bằng synthetic</x:v>
      </x:c>
      <x:c r="E38" s="56" t="str">
        <x:v>Data Lead + QA</x:v>
      </x:c>
      <x:c r="F38" s="57" t="str">
        <x:v>NOT_STARTED</x:v>
      </x:c>
      <x:c r="G38" s="73" t="n">
        <x:v>3</x:v>
      </x:c>
      <x:c r="H38" s="73" t="n">
        <x:v>7</x:v>
      </x:c>
      <x:c r="I38" s="56" t="str">
        <x:v>DATA-03</x:v>
      </x:c>
      <x:c r="J38" s="56" t="str">
        <x:v>G05;G07;G10</x:v>
      </x:c>
      <x:c r="K38" s="56" t="str">
        <x:v>evidence/DATA-04/receipt.json + diff/spec/test logs</x:v>
      </x:c>
      <x:c r="L38" s="57" t="str">
        <x:v>Counts/checksums/FKs đối soát và rollback</x:v>
      </x:c>
      <x:c r="M38" s="69" t="str">
        <x:v>CHƯA PHÂN CÔNG</x:v>
      </x:c>
      <x:c r="N38" s="56" t="str">
        <x:v>packages/data/**
db/migrations/**
apps/worker/jobs/**
tests/data/**
docs/**</x:v>
      </x:c>
      <x:c r="O38" s="56" t="str">
        <x:v>DATA-04:schema_contract
DATA-04:migration_dry_run
DATA-04:reconciliation
DATA-04:outbox_idempotency
DATA-04:export_delete</x:v>
      </x:c>
      <x:c r="P38" s="56" t="str">
        <x:v>evidence/tasks/DATA-04/&lt;sha&gt;/receipt.json</x:v>
      </x:c>
      <x:c r="Q38" s="56" t="str">
        <x:v>Independent QA/Security/Legal as applicable</x:v>
      </x:c>
      <x:c r="R38" s="56" t="str">
        <x:v>Q4
Q5
Q9
Q15</x:v>
      </x:c>
      <x:c r="S38" s="56" t="str">
        <x:v>DATA-04:partial_failure
DATA-04:replay
DATA-04:rollback
DATA-04:legal_hold</x:v>
      </x:c>
      <x:c r="T38" s="56" t="str">
        <x:v>production deploy or mutation
production/real-customer data access
secret value read or output
scope outside allowed paths
approval/status invention
history rewrite</x:v>
      </x:c>
      <x:c r="U38" s="56" t="str">
        <x:v>document and rehearse scoped rollback before state-changing acceptance</x:v>
      </x:c>
      <x:c r="V38" s="56" t="str">
        <x:v>SEPARATE_APPROVAL_REQUIRED</x:v>
      </x:c>
      <x:c r="W3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38" s="56" t="str">
        <x:v>NOT_CHECKED</x:v>
      </x:c>
    </x:row>
    <x:row r="39" ht="104" hidden="0" customHeight="1">
      <x:c r="A39" s="56" t="str">
        <x:v>DATA-05</x:v>
      </x:c>
      <x:c r="B39" s="56" t="str">
        <x:v>B</x:v>
      </x:c>
      <x:c r="C39" s="56" t="str">
        <x:v>DATA</x:v>
      </x:c>
      <x:c r="D39" s="56" t="str">
        <x:v>Migration rehearsal với quyền được cấp riêng</x:v>
      </x:c>
      <x:c r="E39" s="56" t="str">
        <x:v>Data Lead + QA</x:v>
      </x:c>
      <x:c r="F39" s="57" t="str">
        <x:v>NOT_STARTED</x:v>
      </x:c>
      <x:c r="G39" s="73" t="n">
        <x:v>3</x:v>
      </x:c>
      <x:c r="H39" s="73" t="n">
        <x:v>7</x:v>
      </x:c>
      <x:c r="I39" s="56" t="str">
        <x:v>DATA-04</x:v>
      </x:c>
      <x:c r="J39" s="56" t="str">
        <x:v>G05;G07;G10</x:v>
      </x:c>
      <x:c r="K39" s="56" t="str">
        <x:v>evidence/DATA-05/receipt.json + diff/spec/test logs</x:v>
      </x:c>
      <x:c r="L39" s="57" t="str">
        <x:v>Không lấy production PI trong scope mặc định</x:v>
      </x:c>
      <x:c r="M39" s="69" t="str">
        <x:v>CHƯA PHÂN CÔNG</x:v>
      </x:c>
      <x:c r="N39" s="56" t="str">
        <x:v>packages/data/**
db/migrations/**
apps/worker/jobs/**
tests/data/**
docs/**</x:v>
      </x:c>
      <x:c r="O39" s="56" t="str">
        <x:v>DATA-05:schema_contract
DATA-05:migration_dry_run
DATA-05:reconciliation
DATA-05:outbox_idempotency
DATA-05:export_delete</x:v>
      </x:c>
      <x:c r="P39" s="56" t="str">
        <x:v>evidence/tasks/DATA-05/&lt;sha&gt;/receipt.json</x:v>
      </x:c>
      <x:c r="Q39" s="56" t="str">
        <x:v>Independent QA/Security/Legal as applicable</x:v>
      </x:c>
      <x:c r="R39" s="56" t="str">
        <x:v>Q4
Q5
Q9
Q15</x:v>
      </x:c>
      <x:c r="S39" s="56" t="str">
        <x:v>DATA-05:partial_failure
DATA-05:replay
DATA-05:rollback
DATA-05:legal_hold</x:v>
      </x:c>
      <x:c r="T39" s="56" t="str">
        <x:v>production deploy or mutation
production/real-customer data access
secret value read or output
scope outside allowed paths
approval/status invention
history rewrite</x:v>
      </x:c>
      <x:c r="U39" s="56" t="str">
        <x:v>document and rehearse scoped rollback before state-changing acceptance</x:v>
      </x:c>
      <x:c r="V39" s="56" t="str">
        <x:v>SEPARATE_APPROVAL_REQUIRED</x:v>
      </x:c>
      <x:c r="W3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39" s="56" t="str">
        <x:v>NOT_CHECKED</x:v>
      </x:c>
    </x:row>
    <x:row r="40" ht="104" hidden="0" customHeight="1">
      <x:c r="A40" s="56" t="str">
        <x:v>DATA-06</x:v>
      </x:c>
      <x:c r="B40" s="56" t="str">
        <x:v>B</x:v>
      </x:c>
      <x:c r="C40" s="56" t="str">
        <x:v>DATA</x:v>
      </x:c>
      <x:c r="D40" s="56" t="str">
        <x:v>Outbox và job receipt schema</x:v>
      </x:c>
      <x:c r="E40" s="56" t="str">
        <x:v>Data Lead + QA</x:v>
      </x:c>
      <x:c r="F40" s="57" t="str">
        <x:v>NOT_STARTED</x:v>
      </x:c>
      <x:c r="G40" s="73" t="n">
        <x:v>3</x:v>
      </x:c>
      <x:c r="H40" s="73" t="n">
        <x:v>7</x:v>
      </x:c>
      <x:c r="I40" s="56" t="str">
        <x:v>DATA-05</x:v>
      </x:c>
      <x:c r="J40" s="56" t="str">
        <x:v>G05;G07;G10</x:v>
      </x:c>
      <x:c r="K40" s="56" t="str">
        <x:v>evidence/DATA-06/receipt.json + diff/spec/test logs</x:v>
      </x:c>
      <x:c r="L40" s="57" t="str">
        <x:v>Commit dữ liệu+outbox atomically</x:v>
      </x:c>
      <x:c r="M40" s="69" t="str">
        <x:v>CHƯA PHÂN CÔNG</x:v>
      </x:c>
      <x:c r="N40" s="56" t="str">
        <x:v>packages/data/**
db/migrations/**
apps/worker/jobs/**
tests/data/**
docs/**</x:v>
      </x:c>
      <x:c r="O40" s="56" t="str">
        <x:v>DATA-06:schema_contract
DATA-06:migration_dry_run
DATA-06:reconciliation
DATA-06:outbox_idempotency
DATA-06:export_delete</x:v>
      </x:c>
      <x:c r="P40" s="56" t="str">
        <x:v>evidence/tasks/DATA-06/&lt;sha&gt;/receipt.json</x:v>
      </x:c>
      <x:c r="Q40" s="56" t="str">
        <x:v>Independent QA/Security/Legal as applicable</x:v>
      </x:c>
      <x:c r="R40" s="56" t="str">
        <x:v>Q4
Q5
Q9
Q15</x:v>
      </x:c>
      <x:c r="S40" s="56" t="str">
        <x:v>DATA-06:partial_failure
DATA-06:replay
DATA-06:rollback
DATA-06:legal_hold</x:v>
      </x:c>
      <x:c r="T40" s="56" t="str">
        <x:v>production deploy or mutation
production/real-customer data access
secret value read or output
scope outside allowed paths
approval/status invention
history rewrite</x:v>
      </x:c>
      <x:c r="U40" s="56" t="str">
        <x:v>document and rehearse scoped rollback before state-changing acceptance</x:v>
      </x:c>
      <x:c r="V40" s="56" t="str">
        <x:v>SEPARATE_APPROVAL_REQUIRED</x:v>
      </x:c>
      <x:c r="W4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40" s="56" t="str">
        <x:v>NOT_CHECKED</x:v>
      </x:c>
    </x:row>
    <x:row r="41" ht="104" hidden="0" customHeight="1">
      <x:c r="A41" s="56" t="str">
        <x:v>DATA-07</x:v>
      </x:c>
      <x:c r="B41" s="56" t="str">
        <x:v>B</x:v>
      </x:c>
      <x:c r="C41" s="56" t="str">
        <x:v>DATA</x:v>
      </x:c>
      <x:c r="D41" s="56" t="str">
        <x:v>Deletion orchestrator xuyên hệ</x:v>
      </x:c>
      <x:c r="E41" s="56" t="str">
        <x:v>Data Lead + QA</x:v>
      </x:c>
      <x:c r="F41" s="57" t="str">
        <x:v>NOT_STARTED</x:v>
      </x:c>
      <x:c r="G41" s="73" t="n">
        <x:v>3</x:v>
      </x:c>
      <x:c r="H41" s="73" t="n">
        <x:v>7</x:v>
      </x:c>
      <x:c r="I41" s="56" t="str">
        <x:v>DATA-06</x:v>
      </x:c>
      <x:c r="J41" s="56" t="str">
        <x:v>G05;G07;G10</x:v>
      </x:c>
      <x:c r="K41" s="56" t="str">
        <x:v>evidence/DATA-07/receipt.json + diff/spec/test logs</x:v>
      </x:c>
      <x:c r="L41" s="57" t="str">
        <x:v>DB/R2/index/cache/queue/provider có receipt</x:v>
      </x:c>
      <x:c r="M41" s="69" t="str">
        <x:v>CHƯA PHÂN CÔNG</x:v>
      </x:c>
      <x:c r="N41" s="56" t="str">
        <x:v>packages/data/**
db/migrations/**
apps/worker/jobs/**
tests/data/**
docs/**</x:v>
      </x:c>
      <x:c r="O41" s="56" t="str">
        <x:v>DATA-07:schema_contract
DATA-07:migration_dry_run
DATA-07:reconciliation
DATA-07:outbox_idempotency
DATA-07:export_delete</x:v>
      </x:c>
      <x:c r="P41" s="56" t="str">
        <x:v>evidence/tasks/DATA-07/&lt;sha&gt;/receipt.json</x:v>
      </x:c>
      <x:c r="Q41" s="56" t="str">
        <x:v>Independent QA/Security/Legal as applicable</x:v>
      </x:c>
      <x:c r="R41" s="56" t="str">
        <x:v>Q4
Q5
Q9
Q15</x:v>
      </x:c>
      <x:c r="S41" s="56" t="str">
        <x:v>DATA-07:partial_failure
DATA-07:replay
DATA-07:rollback
DATA-07:legal_hold</x:v>
      </x:c>
      <x:c r="T41" s="56" t="str">
        <x:v>production deploy or mutation
production/real-customer data access
secret value read or output
scope outside allowed paths
approval/status invention
history rewrite</x:v>
      </x:c>
      <x:c r="U41" s="56" t="str">
        <x:v>document and rehearse scoped rollback before state-changing acceptance</x:v>
      </x:c>
      <x:c r="V41" s="56" t="str">
        <x:v>SEPARATE_APPROVAL_REQUIRED</x:v>
      </x:c>
      <x:c r="W4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41" s="56" t="str">
        <x:v>NOT_CHECKED</x:v>
      </x:c>
    </x:row>
    <x:row r="42" ht="104" hidden="0" customHeight="1">
      <x:c r="A42" s="56" t="str">
        <x:v>DATA-08</x:v>
      </x:c>
      <x:c r="B42" s="56" t="str">
        <x:v>B</x:v>
      </x:c>
      <x:c r="C42" s="56" t="str">
        <x:v>DATA</x:v>
      </x:c>
      <x:c r="D42" s="56" t="str">
        <x:v>Legal hold và backup tombstones</x:v>
      </x:c>
      <x:c r="E42" s="56" t="str">
        <x:v>Data Lead + QA</x:v>
      </x:c>
      <x:c r="F42" s="57" t="str">
        <x:v>NOT_STARTED</x:v>
      </x:c>
      <x:c r="G42" s="73" t="n">
        <x:v>3</x:v>
      </x:c>
      <x:c r="H42" s="73" t="n">
        <x:v>7</x:v>
      </x:c>
      <x:c r="I42" s="56" t="str">
        <x:v>DATA-07</x:v>
      </x:c>
      <x:c r="J42" s="56" t="str">
        <x:v>G05;G07;G10</x:v>
      </x:c>
      <x:c r="K42" s="56" t="str">
        <x:v>evidence/DATA-08/receipt.json + diff/spec/test logs</x:v>
      </x:c>
      <x:c r="L42" s="57" t="str">
        <x:v>Restore không tái xuất dữ liệu đã xóa</x:v>
      </x:c>
      <x:c r="M42" s="69" t="str">
        <x:v>CHƯA PHÂN CÔNG</x:v>
      </x:c>
      <x:c r="N42" s="56" t="str">
        <x:v>packages/data/**
db/migrations/**
apps/worker/jobs/**
tests/data/**
docs/**</x:v>
      </x:c>
      <x:c r="O42" s="56" t="str">
        <x:v>DATA-08:schema_contract
DATA-08:migration_dry_run
DATA-08:reconciliation
DATA-08:outbox_idempotency
DATA-08:export_delete</x:v>
      </x:c>
      <x:c r="P42" s="56" t="str">
        <x:v>evidence/tasks/DATA-08/&lt;sha&gt;/receipt.json</x:v>
      </x:c>
      <x:c r="Q42" s="56" t="str">
        <x:v>Independent QA/Security/Legal as applicable</x:v>
      </x:c>
      <x:c r="R42" s="56" t="str">
        <x:v>Q4
Q5
Q9
Q15</x:v>
      </x:c>
      <x:c r="S42" s="56" t="str">
        <x:v>DATA-08:partial_failure
DATA-08:replay
DATA-08:rollback
DATA-08:legal_hold</x:v>
      </x:c>
      <x:c r="T42" s="56" t="str">
        <x:v>production deploy or mutation
production/real-customer data access
secret value read or output
scope outside allowed paths
approval/status invention
history rewrite</x:v>
      </x:c>
      <x:c r="U42" s="56" t="str">
        <x:v>document and rehearse scoped rollback before state-changing acceptance</x:v>
      </x:c>
      <x:c r="V42" s="56" t="str">
        <x:v>SEPARATE_APPROVAL_REQUIRED</x:v>
      </x:c>
      <x:c r="W4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42" s="56" t="str">
        <x:v>NOT_CHECKED</x:v>
      </x:c>
    </x:row>
    <x:row r="43" ht="104" hidden="0" customHeight="1">
      <x:c r="A43" s="56" t="str">
        <x:v>DATA-09</x:v>
      </x:c>
      <x:c r="B43" s="56" t="str">
        <x:v>B</x:v>
      </x:c>
      <x:c r="C43" s="56" t="str">
        <x:v>DATA</x:v>
      </x:c>
      <x:c r="D43" s="56" t="str">
        <x:v>Export/correction self-service</x:v>
      </x:c>
      <x:c r="E43" s="56" t="str">
        <x:v>Data Lead + QA</x:v>
      </x:c>
      <x:c r="F43" s="57" t="str">
        <x:v>NOT_STARTED</x:v>
      </x:c>
      <x:c r="G43" s="73" t="n">
        <x:v>3</x:v>
      </x:c>
      <x:c r="H43" s="73" t="n">
        <x:v>7</x:v>
      </x:c>
      <x:c r="I43" s="56" t="str">
        <x:v>DATA-08</x:v>
      </x:c>
      <x:c r="J43" s="56" t="str">
        <x:v>G05;G07;G10</x:v>
      </x:c>
      <x:c r="K43" s="56" t="str">
        <x:v>evidence/DATA-09/receipt.json + diff/spec/test logs</x:v>
      </x:c>
      <x:c r="L43" s="57" t="str">
        <x:v>Quyền dữ liệu miễn phí và không lẫn subject</x:v>
      </x:c>
      <x:c r="M43" s="69" t="str">
        <x:v>CHƯA PHÂN CÔNG</x:v>
      </x:c>
      <x:c r="N43" s="56" t="str">
        <x:v>packages/data/**
db/migrations/**
apps/worker/jobs/**
tests/data/**
docs/**</x:v>
      </x:c>
      <x:c r="O43" s="56" t="str">
        <x:v>DATA-09:schema_contract
DATA-09:migration_dry_run
DATA-09:reconciliation
DATA-09:outbox_idempotency
DATA-09:export_delete</x:v>
      </x:c>
      <x:c r="P43" s="56" t="str">
        <x:v>evidence/tasks/DATA-09/&lt;sha&gt;/receipt.json</x:v>
      </x:c>
      <x:c r="Q43" s="56" t="str">
        <x:v>Independent QA/Security/Legal as applicable</x:v>
      </x:c>
      <x:c r="R43" s="56" t="str">
        <x:v>Q4
Q5
Q9
Q15</x:v>
      </x:c>
      <x:c r="S43" s="56" t="str">
        <x:v>DATA-09:partial_failure
DATA-09:replay
DATA-09:rollback
DATA-09:legal_hold</x:v>
      </x:c>
      <x:c r="T43" s="56" t="str">
        <x:v>production deploy or mutation
production/real-customer data access
secret value read or output
scope outside allowed paths
approval/status invention
history rewrite</x:v>
      </x:c>
      <x:c r="U43" s="56" t="str">
        <x:v>document and rehearse scoped rollback before state-changing acceptance</x:v>
      </x:c>
      <x:c r="V43" s="56" t="str">
        <x:v>SEPARATE_APPROVAL_REQUIRED</x:v>
      </x:c>
      <x:c r="W4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43" s="56" t="str">
        <x:v>NOT_CHECKED</x:v>
      </x:c>
    </x:row>
    <x:row r="44" ht="104" hidden="0" customHeight="1">
      <x:c r="A44" s="56" t="str">
        <x:v>DATA-10</x:v>
      </x:c>
      <x:c r="B44" s="56" t="str">
        <x:v>B</x:v>
      </x:c>
      <x:c r="C44" s="56" t="str">
        <x:v>DATA</x:v>
      </x:c>
      <x:c r="D44" s="56" t="str">
        <x:v>Cutover single writer và revert plan</x:v>
      </x:c>
      <x:c r="E44" s="56" t="str">
        <x:v>Data Lead + QA</x:v>
      </x:c>
      <x:c r="F44" s="57" t="str">
        <x:v>NOT_STARTED</x:v>
      </x:c>
      <x:c r="G44" s="73" t="n">
        <x:v>2</x:v>
      </x:c>
      <x:c r="H44" s="73" t="n">
        <x:v>5</x:v>
      </x:c>
      <x:c r="I44" s="56" t="str">
        <x:v>DATA-09</x:v>
      </x:c>
      <x:c r="J44" s="56" t="str">
        <x:v>G05;G07;G10</x:v>
      </x:c>
      <x:c r="K44" s="56" t="str">
        <x:v>evidence/DATA-10/receipt.json + diff/spec/test logs</x:v>
      </x:c>
      <x:c r="L44" s="57" t="str">
        <x:v>Không dualwrite tùy tiện; revert giữ quyền</x:v>
      </x:c>
      <x:c r="M44" s="69" t="str">
        <x:v>CHƯA PHÂN CÔNG</x:v>
      </x:c>
      <x:c r="N44" s="56" t="str">
        <x:v>packages/data/**
db/migrations/**
apps/worker/jobs/**
tests/data/**
docs/**</x:v>
      </x:c>
      <x:c r="O44" s="56" t="str">
        <x:v>DATA-10:schema_contract
DATA-10:migration_dry_run
DATA-10:reconciliation
DATA-10:outbox_idempotency
DATA-10:export_delete</x:v>
      </x:c>
      <x:c r="P44" s="56" t="str">
        <x:v>evidence/tasks/DATA-10/&lt;sha&gt;/receipt.json</x:v>
      </x:c>
      <x:c r="Q44" s="56" t="str">
        <x:v>Independent QA/Security/Legal as applicable</x:v>
      </x:c>
      <x:c r="R44" s="56" t="str">
        <x:v>Q4
Q5
Q9
Q15</x:v>
      </x:c>
      <x:c r="S44" s="56" t="str">
        <x:v>DATA-10:partial_failure
DATA-10:replay
DATA-10:rollback
DATA-10:legal_hold</x:v>
      </x:c>
      <x:c r="T44" s="56" t="str">
        <x:v>production deploy or mutation
production/real-customer data access
secret value read or output
scope outside allowed paths
approval/status invention
history rewrite</x:v>
      </x:c>
      <x:c r="U44" s="56" t="str">
        <x:v>document and rehearse scoped rollback before state-changing acceptance</x:v>
      </x:c>
      <x:c r="V44" s="56" t="str">
        <x:v>SEPARATE_APPROVAL_REQUIRED</x:v>
      </x:c>
      <x:c r="W4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44" s="56" t="str">
        <x:v>NOT_CHECKED</x:v>
      </x:c>
    </x:row>
    <x:row r="45" ht="104" hidden="0" customHeight="1">
      <x:c r="A45" s="56" t="str">
        <x:v>METHOD-01</x:v>
      </x:c>
      <x:c r="B45" s="56" t="str">
        <x:v>C</x:v>
      </x:c>
      <x:c r="C45" s="56" t="str">
        <x:v>METHOD</x:v>
      </x:c>
      <x:c r="D45" s="56" t="str">
        <x:v>NFC/transliteration/name-cycle passport</x:v>
      </x:c>
      <x:c r="E45" s="56" t="str">
        <x:v>Method Council + Engineer</x:v>
      </x:c>
      <x:c r="F45" s="57" t="str">
        <x:v>NOT_STARTED</x:v>
      </x:c>
      <x:c r="G45" s="73" t="n">
        <x:v>2</x:v>
      </x:c>
      <x:c r="H45" s="73" t="n">
        <x:v>5</x:v>
      </x:c>
      <x:c r="I45" s="56" t="str">
        <x:v>GOV-07</x:v>
      </x:c>
      <x:c r="J45" s="56" t="str">
        <x:v>G06</x:v>
      </x:c>
      <x:c r="K45" s="56" t="str">
        <x:v>evidence/METHOD-01/receipt.json + diff/spec/test logs</x:v>
      </x:c>
      <x:c r="L45" s="57" t="str">
        <x:v>Đúng tên gốc; unsupported scripts không bị tự đoán</x:v>
      </x:c>
      <x:c r="M45" s="69" t="str">
        <x:v>CHƯA PHÂN CÔNG</x:v>
      </x:c>
      <x:c r="N45" s="56" t="str">
        <x:v>packages/methods/**
packages/registry/**
tests/methods/**
docs/**</x:v>
      </x:c>
      <x:c r="O45" s="56" t="str">
        <x:v>METHOD-01:golden_fixture
METHOD-01:property_boundary
METHOD-01:source_right_release
METHOD-01:revoke_impact</x:v>
      </x:c>
      <x:c r="P45" s="56" t="str">
        <x:v>evidence/tasks/METHOD-01/&lt;sha&gt;/receipt.json</x:v>
      </x:c>
      <x:c r="Q45" s="56" t="str">
        <x:v>Independent QA/Security/Legal as applicable</x:v>
      </x:c>
      <x:c r="R45" s="56" t="str">
        <x:v>Q2
Q3
Q5
Q6
Q12</x:v>
      </x:c>
      <x:c r="S45" s="56" t="str">
        <x:v>METHOD-01:unknown_rule
METHOD-01:revoked_release
METHOD-01:missing_right
METHOD-01:null_zero_confusion</x:v>
      </x:c>
      <x:c r="T45" s="56" t="str">
        <x:v>production deploy or mutation
production/real-customer data access
secret value read or output
scope outside allowed paths
approval/status invention
history rewrite</x:v>
      </x:c>
      <x:c r="U45" s="56" t="str">
        <x:v>document and rehearse scoped rollback before state-changing acceptance</x:v>
      </x:c>
      <x:c r="V45" s="56" t="str">
        <x:v>SEPARATE_APPROVAL_REQUIRED</x:v>
      </x:c>
      <x:c r="W4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45" s="56" t="str">
        <x:v>NOT_CHECKED</x:v>
      </x:c>
    </x:row>
    <x:row r="46" ht="104" hidden="0" customHeight="1">
      <x:c r="A46" s="56" t="str">
        <x:v>METHOD-02</x:v>
      </x:c>
      <x:c r="B46" s="56" t="str">
        <x:v>C</x:v>
      </x:c>
      <x:c r="C46" s="56" t="str">
        <x:v>METHOD</x:v>
      </x:c>
      <x:c r="D46" s="56" t="str">
        <x:v>Birth sums và calendar-year policy</x:v>
      </x:c>
      <x:c r="E46" s="56" t="str">
        <x:v>Method Council + Engineer</x:v>
      </x:c>
      <x:c r="F46" s="57" t="str">
        <x:v>NOT_STARTED</x:v>
      </x:c>
      <x:c r="G46" s="73" t="n">
        <x:v>2</x:v>
      </x:c>
      <x:c r="H46" s="73" t="n">
        <x:v>5</x:v>
      </x:c>
      <x:c r="I46" s="56" t="str">
        <x:v>METHOD-01</x:v>
      </x:c>
      <x:c r="J46" s="56" t="str">
        <x:v>G06</x:v>
      </x:c>
      <x:c r="K46" s="56" t="str">
        <x:v>evidence/METHOD-02/receipt.json + diff/spec/test logs</x:v>
      </x:c>
      <x:c r="L46" s="57" t="str">
        <x:v>Rule giữ11/22/33 có version riêng</x:v>
      </x:c>
      <x:c r="M46" s="69" t="str">
        <x:v>CHƯA PHÂN CÔNG</x:v>
      </x:c>
      <x:c r="N46" s="56" t="str">
        <x:v>packages/methods/**
packages/registry/**
tests/methods/**
docs/**</x:v>
      </x:c>
      <x:c r="O46" s="56" t="str">
        <x:v>METHOD-02:golden_fixture
METHOD-02:property_boundary
METHOD-02:source_right_release
METHOD-02:revoke_impact</x:v>
      </x:c>
      <x:c r="P46" s="56" t="str">
        <x:v>evidence/tasks/METHOD-02/&lt;sha&gt;/receipt.json</x:v>
      </x:c>
      <x:c r="Q46" s="56" t="str">
        <x:v>Independent QA/Security/Legal as applicable</x:v>
      </x:c>
      <x:c r="R46" s="56" t="str">
        <x:v>Q2
Q3
Q5
Q6
Q12</x:v>
      </x:c>
      <x:c r="S46" s="56" t="str">
        <x:v>METHOD-02:unknown_rule
METHOD-02:revoked_release
METHOD-02:missing_right
METHOD-02:null_zero_confusion</x:v>
      </x:c>
      <x:c r="T46" s="56" t="str">
        <x:v>production deploy or mutation
production/real-customer data access
secret value read or output
scope outside allowed paths
approval/status invention
history rewrite</x:v>
      </x:c>
      <x:c r="U46" s="56" t="str">
        <x:v>document and rehearse scoped rollback before state-changing acceptance</x:v>
      </x:c>
      <x:c r="V46" s="56" t="str">
        <x:v>SEPARATE_APPROVAL_REQUIRED</x:v>
      </x:c>
      <x:c r="W4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46" s="56" t="str">
        <x:v>NOT_CHECKED</x:v>
      </x:c>
    </x:row>
    <x:row r="47" ht="104" hidden="0" customHeight="1">
      <x:c r="A47" s="56" t="str">
        <x:v>METHOD-03</x:v>
      </x:c>
      <x:c r="B47" s="56" t="str">
        <x:v>C</x:v>
      </x:c>
      <x:c r="C47" s="56" t="str">
        <x:v>METHOD</x:v>
      </x:c>
      <x:c r="D47" s="56" t="str">
        <x:v>Timezone/date precision và leap rules</x:v>
      </x:c>
      <x:c r="E47" s="56" t="str">
        <x:v>Method Council + Engineer</x:v>
      </x:c>
      <x:c r="F47" s="57" t="str">
        <x:v>NOT_STARTED</x:v>
      </x:c>
      <x:c r="G47" s="73" t="n">
        <x:v>3</x:v>
      </x:c>
      <x:c r="H47" s="73" t="n">
        <x:v>7</x:v>
      </x:c>
      <x:c r="I47" s="56" t="str">
        <x:v>METHOD-02</x:v>
      </x:c>
      <x:c r="J47" s="56" t="str">
        <x:v>G06</x:v>
      </x:c>
      <x:c r="K47" s="56" t="str">
        <x:v>evidence/METHOD-03/receipt.json + diff/spec/test logs</x:v>
      </x:c>
      <x:c r="L47" s="57" t="str">
        <x:v>Unknown không thành00:00; ranh giới lịch có fixture</x:v>
      </x:c>
      <x:c r="M47" s="69" t="str">
        <x:v>CHƯA PHÂN CÔNG</x:v>
      </x:c>
      <x:c r="N47" s="56" t="str">
        <x:v>packages/methods/**
packages/registry/**
tests/methods/**
docs/**</x:v>
      </x:c>
      <x:c r="O47" s="56" t="str">
        <x:v>METHOD-03:golden_fixture
METHOD-03:property_boundary
METHOD-03:source_right_release
METHOD-03:revoke_impact</x:v>
      </x:c>
      <x:c r="P47" s="56" t="str">
        <x:v>evidence/tasks/METHOD-03/&lt;sha&gt;/receipt.json</x:v>
      </x:c>
      <x:c r="Q47" s="56" t="str">
        <x:v>Independent QA/Security/Legal as applicable</x:v>
      </x:c>
      <x:c r="R47" s="56" t="str">
        <x:v>Q2
Q3
Q5
Q6
Q12</x:v>
      </x:c>
      <x:c r="S47" s="56" t="str">
        <x:v>METHOD-03:unknown_rule
METHOD-03:revoked_release
METHOD-03:missing_right
METHOD-03:null_zero_confusion</x:v>
      </x:c>
      <x:c r="T47" s="56" t="str">
        <x:v>production deploy or mutation
production/real-customer data access
secret value read or output
scope outside allowed paths
approval/status invention
history rewrite</x:v>
      </x:c>
      <x:c r="U47" s="56" t="str">
        <x:v>document and rehearse scoped rollback before state-changing acceptance</x:v>
      </x:c>
      <x:c r="V47" s="56" t="str">
        <x:v>SEPARATE_APPROVAL_REQUIRED</x:v>
      </x:c>
      <x:c r="W4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47" s="56" t="str">
        <x:v>NOT_CHECKED</x:v>
      </x:c>
    </x:row>
    <x:row r="48" ht="104" hidden="0" customHeight="1">
      <x:c r="A48" s="56" t="str">
        <x:v>METHOD-04</x:v>
      </x:c>
      <x:c r="B48" s="56" t="str">
        <x:v>C</x:v>
      </x:c>
      <x:c r="C48" s="56" t="str">
        <x:v>METHOD</x:v>
      </x:c>
      <x:c r="D48" s="56" t="str">
        <x:v>Mã đuôi80 với zero policy</x:v>
      </x:c>
      <x:c r="E48" s="56" t="str">
        <x:v>Method Council + Engineer</x:v>
      </x:c>
      <x:c r="F48" s="57" t="str">
        <x:v>NOT_STARTED</x:v>
      </x:c>
      <x:c r="G48" s="73" t="n">
        <x:v>3</x:v>
      </x:c>
      <x:c r="H48" s="73" t="n">
        <x:v>7</x:v>
      </x:c>
      <x:c r="I48" s="56" t="str">
        <x:v>METHOD-03</x:v>
      </x:c>
      <x:c r="J48" s="56" t="str">
        <x:v>G06</x:v>
      </x:c>
      <x:c r="K48" s="56" t="str">
        <x:v>evidence/METHOD-04/receipt.json + diff/spec/test logs</x:v>
      </x:c>
      <x:c r="L48" s="57" t="str">
        <x:v>10.000suffix đối chiếu; unmapped mặc định</x:v>
      </x:c>
      <x:c r="M48" s="69" t="str">
        <x:v>CHƯA PHÂN CÔNG</x:v>
      </x:c>
      <x:c r="N48" s="56" t="str">
        <x:v>packages/methods/**
packages/registry/**
tests/methods/**
docs/**</x:v>
      </x:c>
      <x:c r="O48" s="56" t="str">
        <x:v>METHOD-04:golden_fixture
METHOD-04:property_boundary
METHOD-04:source_right_release
METHOD-04:revoke_impact</x:v>
      </x:c>
      <x:c r="P48" s="56" t="str">
        <x:v>evidence/tasks/METHOD-04/&lt;sha&gt;/receipt.json</x:v>
      </x:c>
      <x:c r="Q48" s="56" t="str">
        <x:v>Independent QA/Security/Legal as applicable</x:v>
      </x:c>
      <x:c r="R48" s="56" t="str">
        <x:v>Q2
Q3
Q5
Q6
Q12</x:v>
      </x:c>
      <x:c r="S48" s="56" t="str">
        <x:v>METHOD-04:unknown_rule
METHOD-04:revoked_release
METHOD-04:missing_right
METHOD-04:null_zero_confusion</x:v>
      </x:c>
      <x:c r="T48" s="56" t="str">
        <x:v>production deploy or mutation
production/real-customer data access
secret value read or output
scope outside allowed paths
approval/status invention
history rewrite</x:v>
      </x:c>
      <x:c r="U48" s="56" t="str">
        <x:v>document and rehearse scoped rollback before state-changing acceptance</x:v>
      </x:c>
      <x:c r="V48" s="56" t="str">
        <x:v>SEPARATE_APPROVAL_REQUIRED</x:v>
      </x:c>
      <x:c r="W4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48" s="56" t="str">
        <x:v>NOT_CHECKED</x:v>
      </x:c>
    </x:row>
    <x:row r="49" ht="104" hidden="0" customHeight="1">
      <x:c r="A49" s="56" t="str">
        <x:v>METHOD-05</x:v>
      </x:c>
      <x:c r="B49" s="56" t="str">
        <x:v>C</x:v>
      </x:c>
      <x:c r="C49" s="56" t="str">
        <x:v>METHOD</x:v>
      </x:c>
      <x:c r="D49" s="56" t="str">
        <x:v>Registry80 label/source/editorial riêng</x:v>
      </x:c>
      <x:c r="E49" s="56" t="str">
        <x:v>Method Council + Engineer</x:v>
      </x:c>
      <x:c r="F49" s="57" t="str">
        <x:v>NOT_STARTED</x:v>
      </x:c>
      <x:c r="G49" s="73" t="n">
        <x:v>3</x:v>
      </x:c>
      <x:c r="H49" s="73" t="n">
        <x:v>7</x:v>
      </x:c>
      <x:c r="I49" s="56" t="str">
        <x:v>METHOD-04</x:v>
      </x:c>
      <x:c r="J49" s="56" t="str">
        <x:v>G06</x:v>
      </x:c>
      <x:c r="K49" s="56" t="str">
        <x:v>evidence/METHOD-05/receipt.json + diff/spec/test logs</x:v>
      </x:c>
      <x:c r="L49" s="57" t="str">
        <x:v>Mục34/55 còn note; nhãn không tự đổi</x:v>
      </x:c>
      <x:c r="M49" s="69" t="str">
        <x:v>CHƯA PHÂN CÔNG</x:v>
      </x:c>
      <x:c r="N49" s="56" t="str">
        <x:v>packages/methods/**
packages/registry/**
tests/methods/**
docs/**</x:v>
      </x:c>
      <x:c r="O49" s="56" t="str">
        <x:v>METHOD-05:golden_fixture
METHOD-05:property_boundary
METHOD-05:source_right_release
METHOD-05:revoke_impact</x:v>
      </x:c>
      <x:c r="P49" s="56" t="str">
        <x:v>evidence/tasks/METHOD-05/&lt;sha&gt;/receipt.json</x:v>
      </x:c>
      <x:c r="Q49" s="56" t="str">
        <x:v>Independent QA/Security/Legal as applicable</x:v>
      </x:c>
      <x:c r="R49" s="56" t="str">
        <x:v>Q2
Q3
Q5
Q6
Q12</x:v>
      </x:c>
      <x:c r="S49" s="56" t="str">
        <x:v>METHOD-05:unknown_rule
METHOD-05:revoked_release
METHOD-05:missing_right
METHOD-05:null_zero_confusion</x:v>
      </x:c>
      <x:c r="T49" s="56" t="str">
        <x:v>production deploy or mutation
production/real-customer data access
secret value read or output
scope outside allowed paths
approval/status invention
history rewrite</x:v>
      </x:c>
      <x:c r="U49" s="56" t="str">
        <x:v>document and rehearse scoped rollback before state-changing acceptance</x:v>
      </x:c>
      <x:c r="V49" s="56" t="str">
        <x:v>SEPARATE_APPROVAL_REQUIRED</x:v>
      </x:c>
      <x:c r="W4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49" s="56" t="str">
        <x:v>NOT_CHECKED</x:v>
      </x:c>
    </x:row>
    <x:row r="50" ht="104" hidden="0" customHeight="1">
      <x:c r="A50" s="56" t="str">
        <x:v>METHOD-06</x:v>
      </x:c>
      <x:c r="B50" s="56" t="str">
        <x:v>C</x:v>
      </x:c>
      <x:c r="C50" s="56" t="str">
        <x:v>METHOD</x:v>
      </x:c>
      <x:c r="D50" s="56" t="str">
        <x:v>64cặp số và unresolved0/5</x:v>
      </x:c>
      <x:c r="E50" s="56" t="str">
        <x:v>Method Council + Engineer</x:v>
      </x:c>
      <x:c r="F50" s="57" t="str">
        <x:v>NOT_STARTED</x:v>
      </x:c>
      <x:c r="G50" s="73" t="n">
        <x:v>3</x:v>
      </x:c>
      <x:c r="H50" s="73" t="n">
        <x:v>7</x:v>
      </x:c>
      <x:c r="I50" s="56" t="str">
        <x:v>METHOD-05</x:v>
      </x:c>
      <x:c r="J50" s="56" t="str">
        <x:v>G06</x:v>
      </x:c>
      <x:c r="K50" s="56" t="str">
        <x:v>evidence/METHOD-06/receipt.json + diff/spec/test logs</x:v>
      </x:c>
      <x:c r="L50" s="57" t="str">
        <x:v>Overlapping pair, đủ64không trùng; không tự hóa giải</x:v>
      </x:c>
      <x:c r="M50" s="69" t="str">
        <x:v>CHƯA PHÂN CÔNG</x:v>
      </x:c>
      <x:c r="N50" s="56" t="str">
        <x:v>packages/methods/**
packages/registry/**
tests/methods/**
docs/**</x:v>
      </x:c>
      <x:c r="O50" s="56" t="str">
        <x:v>METHOD-06:golden_fixture
METHOD-06:property_boundary
METHOD-06:source_right_release
METHOD-06:revoke_impact</x:v>
      </x:c>
      <x:c r="P50" s="56" t="str">
        <x:v>evidence/tasks/METHOD-06/&lt;sha&gt;/receipt.json</x:v>
      </x:c>
      <x:c r="Q50" s="56" t="str">
        <x:v>Independent QA/Security/Legal as applicable</x:v>
      </x:c>
      <x:c r="R50" s="56" t="str">
        <x:v>Q2
Q3
Q5
Q6
Q12</x:v>
      </x:c>
      <x:c r="S50" s="56" t="str">
        <x:v>METHOD-06:unknown_rule
METHOD-06:revoked_release
METHOD-06:missing_right
METHOD-06:null_zero_confusion</x:v>
      </x:c>
      <x:c r="T50" s="56" t="str">
        <x:v>production deploy or mutation
production/real-customer data access
secret value read or output
scope outside allowed paths
approval/status invention
history rewrite</x:v>
      </x:c>
      <x:c r="U50" s="56" t="str">
        <x:v>document and rehearse scoped rollback before state-changing acceptance</x:v>
      </x:c>
      <x:c r="V50" s="56" t="str">
        <x:v>SEPARATE_APPROVAL_REQUIRED</x:v>
      </x:c>
      <x:c r="W5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50" s="56" t="str">
        <x:v>NOT_CHECKED</x:v>
      </x:c>
    </x:row>
    <x:row r="51" ht="104" hidden="0" customHeight="1">
      <x:c r="A51" s="56" t="str">
        <x:v>METHOD-07</x:v>
      </x:c>
      <x:c r="B51" s="56" t="str">
        <x:v>C</x:v>
      </x:c>
      <x:c r="C51" s="56" t="str">
        <x:v>METHOD</x:v>
      </x:c>
      <x:c r="D51" s="56" t="str">
        <x:v>Server-required coverage và nullable metrics</x:v>
      </x:c>
      <x:c r="E51" s="56" t="str">
        <x:v>Method Council + Engineer</x:v>
      </x:c>
      <x:c r="F51" s="57" t="str">
        <x:v>NOT_STARTED</x:v>
      </x:c>
      <x:c r="G51" s="73" t="n">
        <x:v>3</x:v>
      </x:c>
      <x:c r="H51" s="73" t="n">
        <x:v>7</x:v>
      </x:c>
      <x:c r="I51" s="56" t="str">
        <x:v>METHOD-06</x:v>
      </x:c>
      <x:c r="J51" s="56" t="str">
        <x:v>G06</x:v>
      </x:c>
      <x:c r="K51" s="56" t="str">
        <x:v>evidence/METHOD-07/receipt.json + diff/spec/test logs</x:v>
      </x:c>
      <x:c r="L51" s="57" t="str">
        <x:v>Client không chọn denominator; không score mặc định</x:v>
      </x:c>
      <x:c r="M51" s="69" t="str">
        <x:v>CHƯA PHÂN CÔNG</x:v>
      </x:c>
      <x:c r="N51" s="56" t="str">
        <x:v>packages/methods/**
packages/registry/**
tests/methods/**
docs/**</x:v>
      </x:c>
      <x:c r="O51" s="56" t="str">
        <x:v>METHOD-07:golden_fixture
METHOD-07:property_boundary
METHOD-07:source_right_release
METHOD-07:revoke_impact</x:v>
      </x:c>
      <x:c r="P51" s="56" t="str">
        <x:v>evidence/tasks/METHOD-07/&lt;sha&gt;/receipt.json</x:v>
      </x:c>
      <x:c r="Q51" s="56" t="str">
        <x:v>Independent QA/Security/Legal as applicable</x:v>
      </x:c>
      <x:c r="R51" s="56" t="str">
        <x:v>Q2
Q3
Q5
Q6
Q12</x:v>
      </x:c>
      <x:c r="S51" s="56" t="str">
        <x:v>METHOD-07:unknown_rule
METHOD-07:revoked_release
METHOD-07:missing_right
METHOD-07:null_zero_confusion</x:v>
      </x:c>
      <x:c r="T51" s="56" t="str">
        <x:v>production deploy or mutation
production/real-customer data access
secret value read or output
scope outside allowed paths
approval/status invention
history rewrite</x:v>
      </x:c>
      <x:c r="U51" s="56" t="str">
        <x:v>document and rehearse scoped rollback before state-changing acceptance</x:v>
      </x:c>
      <x:c r="V51" s="56" t="str">
        <x:v>SEPARATE_APPROVAL_REQUIRED</x:v>
      </x:c>
      <x:c r="W5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51" s="56" t="str">
        <x:v>NOT_CHECKED</x:v>
      </x:c>
    </x:row>
    <x:row r="52" ht="104" hidden="0" customHeight="1">
      <x:c r="A52" s="56" t="str">
        <x:v>METHOD-08</x:v>
      </x:c>
      <x:c r="B52" s="56" t="str">
        <x:v>C</x:v>
      </x:c>
      <x:c r="C52" s="56" t="str">
        <x:v>METHOD</x:v>
      </x:c>
      <x:c r="D52" s="56" t="str">
        <x:v>Age intervals0–99 và4timeline tracks</x:v>
      </x:c>
      <x:c r="E52" s="56" t="str">
        <x:v>Method Council + Engineer</x:v>
      </x:c>
      <x:c r="F52" s="57" t="str">
        <x:v>NOT_STARTED</x:v>
      </x:c>
      <x:c r="G52" s="73" t="n">
        <x:v>3</x:v>
      </x:c>
      <x:c r="H52" s="73" t="n">
        <x:v>7</x:v>
      </x:c>
      <x:c r="I52" s="56" t="str">
        <x:v>METHOD-07</x:v>
      </x:c>
      <x:c r="J52" s="56" t="str">
        <x:v>G06</x:v>
      </x:c>
      <x:c r="K52" s="56" t="str">
        <x:v>evidence/METHOD-08/receipt.json + diff/spec/test logs</x:v>
      </x:c>
      <x:c r="L52" s="57" t="str">
        <x:v>Không seeded risk; zero-data không tạo biography</x:v>
      </x:c>
      <x:c r="M52" s="69" t="str">
        <x:v>CHƯA PHÂN CÔNG</x:v>
      </x:c>
      <x:c r="N52" s="56" t="str">
        <x:v>packages/methods/**
packages/registry/**
tests/methods/**
docs/**</x:v>
      </x:c>
      <x:c r="O52" s="56" t="str">
        <x:v>METHOD-08:golden_fixture
METHOD-08:property_boundary
METHOD-08:source_right_release
METHOD-08:revoke_impact</x:v>
      </x:c>
      <x:c r="P52" s="56" t="str">
        <x:v>evidence/tasks/METHOD-08/&lt;sha&gt;/receipt.json</x:v>
      </x:c>
      <x:c r="Q52" s="56" t="str">
        <x:v>Independent QA/Security/Legal as applicable</x:v>
      </x:c>
      <x:c r="R52" s="56" t="str">
        <x:v>Q2
Q3
Q5
Q6
Q12</x:v>
      </x:c>
      <x:c r="S52" s="56" t="str">
        <x:v>METHOD-08:unknown_rule
METHOD-08:revoked_release
METHOD-08:missing_right
METHOD-08:null_zero_confusion</x:v>
      </x:c>
      <x:c r="T52" s="56" t="str">
        <x:v>production deploy or mutation
production/real-customer data access
secret value read or output
scope outside allowed paths
approval/status invention
history rewrite</x:v>
      </x:c>
      <x:c r="U52" s="56" t="str">
        <x:v>document and rehearse scoped rollback before state-changing acceptance</x:v>
      </x:c>
      <x:c r="V52" s="56" t="str">
        <x:v>SEPARATE_APPROVAL_REQUIRED</x:v>
      </x:c>
      <x:c r="W5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52" s="56" t="str">
        <x:v>NOT_CHECKED</x:v>
      </x:c>
    </x:row>
    <x:row r="53" ht="104" hidden="0" customHeight="1">
      <x:c r="A53" s="56" t="str">
        <x:v>METHOD-09</x:v>
      </x:c>
      <x:c r="B53" s="56" t="str">
        <x:v>C</x:v>
      </x:c>
      <x:c r="C53" s="56" t="str">
        <x:v>METHOD</x:v>
      </x:c>
      <x:c r="D53" s="56" t="str">
        <x:v>Goal progress metric từ observation</x:v>
      </x:c>
      <x:c r="E53" s="56" t="str">
        <x:v>Method Council + Engineer</x:v>
      </x:c>
      <x:c r="F53" s="57" t="str">
        <x:v>NOT_STARTED</x:v>
      </x:c>
      <x:c r="G53" s="73" t="n">
        <x:v>3</x:v>
      </x:c>
      <x:c r="H53" s="73" t="n">
        <x:v>7</x:v>
      </x:c>
      <x:c r="I53" s="56" t="str">
        <x:v>METHOD-08</x:v>
      </x:c>
      <x:c r="J53" s="56" t="str">
        <x:v>G06</x:v>
      </x:c>
      <x:c r="K53" s="56" t="str">
        <x:v>evidence/METHOD-09/receipt.json + diff/spec/test logs</x:v>
      </x:c>
      <x:c r="L53" s="57" t="str">
        <x:v>Có denominator/timewindow/source; không chẩn đoán</x:v>
      </x:c>
      <x:c r="M53" s="69" t="str">
        <x:v>CHƯA PHÂN CÔNG</x:v>
      </x:c>
      <x:c r="N53" s="56" t="str">
        <x:v>packages/methods/**
packages/registry/**
tests/methods/**
docs/**</x:v>
      </x:c>
      <x:c r="O53" s="56" t="str">
        <x:v>METHOD-09:golden_fixture
METHOD-09:property_boundary
METHOD-09:source_right_release
METHOD-09:revoke_impact</x:v>
      </x:c>
      <x:c r="P53" s="56" t="str">
        <x:v>evidence/tasks/METHOD-09/&lt;sha&gt;/receipt.json</x:v>
      </x:c>
      <x:c r="Q53" s="56" t="str">
        <x:v>Independent QA/Security/Legal as applicable</x:v>
      </x:c>
      <x:c r="R53" s="56" t="str">
        <x:v>Q2
Q3
Q5
Q6
Q12</x:v>
      </x:c>
      <x:c r="S53" s="56" t="str">
        <x:v>METHOD-09:unknown_rule
METHOD-09:revoked_release
METHOD-09:missing_right
METHOD-09:null_zero_confusion</x:v>
      </x:c>
      <x:c r="T53" s="56" t="str">
        <x:v>production deploy or mutation
production/real-customer data access
secret value read or output
scope outside allowed paths
approval/status invention
history rewrite</x:v>
      </x:c>
      <x:c r="U53" s="56" t="str">
        <x:v>document and rehearse scoped rollback before state-changing acceptance</x:v>
      </x:c>
      <x:c r="V53" s="56" t="str">
        <x:v>SEPARATE_APPROVAL_REQUIRED</x:v>
      </x:c>
      <x:c r="W5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53" s="56" t="str">
        <x:v>NOT_CHECKED</x:v>
      </x:c>
    </x:row>
    <x:row r="54" ht="104" hidden="0" customHeight="1">
      <x:c r="A54" s="56" t="str">
        <x:v>METHOD-10</x:v>
      </x:c>
      <x:c r="B54" s="56" t="str">
        <x:v>C</x:v>
      </x:c>
      <x:c r="C54" s="56" t="str">
        <x:v>METHOD</x:v>
      </x:c>
      <x:c r="D54" s="56" t="str">
        <x:v>Method release registry và revoke impact</x:v>
      </x:c>
      <x:c r="E54" s="56" t="str">
        <x:v>Method Council + Engineer</x:v>
      </x:c>
      <x:c r="F54" s="57" t="str">
        <x:v>NOT_STARTED</x:v>
      </x:c>
      <x:c r="G54" s="73" t="n">
        <x:v>2</x:v>
      </x:c>
      <x:c r="H54" s="73" t="n">
        <x:v>5</x:v>
      </x:c>
      <x:c r="I54" s="56" t="str">
        <x:v>METHOD-09</x:v>
      </x:c>
      <x:c r="J54" s="56" t="str">
        <x:v>G06</x:v>
      </x:c>
      <x:c r="K54" s="56" t="str">
        <x:v>evidence/METHOD-10/receipt.json + diff/spec/test logs</x:v>
      </x:c>
      <x:c r="L54" s="57" t="str">
        <x:v>Method revoked chặn chạy/publish mới đúng scope</x:v>
      </x:c>
      <x:c r="M54" s="69" t="str">
        <x:v>CHƯA PHÂN CÔNG</x:v>
      </x:c>
      <x:c r="N54" s="56" t="str">
        <x:v>packages/methods/**
packages/registry/**
tests/methods/**
docs/**</x:v>
      </x:c>
      <x:c r="O54" s="56" t="str">
        <x:v>METHOD-10:golden_fixture
METHOD-10:property_boundary
METHOD-10:source_right_release
METHOD-10:revoke_impact</x:v>
      </x:c>
      <x:c r="P54" s="56" t="str">
        <x:v>evidence/tasks/METHOD-10/&lt;sha&gt;/receipt.json</x:v>
      </x:c>
      <x:c r="Q54" s="56" t="str">
        <x:v>Independent QA/Security/Legal as applicable</x:v>
      </x:c>
      <x:c r="R54" s="56" t="str">
        <x:v>Q2
Q3
Q5
Q6
Q12</x:v>
      </x:c>
      <x:c r="S54" s="56" t="str">
        <x:v>METHOD-10:unknown_rule
METHOD-10:revoked_release
METHOD-10:missing_right
METHOD-10:null_zero_confusion</x:v>
      </x:c>
      <x:c r="T54" s="56" t="str">
        <x:v>production deploy or mutation
production/real-customer data access
secret value read or output
scope outside allowed paths
approval/status invention
history rewrite</x:v>
      </x:c>
      <x:c r="U54" s="56" t="str">
        <x:v>document and rehearse scoped rollback before state-changing acceptance</x:v>
      </x:c>
      <x:c r="V54" s="56" t="str">
        <x:v>SEPARATE_APPROVAL_REQUIRED</x:v>
      </x:c>
      <x:c r="W5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54" s="56" t="str">
        <x:v>NOT_CHECKED</x:v>
      </x:c>
    </x:row>
    <x:row r="55" ht="104" hidden="0" customHeight="1">
      <x:c r="A55" s="56" t="str">
        <x:v>WEB-01</x:v>
      </x:c>
      <x:c r="B55" s="56" t="str">
        <x:v>C</x:v>
      </x:c>
      <x:c r="C55" s="56" t="str">
        <x:v>WEB</x:v>
      </x:c>
      <x:c r="D55" s="56" t="str">
        <x:v>Chỉnh home/levels claims và giữ URL</x:v>
      </x:c>
      <x:c r="E55" s="56" t="str">
        <x:v>Frontend + UX</x:v>
      </x:c>
      <x:c r="F55" s="57" t="str">
        <x:v>NOT_STARTED</x:v>
      </x:c>
      <x:c r="G55" s="73" t="n">
        <x:v>2</x:v>
      </x:c>
      <x:c r="H55" s="73" t="n">
        <x:v>5</x:v>
      </x:c>
      <x:c r="I55" s="56" t="str">
        <x:v>GOV-02;TRUST-03</x:v>
      </x:c>
      <x:c r="J55" s="56" t="str">
        <x:v>G03;G08;G12</x:v>
      </x:c>
      <x:c r="K55" s="56" t="str">
        <x:v>evidence/WEB-01/receipt.json + diff/spec/test logs</x:v>
      </x:c>
      <x:c r="L55" s="57" t="str">
        <x:v>Không hứa tiên tri; redirects/canonical kiểm tra</x:v>
      </x:c>
      <x:c r="M55" s="69" t="str">
        <x:v>CHƯA PHÂN CÔNG</x:v>
      </x:c>
      <x:c r="N55" s="56" t="str">
        <x:v>apps/web/**
packages/ui/**
tests/ui/**
docs/**</x:v>
      </x:c>
      <x:c r="O55" s="56" t="str">
        <x:v>WEB-01:component_state
WEB-01:phone_desktop_parity
WEB-01:browser_e2e
WEB-01:wcag_manual_automated
WEB-01:pwa_lifecycle</x:v>
      </x:c>
      <x:c r="P55" s="56" t="str">
        <x:v>evidence/tasks/WEB-01/&lt;sha&gt;/receipt.json</x:v>
      </x:c>
      <x:c r="Q55" s="56" t="str">
        <x:v>Independent QA/Security/Legal as applicable</x:v>
      </x:c>
      <x:c r="R55" s="56" t="str">
        <x:v>Q1
Q9
Q13
Q20</x:v>
      </x:c>
      <x:c r="S55" s="56" t="str">
        <x:v>WEB-01:offline_mutation_truth
WEB-01:unauthorized_route
WEB-01:stale_conflict
WEB-01:private_cache</x:v>
      </x:c>
      <x:c r="T55" s="56" t="str">
        <x:v>production deploy or mutation
production/real-customer data access
secret value read or output
scope outside allowed paths
approval/status invention
history rewrite</x:v>
      </x:c>
      <x:c r="U55" s="56" t="str">
        <x:v>document and rehearse scoped rollback before state-changing acceptance</x:v>
      </x:c>
      <x:c r="V55" s="56" t="str">
        <x:v>SEPARATE_APPROVAL_REQUIRED</x:v>
      </x:c>
      <x:c r="W5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55" s="56" t="str">
        <x:v>NOT_CHECKED</x:v>
      </x:c>
    </x:row>
    <x:row r="56" ht="104" hidden="0" customHeight="1">
      <x:c r="A56" s="56" t="str">
        <x:v>WEB-02</x:v>
      </x:c>
      <x:c r="B56" s="56" t="str">
        <x:v>C</x:v>
      </x:c>
      <x:c r="C56" s="56" t="str">
        <x:v>WEB</x:v>
      </x:c>
      <x:c r="D56" s="56" t="str">
        <x:v>Guest deterministic tools không tài khoản</x:v>
      </x:c>
      <x:c r="E56" s="56" t="str">
        <x:v>Frontend + UX</x:v>
      </x:c>
      <x:c r="F56" s="57" t="str">
        <x:v>NOT_STARTED</x:v>
      </x:c>
      <x:c r="G56" s="73" t="n">
        <x:v>2</x:v>
      </x:c>
      <x:c r="H56" s="73" t="n">
        <x:v>5</x:v>
      </x:c>
      <x:c r="I56" s="56" t="str">
        <x:v>WEB-01</x:v>
      </x:c>
      <x:c r="J56" s="56" t="str">
        <x:v>G03;G08;G12</x:v>
      </x:c>
      <x:c r="K56" s="56" t="str">
        <x:v>evidence/WEB-02/receipt.json + diff/spec/test logs</x:v>
      </x:c>
      <x:c r="L56" s="57" t="str">
        <x:v>Không raw input analytics; có unknown/tableversion</x:v>
      </x:c>
      <x:c r="M56" s="69" t="str">
        <x:v>CHƯA PHÂN CÔNG</x:v>
      </x:c>
      <x:c r="N56" s="56" t="str">
        <x:v>apps/web/**
packages/ui/**
tests/ui/**
docs/**</x:v>
      </x:c>
      <x:c r="O56" s="56" t="str">
        <x:v>WEB-02:component_state
WEB-02:phone_desktop_parity
WEB-02:browser_e2e
WEB-02:wcag_manual_automated
WEB-02:pwa_lifecycle</x:v>
      </x:c>
      <x:c r="P56" s="56" t="str">
        <x:v>evidence/tasks/WEB-02/&lt;sha&gt;/receipt.json</x:v>
      </x:c>
      <x:c r="Q56" s="56" t="str">
        <x:v>Independent QA/Security/Legal as applicable</x:v>
      </x:c>
      <x:c r="R56" s="56" t="str">
        <x:v>Q1
Q9
Q13
Q20</x:v>
      </x:c>
      <x:c r="S56" s="56" t="str">
        <x:v>WEB-02:offline_mutation_truth
WEB-02:unauthorized_route
WEB-02:stale_conflict
WEB-02:private_cache</x:v>
      </x:c>
      <x:c r="T56" s="56" t="str">
        <x:v>production deploy or mutation
production/real-customer data access
secret value read or output
scope outside allowed paths
approval/status invention
history rewrite</x:v>
      </x:c>
      <x:c r="U56" s="56" t="str">
        <x:v>document and rehearse scoped rollback before state-changing acceptance</x:v>
      </x:c>
      <x:c r="V56" s="56" t="str">
        <x:v>SEPARATE_APPROVAL_REQUIRED</x:v>
      </x:c>
      <x:c r="W5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56" s="56" t="str">
        <x:v>NOT_CHECKED</x:v>
      </x:c>
    </x:row>
    <x:row r="57" ht="104" hidden="0" customHeight="1">
      <x:c r="A57" s="56" t="str">
        <x:v>WEB-03</x:v>
      </x:c>
      <x:c r="B57" s="56" t="str">
        <x:v>C</x:v>
      </x:c>
      <x:c r="C57" s="56" t="str">
        <x:v>WEB</x:v>
      </x:c>
      <x:c r="D57" s="56" t="str">
        <x:v>Needs-first onboarding và save-draft</x:v>
      </x:c>
      <x:c r="E57" s="56" t="str">
        <x:v>Frontend + UX</x:v>
      </x:c>
      <x:c r="F57" s="57" t="str">
        <x:v>NOT_STARTED</x:v>
      </x:c>
      <x:c r="G57" s="73" t="n">
        <x:v>3</x:v>
      </x:c>
      <x:c r="H57" s="73" t="n">
        <x:v>7</x:v>
      </x:c>
      <x:c r="I57" s="56" t="str">
        <x:v>WEB-02</x:v>
      </x:c>
      <x:c r="J57" s="56" t="str">
        <x:v>G03;G08;G12</x:v>
      </x:c>
      <x:c r="K57" s="56" t="str">
        <x:v>evidence/WEB-03/receipt.json + diff/spec/test logs</x:v>
      </x:c>
      <x:c r="L57" s="57" t="str">
        <x:v>Form ít trường, nêu purpose và lỗi rõ</x:v>
      </x:c>
      <x:c r="M57" s="69" t="str">
        <x:v>CHƯA PHÂN CÔNG</x:v>
      </x:c>
      <x:c r="N57" s="56" t="str">
        <x:v>apps/web/**
packages/ui/**
tests/ui/**
docs/**</x:v>
      </x:c>
      <x:c r="O57" s="56" t="str">
        <x:v>WEB-03:component_state
WEB-03:phone_desktop_parity
WEB-03:browser_e2e
WEB-03:wcag_manual_automated
WEB-03:pwa_lifecycle</x:v>
      </x:c>
      <x:c r="P57" s="56" t="str">
        <x:v>evidence/tasks/WEB-03/&lt;sha&gt;/receipt.json</x:v>
      </x:c>
      <x:c r="Q57" s="56" t="str">
        <x:v>Independent QA/Security/Legal as applicable</x:v>
      </x:c>
      <x:c r="R57" s="56" t="str">
        <x:v>Q1
Q9
Q13
Q20</x:v>
      </x:c>
      <x:c r="S57" s="56" t="str">
        <x:v>WEB-03:offline_mutation_truth
WEB-03:unauthorized_route
WEB-03:stale_conflict
WEB-03:private_cache</x:v>
      </x:c>
      <x:c r="T57" s="56" t="str">
        <x:v>production deploy or mutation
production/real-customer data access
secret value read or output
scope outside allowed paths
approval/status invention
history rewrite</x:v>
      </x:c>
      <x:c r="U57" s="56" t="str">
        <x:v>document and rehearse scoped rollback before state-changing acceptance</x:v>
      </x:c>
      <x:c r="V57" s="56" t="str">
        <x:v>SEPARATE_APPROVAL_REQUIRED</x:v>
      </x:c>
      <x:c r="W5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57" s="56" t="str">
        <x:v>NOT_CHECKED</x:v>
      </x:c>
    </x:row>
    <x:row r="58" ht="104" hidden="0" customHeight="1">
      <x:c r="A58" s="56" t="str">
        <x:v>WEB-04</x:v>
      </x:c>
      <x:c r="B58" s="56" t="str">
        <x:v>C</x:v>
      </x:c>
      <x:c r="C58" s="56" t="str">
        <x:v>WEB</x:v>
      </x:c>
      <x:c r="D58" s="56" t="str">
        <x:v>Profile/hypothesis editor</x:v>
      </x:c>
      <x:c r="E58" s="56" t="str">
        <x:v>Frontend + UX</x:v>
      </x:c>
      <x:c r="F58" s="57" t="str">
        <x:v>NOT_STARTED</x:v>
      </x:c>
      <x:c r="G58" s="73" t="n">
        <x:v>3</x:v>
      </x:c>
      <x:c r="H58" s="73" t="n">
        <x:v>7</x:v>
      </x:c>
      <x:c r="I58" s="56" t="str">
        <x:v>WEB-03</x:v>
      </x:c>
      <x:c r="J58" s="56" t="str">
        <x:v>G03;G08;G12</x:v>
      </x:c>
      <x:c r="K58" s="56" t="str">
        <x:v>evidence/WEB-04/receipt.json + diff/spec/test logs</x:v>
      </x:c>
      <x:c r="L58" s="57" t="str">
        <x:v>Ngày thiếu và mâu thuẫn hiển thị đúng</x:v>
      </x:c>
      <x:c r="M58" s="69" t="str">
        <x:v>CHƯA PHÂN CÔNG</x:v>
      </x:c>
      <x:c r="N58" s="56" t="str">
        <x:v>apps/web/**
packages/ui/**
tests/ui/**
docs/**</x:v>
      </x:c>
      <x:c r="O58" s="56" t="str">
        <x:v>WEB-04:component_state
WEB-04:phone_desktop_parity
WEB-04:browser_e2e
WEB-04:wcag_manual_automated
WEB-04:pwa_lifecycle</x:v>
      </x:c>
      <x:c r="P58" s="56" t="str">
        <x:v>evidence/tasks/WEB-04/&lt;sha&gt;/receipt.json</x:v>
      </x:c>
      <x:c r="Q58" s="56" t="str">
        <x:v>Independent QA/Security/Legal as applicable</x:v>
      </x:c>
      <x:c r="R58" s="56" t="str">
        <x:v>Q1
Q9
Q13
Q20</x:v>
      </x:c>
      <x:c r="S58" s="56" t="str">
        <x:v>WEB-04:offline_mutation_truth
WEB-04:unauthorized_route
WEB-04:stale_conflict
WEB-04:private_cache</x:v>
      </x:c>
      <x:c r="T58" s="56" t="str">
        <x:v>production deploy or mutation
production/real-customer data access
secret value read or output
scope outside allowed paths
approval/status invention
history rewrite</x:v>
      </x:c>
      <x:c r="U58" s="56" t="str">
        <x:v>document and rehearse scoped rollback before state-changing acceptance</x:v>
      </x:c>
      <x:c r="V58" s="56" t="str">
        <x:v>SEPARATE_APPROVAL_REQUIRED</x:v>
      </x:c>
      <x:c r="W5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58" s="56" t="str">
        <x:v>NOT_CHECKED</x:v>
      </x:c>
    </x:row>
    <x:row r="59" ht="104" hidden="0" customHeight="1">
      <x:c r="A59" s="56" t="str">
        <x:v>WEB-05</x:v>
      </x:c>
      <x:c r="B59" s="56" t="str">
        <x:v>C</x:v>
      </x:c>
      <x:c r="C59" s="56" t="str">
        <x:v>WEB</x:v>
      </x:c>
      <x:c r="D59" s="56" t="str">
        <x:v>Consent center/access grants UI</x:v>
      </x:c>
      <x:c r="E59" s="56" t="str">
        <x:v>Frontend + UX</x:v>
      </x:c>
      <x:c r="F59" s="57" t="str">
        <x:v>NOT_STARTED</x:v>
      </x:c>
      <x:c r="G59" s="73" t="n">
        <x:v>3</x:v>
      </x:c>
      <x:c r="H59" s="73" t="n">
        <x:v>7</x:v>
      </x:c>
      <x:c r="I59" s="56" t="str">
        <x:v>WEB-04</x:v>
      </x:c>
      <x:c r="J59" s="56" t="str">
        <x:v>G03;G08;G12</x:v>
      </x:c>
      <x:c r="K59" s="56" t="str">
        <x:v>evidence/WEB-05/receipt.json + diff/spec/test logs</x:v>
      </x:c>
      <x:c r="L59" s="57" t="str">
        <x:v>Ai thấy gì/thời hạn/revoke có feedback</x:v>
      </x:c>
      <x:c r="M59" s="69" t="str">
        <x:v>CHƯA PHÂN CÔNG</x:v>
      </x:c>
      <x:c r="N59" s="56" t="str">
        <x:v>apps/web/**
packages/ui/**
tests/ui/**
docs/**</x:v>
      </x:c>
      <x:c r="O59" s="56" t="str">
        <x:v>WEB-05:component_state
WEB-05:phone_desktop_parity
WEB-05:browser_e2e
WEB-05:wcag_manual_automated
WEB-05:pwa_lifecycle</x:v>
      </x:c>
      <x:c r="P59" s="56" t="str">
        <x:v>evidence/tasks/WEB-05/&lt;sha&gt;/receipt.json</x:v>
      </x:c>
      <x:c r="Q59" s="56" t="str">
        <x:v>Independent QA/Security/Legal as applicable</x:v>
      </x:c>
      <x:c r="R59" s="56" t="str">
        <x:v>Q1
Q9
Q13
Q20</x:v>
      </x:c>
      <x:c r="S59" s="56" t="str">
        <x:v>WEB-05:offline_mutation_truth
WEB-05:unauthorized_route
WEB-05:stale_conflict
WEB-05:private_cache</x:v>
      </x:c>
      <x:c r="T59" s="56" t="str">
        <x:v>production deploy or mutation
production/real-customer data access
secret value read or output
scope outside allowed paths
approval/status invention
history rewrite</x:v>
      </x:c>
      <x:c r="U59" s="56" t="str">
        <x:v>document and rehearse scoped rollback before state-changing acceptance</x:v>
      </x:c>
      <x:c r="V59" s="56" t="str">
        <x:v>SEPARATE_APPROVAL_REQUIRED</x:v>
      </x:c>
      <x:c r="W5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59" s="56" t="str">
        <x:v>NOT_CHECKED</x:v>
      </x:c>
    </x:row>
    <x:row r="60" ht="104" hidden="0" customHeight="1">
      <x:c r="A60" s="56" t="str">
        <x:v>WEB-06</x:v>
      </x:c>
      <x:c r="B60" s="56" t="str">
        <x:v>C</x:v>
      </x:c>
      <x:c r="C60" s="56" t="str">
        <x:v>WEB</x:v>
      </x:c>
      <x:c r="D60" s="56" t="str">
        <x:v>Dashboard goals/actions/data completeness</x:v>
      </x:c>
      <x:c r="E60" s="56" t="str">
        <x:v>Frontend + UX</x:v>
      </x:c>
      <x:c r="F60" s="57" t="str">
        <x:v>NOT_STARTED</x:v>
      </x:c>
      <x:c r="G60" s="73" t="n">
        <x:v>3</x:v>
      </x:c>
      <x:c r="H60" s="73" t="n">
        <x:v>7</x:v>
      </x:c>
      <x:c r="I60" s="56" t="str">
        <x:v>WEB-05</x:v>
      </x:c>
      <x:c r="J60" s="56" t="str">
        <x:v>G03;G08;G12</x:v>
      </x:c>
      <x:c r="K60" s="56" t="str">
        <x:v>evidence/WEB-06/receipt.json + diff/spec/test logs</x:v>
      </x:c>
      <x:c r="L60" s="57" t="str">
        <x:v>Không đồng hồ nguy cơ giả, null không thành0</x:v>
      </x:c>
      <x:c r="M60" s="69" t="str">
        <x:v>CHƯA PHÂN CÔNG</x:v>
      </x:c>
      <x:c r="N60" s="56" t="str">
        <x:v>apps/web/**
packages/ui/**
tests/ui/**
docs/**</x:v>
      </x:c>
      <x:c r="O60" s="56" t="str">
        <x:v>WEB-06:component_state
WEB-06:phone_desktop_parity
WEB-06:browser_e2e
WEB-06:wcag_manual_automated
WEB-06:pwa_lifecycle</x:v>
      </x:c>
      <x:c r="P60" s="56" t="str">
        <x:v>evidence/tasks/WEB-06/&lt;sha&gt;/receipt.json</x:v>
      </x:c>
      <x:c r="Q60" s="56" t="str">
        <x:v>Independent QA/Security/Legal as applicable</x:v>
      </x:c>
      <x:c r="R60" s="56" t="str">
        <x:v>Q1
Q9
Q13
Q20</x:v>
      </x:c>
      <x:c r="S60" s="56" t="str">
        <x:v>WEB-06:offline_mutation_truth
WEB-06:unauthorized_route
WEB-06:stale_conflict
WEB-06:private_cache</x:v>
      </x:c>
      <x:c r="T60" s="56" t="str">
        <x:v>production deploy or mutation
production/real-customer data access
secret value read or output
scope outside allowed paths
approval/status invention
history rewrite</x:v>
      </x:c>
      <x:c r="U60" s="56" t="str">
        <x:v>document and rehearse scoped rollback before state-changing acceptance</x:v>
      </x:c>
      <x:c r="V60" s="56" t="str">
        <x:v>SEPARATE_APPROVAL_REQUIRED</x:v>
      </x:c>
      <x:c r="W6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60" s="56" t="str">
        <x:v>NOT_CHECKED</x:v>
      </x:c>
    </x:row>
    <x:row r="61" ht="104" hidden="0" customHeight="1">
      <x:c r="A61" s="56" t="str">
        <x:v>WEB-07</x:v>
      </x:c>
      <x:c r="B61" s="56" t="str">
        <x:v>C</x:v>
      </x:c>
      <x:c r="C61" s="56" t="str">
        <x:v>WEB</x:v>
      </x:c>
      <x:c r="D61" s="56" t="str">
        <x:v>Journal/resonance check-in</x:v>
      </x:c>
      <x:c r="E61" s="56" t="str">
        <x:v>Frontend + UX</x:v>
      </x:c>
      <x:c r="F61" s="57" t="str">
        <x:v>NOT_STARTED</x:v>
      </x:c>
      <x:c r="G61" s="73" t="n">
        <x:v>3</x:v>
      </x:c>
      <x:c r="H61" s="73" t="n">
        <x:v>7</x:v>
      </x:c>
      <x:c r="I61" s="56" t="str">
        <x:v>WEB-06</x:v>
      </x:c>
      <x:c r="J61" s="56" t="str">
        <x:v>G03;G08;G12</x:v>
      </x:c>
      <x:c r="K61" s="56" t="str">
        <x:v>evidence/WEB-07/receipt.json + diff/spec/test logs</x:v>
      </x:c>
      <x:c r="L61" s="57" t="str">
        <x:v>Lưu tự thuật, optional fields và unit/source</x:v>
      </x:c>
      <x:c r="M61" s="69" t="str">
        <x:v>CHƯA PHÂN CÔNG</x:v>
      </x:c>
      <x:c r="N61" s="56" t="str">
        <x:v>apps/web/**
packages/ui/**
tests/ui/**
docs/**</x:v>
      </x:c>
      <x:c r="O61" s="56" t="str">
        <x:v>WEB-07:component_state
WEB-07:phone_desktop_parity
WEB-07:browser_e2e
WEB-07:wcag_manual_automated
WEB-07:pwa_lifecycle</x:v>
      </x:c>
      <x:c r="P61" s="56" t="str">
        <x:v>evidence/tasks/WEB-07/&lt;sha&gt;/receipt.json</x:v>
      </x:c>
      <x:c r="Q61" s="56" t="str">
        <x:v>Independent QA/Security/Legal as applicable</x:v>
      </x:c>
      <x:c r="R61" s="56" t="str">
        <x:v>Q1
Q9
Q13
Q20</x:v>
      </x:c>
      <x:c r="S61" s="56" t="str">
        <x:v>WEB-07:offline_mutation_truth
WEB-07:unauthorized_route
WEB-07:stale_conflict
WEB-07:private_cache</x:v>
      </x:c>
      <x:c r="T61" s="56" t="str">
        <x:v>production deploy or mutation
production/real-customer data access
secret value read or output
scope outside allowed paths
approval/status invention
history rewrite</x:v>
      </x:c>
      <x:c r="U61" s="56" t="str">
        <x:v>document and rehearse scoped rollback before state-changing acceptance</x:v>
      </x:c>
      <x:c r="V61" s="56" t="str">
        <x:v>SEPARATE_APPROVAL_REQUIRED</x:v>
      </x:c>
      <x:c r="W6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61" s="56" t="str">
        <x:v>NOT_CHECKED</x:v>
      </x:c>
    </x:row>
    <x:row r="62" ht="104" hidden="0" customHeight="1">
      <x:c r="A62" s="56" t="str">
        <x:v>WEB-08</x:v>
      </x:c>
      <x:c r="B62" s="56" t="str">
        <x:v>C</x:v>
      </x:c>
      <x:c r="C62" s="56" t="str">
        <x:v>WEB</x:v>
      </x:c>
      <x:c r="D62" s="56" t="str">
        <x:v>Report reader/diff/revision/withdrawn</x:v>
      </x:c>
      <x:c r="E62" s="56" t="str">
        <x:v>Frontend + UX</x:v>
      </x:c>
      <x:c r="F62" s="57" t="str">
        <x:v>NOT_STARTED</x:v>
      </x:c>
      <x:c r="G62" s="73" t="n">
        <x:v>3</x:v>
      </x:c>
      <x:c r="H62" s="73" t="n">
        <x:v>7</x:v>
      </x:c>
      <x:c r="I62" s="56" t="str">
        <x:v>WEB-07</x:v>
      </x:c>
      <x:c r="J62" s="56" t="str">
        <x:v>G03;G08;G12</x:v>
      </x:c>
      <x:c r="K62" s="56" t="str">
        <x:v>evidence/WEB-08/receipt.json + diff/spec/test logs</x:v>
      </x:c>
      <x:c r="L62" s="57" t="str">
        <x:v>Chỉ đúng subject; label/common vs personalized</x:v>
      </x:c>
      <x:c r="M62" s="69" t="str">
        <x:v>CHƯA PHÂN CÔNG</x:v>
      </x:c>
      <x:c r="N62" s="56" t="str">
        <x:v>apps/web/**
packages/ui/**
tests/ui/**
docs/**</x:v>
      </x:c>
      <x:c r="O62" s="56" t="str">
        <x:v>WEB-08:component_state
WEB-08:phone_desktop_parity
WEB-08:browser_e2e
WEB-08:wcag_manual_automated
WEB-08:pwa_lifecycle</x:v>
      </x:c>
      <x:c r="P62" s="56" t="str">
        <x:v>evidence/tasks/WEB-08/&lt;sha&gt;/receipt.json</x:v>
      </x:c>
      <x:c r="Q62" s="56" t="str">
        <x:v>Independent QA/Security/Legal as applicable</x:v>
      </x:c>
      <x:c r="R62" s="56" t="str">
        <x:v>Q1
Q9
Q13
Q20</x:v>
      </x:c>
      <x:c r="S62" s="56" t="str">
        <x:v>WEB-08:offline_mutation_truth
WEB-08:unauthorized_route
WEB-08:stale_conflict
WEB-08:private_cache</x:v>
      </x:c>
      <x:c r="T62" s="56" t="str">
        <x:v>production deploy or mutation
production/real-customer data access
secret value read or output
scope outside allowed paths
approval/status invention
history rewrite</x:v>
      </x:c>
      <x:c r="U62" s="56" t="str">
        <x:v>document and rehearse scoped rollback before state-changing acceptance</x:v>
      </x:c>
      <x:c r="V62" s="56" t="str">
        <x:v>SEPARATE_APPROVAL_REQUIRED</x:v>
      </x:c>
      <x:c r="W6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62" s="56" t="str">
        <x:v>NOT_CHECKED</x:v>
      </x:c>
    </x:row>
    <x:row r="63" ht="104" hidden="0" customHeight="1">
      <x:c r="A63" s="56" t="str">
        <x:v>WEB-09</x:v>
      </x:c>
      <x:c r="B63" s="56" t="str">
        <x:v>C</x:v>
      </x:c>
      <x:c r="C63" s="56" t="str">
        <x:v>WEB</x:v>
      </x:c>
      <x:c r="D63" s="56" t="str">
        <x:v>Responsive/i18n/date/RTL foundation</x:v>
      </x:c>
      <x:c r="E63" s="56" t="str">
        <x:v>Frontend + UX</x:v>
      </x:c>
      <x:c r="F63" s="57" t="str">
        <x:v>NOT_STARTED</x:v>
      </x:c>
      <x:c r="G63" s="73" t="n">
        <x:v>3</x:v>
      </x:c>
      <x:c r="H63" s="73" t="n">
        <x:v>7</x:v>
      </x:c>
      <x:c r="I63" s="56" t="str">
        <x:v>WEB-08</x:v>
      </x:c>
      <x:c r="J63" s="56" t="str">
        <x:v>G03;G08;G12</x:v>
      </x:c>
      <x:c r="K63" s="56" t="str">
        <x:v>evidence/WEB-09/receipt.json + diff/spec/test logs</x:v>
      </x:c>
      <x:c r="L63" s="57" t="str">
        <x:v>VI glossary, locale switch bằng tên ngôn ngữ</x:v>
      </x:c>
      <x:c r="M63" s="69" t="str">
        <x:v>CHƯA PHÂN CÔNG</x:v>
      </x:c>
      <x:c r="N63" s="56" t="str">
        <x:v>apps/web/**
packages/ui/**
tests/ui/**
docs/**</x:v>
      </x:c>
      <x:c r="O63" s="56" t="str">
        <x:v>WEB-09:component_state
WEB-09:phone_desktop_parity
WEB-09:browser_e2e
WEB-09:wcag_manual_automated
WEB-09:pwa_lifecycle</x:v>
      </x:c>
      <x:c r="P63" s="56" t="str">
        <x:v>evidence/tasks/WEB-09/&lt;sha&gt;/receipt.json</x:v>
      </x:c>
      <x:c r="Q63" s="56" t="str">
        <x:v>Independent QA/Security/Legal as applicable</x:v>
      </x:c>
      <x:c r="R63" s="56" t="str">
        <x:v>Q1
Q9
Q13
Q20</x:v>
      </x:c>
      <x:c r="S63" s="56" t="str">
        <x:v>WEB-09:offline_mutation_truth
WEB-09:unauthorized_route
WEB-09:stale_conflict
WEB-09:private_cache</x:v>
      </x:c>
      <x:c r="T63" s="56" t="str">
        <x:v>production deploy or mutation
production/real-customer data access
secret value read or output
scope outside allowed paths
approval/status invention
history rewrite</x:v>
      </x:c>
      <x:c r="U63" s="56" t="str">
        <x:v>document and rehearse scoped rollback before state-changing acceptance</x:v>
      </x:c>
      <x:c r="V63" s="56" t="str">
        <x:v>SEPARATE_APPROVAL_REQUIRED</x:v>
      </x:c>
      <x:c r="W6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63" s="56" t="str">
        <x:v>NOT_CHECKED</x:v>
      </x:c>
    </x:row>
    <x:row r="64" ht="104" hidden="0" customHeight="1">
      <x:c r="A64" s="56" t="str">
        <x:v>WEB-10</x:v>
      </x:c>
      <x:c r="B64" s="56" t="str">
        <x:v>C</x:v>
      </x:c>
      <x:c r="C64" s="56" t="str">
        <x:v>WEB</x:v>
      </x:c>
      <x:c r="D64" s="56" t="str">
        <x:v>WCAG2.2AA kiểm thử flow chính</x:v>
      </x:c>
      <x:c r="E64" s="56" t="str">
        <x:v>Frontend + UX</x:v>
      </x:c>
      <x:c r="F64" s="57" t="str">
        <x:v>NOT_STARTED</x:v>
      </x:c>
      <x:c r="G64" s="73" t="n">
        <x:v>2</x:v>
      </x:c>
      <x:c r="H64" s="73" t="n">
        <x:v>5</x:v>
      </x:c>
      <x:c r="I64" s="56" t="str">
        <x:v>WEB-09</x:v>
      </x:c>
      <x:c r="J64" s="56" t="str">
        <x:v>G03;G08;G12</x:v>
      </x:c>
      <x:c r="K64" s="56" t="str">
        <x:v>evidence/WEB-10/receipt.json + diff/spec/test logs</x:v>
      </x:c>
      <x:c r="L64" s="57" t="str">
        <x:v>Keyboard/focus/errors/reducedmotion/screenreader</x:v>
      </x:c>
      <x:c r="M64" s="69" t="str">
        <x:v>CHƯA PHÂN CÔNG</x:v>
      </x:c>
      <x:c r="N64" s="56" t="str">
        <x:v>apps/web/**
packages/ui/**
tests/ui/**
docs/**</x:v>
      </x:c>
      <x:c r="O64" s="56" t="str">
        <x:v>WEB-10:component_state
WEB-10:phone_desktop_parity
WEB-10:browser_e2e
WEB-10:wcag_manual_automated
WEB-10:pwa_lifecycle</x:v>
      </x:c>
      <x:c r="P64" s="56" t="str">
        <x:v>evidence/tasks/WEB-10/&lt;sha&gt;/receipt.json</x:v>
      </x:c>
      <x:c r="Q64" s="56" t="str">
        <x:v>Independent QA/Security/Legal as applicable</x:v>
      </x:c>
      <x:c r="R64" s="56" t="str">
        <x:v>Q1
Q9
Q13
Q20</x:v>
      </x:c>
      <x:c r="S64" s="56" t="str">
        <x:v>WEB-10:offline_mutation_truth
WEB-10:unauthorized_route
WEB-10:stale_conflict
WEB-10:private_cache</x:v>
      </x:c>
      <x:c r="T64" s="56" t="str">
        <x:v>production deploy or mutation
production/real-customer data access
secret value read or output
scope outside allowed paths
approval/status invention
history rewrite</x:v>
      </x:c>
      <x:c r="U64" s="56" t="str">
        <x:v>document and rehearse scoped rollback before state-changing acceptance</x:v>
      </x:c>
      <x:c r="V64" s="56" t="str">
        <x:v>SEPARATE_APPROVAL_REQUIRED</x:v>
      </x:c>
      <x:c r="W6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64" s="56" t="str">
        <x:v>NOT_CHECKED</x:v>
      </x:c>
    </x:row>
    <x:row r="65" ht="104" hidden="0" customHeight="1">
      <x:c r="A65" s="56" t="str">
        <x:v>API-01</x:v>
      </x:c>
      <x:c r="B65" s="56" t="str">
        <x:v>C</x:v>
      </x:c>
      <x:c r="C65" s="56" t="str">
        <x:v>API</x:v>
      </x:c>
      <x:c r="D65" s="56" t="str">
        <x:v>OpenAPI3.1 contract generation</x:v>
      </x:c>
      <x:c r="E65" s="56" t="str">
        <x:v>Backend + QA</x:v>
      </x:c>
      <x:c r="F65" s="57" t="str">
        <x:v>NOT_STARTED</x:v>
      </x:c>
      <x:c r="G65" s="73" t="n">
        <x:v>2</x:v>
      </x:c>
      <x:c r="H65" s="73" t="n">
        <x:v>5</x:v>
      </x:c>
      <x:c r="I65" s="56" t="str">
        <x:v>TRUST-04;DATA-01</x:v>
      </x:c>
      <x:c r="J65" s="56" t="str">
        <x:v>G03;G06;G09</x:v>
      </x:c>
      <x:c r="K65" s="56" t="str">
        <x:v>evidence/API-01/receipt.json + diff/spec/test logs</x:v>
      </x:c>
      <x:c r="L65" s="57" t="str">
        <x:v>Request/response/error refs validate</x:v>
      </x:c>
      <x:c r="M65" s="69" t="str">
        <x:v>CHƯA PHÂN CÔNG</x:v>
      </x:c>
      <x:c r="N65" s="56" t="str">
        <x:v>apps/api/**
packages/contracts/**
openapi/**
tests/contract/**
docs/**</x:v>
      </x:c>
      <x:c r="O65" s="56" t="str">
        <x:v>API-01:openapi_schema
API-01:operation_contract
API-01:error_envelope
API-01:auth_negative
API-01:compatibility</x:v>
      </x:c>
      <x:c r="P65" s="56" t="str">
        <x:v>evidence/tasks/API-01/&lt;sha&gt;/receipt.json</x:v>
      </x:c>
      <x:c r="Q65" s="56" t="str">
        <x:v>Independent QA/Security/Legal as applicable</x:v>
      </x:c>
      <x:c r="R65" s="56" t="str">
        <x:v>Q4
Q9
Q15</x:v>
      </x:c>
      <x:c r="S65" s="56" t="str">
        <x:v>API-01:invalid_type
API-01:missing_scope
API-01:idempotency_replay
API-01:oversized_payload</x:v>
      </x:c>
      <x:c r="T65" s="56" t="str">
        <x:v>production deploy or mutation
production/real-customer data access
secret value read or output
scope outside allowed paths
approval/status invention
history rewrite</x:v>
      </x:c>
      <x:c r="U65" s="56" t="str">
        <x:v>document and rehearse scoped rollback before state-changing acceptance</x:v>
      </x:c>
      <x:c r="V65" s="56" t="str">
        <x:v>SEPARATE_APPROVAL_REQUIRED</x:v>
      </x:c>
      <x:c r="W6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65" s="56" t="str">
        <x:v>NOT_CHECKED</x:v>
      </x:c>
    </x:row>
    <x:row r="66" ht="104" hidden="0" customHeight="1">
      <x:c r="A66" s="56" t="str">
        <x:v>API-02</x:v>
      </x:c>
      <x:c r="B66" s="56" t="str">
        <x:v>C</x:v>
      </x:c>
      <x:c r="C66" s="56" t="str">
        <x:v>API</x:v>
      </x:c>
      <x:c r="D66" s="56" t="str">
        <x:v>Subject/profile/observation CRUD</x:v>
      </x:c>
      <x:c r="E66" s="56" t="str">
        <x:v>Backend + QA</x:v>
      </x:c>
      <x:c r="F66" s="57" t="str">
        <x:v>NOT_STARTED</x:v>
      </x:c>
      <x:c r="G66" s="73" t="n">
        <x:v>2</x:v>
      </x:c>
      <x:c r="H66" s="73" t="n">
        <x:v>5</x:v>
      </x:c>
      <x:c r="I66" s="56" t="str">
        <x:v>API-01</x:v>
      </x:c>
      <x:c r="J66" s="56" t="str">
        <x:v>G03;G06;G09</x:v>
      </x:c>
      <x:c r="K66" s="56" t="str">
        <x:v>evidence/API-02/receipt.json + diff/spec/test logs</x:v>
      </x:c>
      <x:c r="L66" s="57" t="str">
        <x:v>IfMatch conflict, pagination và object permissions</x:v>
      </x:c>
      <x:c r="M66" s="69" t="str">
        <x:v>CHƯA PHÂN CÔNG</x:v>
      </x:c>
      <x:c r="N66" s="56" t="str">
        <x:v>apps/api/**
packages/contracts/**
openapi/**
tests/contract/**
docs/**</x:v>
      </x:c>
      <x:c r="O66" s="56" t="str">
        <x:v>API-02:openapi_schema
API-02:operation_contract
API-02:error_envelope
API-02:auth_negative
API-02:compatibility</x:v>
      </x:c>
      <x:c r="P66" s="56" t="str">
        <x:v>evidence/tasks/API-02/&lt;sha&gt;/receipt.json</x:v>
      </x:c>
      <x:c r="Q66" s="56" t="str">
        <x:v>Independent QA/Security/Legal as applicable</x:v>
      </x:c>
      <x:c r="R66" s="56" t="str">
        <x:v>Q4
Q9
Q15</x:v>
      </x:c>
      <x:c r="S66" s="56" t="str">
        <x:v>API-02:invalid_type
API-02:missing_scope
API-02:idempotency_replay
API-02:oversized_payload</x:v>
      </x:c>
      <x:c r="T66" s="56" t="str">
        <x:v>production deploy or mutation
production/real-customer data access
secret value read or output
scope outside allowed paths
approval/status invention
history rewrite</x:v>
      </x:c>
      <x:c r="U66" s="56" t="str">
        <x:v>document and rehearse scoped rollback before state-changing acceptance</x:v>
      </x:c>
      <x:c r="V66" s="56" t="str">
        <x:v>SEPARATE_APPROVAL_REQUIRED</x:v>
      </x:c>
      <x:c r="W6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66" s="56" t="str">
        <x:v>NOT_CHECKED</x:v>
      </x:c>
    </x:row>
    <x:row r="67" ht="104" hidden="0" customHeight="1">
      <x:c r="A67" s="56" t="str">
        <x:v>API-03</x:v>
      </x:c>
      <x:c r="B67" s="56" t="str">
        <x:v>C</x:v>
      </x:c>
      <x:c r="C67" s="56" t="str">
        <x:v>API</x:v>
      </x:c>
      <x:c r="D67" s="56" t="str">
        <x:v>Analysis run create/status/cancel</x:v>
      </x:c>
      <x:c r="E67" s="56" t="str">
        <x:v>Backend + QA</x:v>
      </x:c>
      <x:c r="F67" s="57" t="str">
        <x:v>NOT_STARTED</x:v>
      </x:c>
      <x:c r="G67" s="73" t="n">
        <x:v>3</x:v>
      </x:c>
      <x:c r="H67" s="73" t="n">
        <x:v>7</x:v>
      </x:c>
      <x:c r="I67" s="56" t="str">
        <x:v>API-02</x:v>
      </x:c>
      <x:c r="J67" s="56" t="str">
        <x:v>G03;G06;G09</x:v>
      </x:c>
      <x:c r="K67" s="56" t="str">
        <x:v>evidence/API-03/receipt.json + diff/spec/test logs</x:v>
      </x:c>
      <x:c r="L67" s="57" t="str">
        <x:v>202idempotent; product/input/method policy</x:v>
      </x:c>
      <x:c r="M67" s="69" t="str">
        <x:v>CHƯA PHÂN CÔNG</x:v>
      </x:c>
      <x:c r="N67" s="56" t="str">
        <x:v>apps/api/**
packages/contracts/**
openapi/**
tests/contract/**
docs/**</x:v>
      </x:c>
      <x:c r="O67" s="56" t="str">
        <x:v>API-03:openapi_schema
API-03:operation_contract
API-03:error_envelope
API-03:auth_negative
API-03:compatibility</x:v>
      </x:c>
      <x:c r="P67" s="56" t="str">
        <x:v>evidence/tasks/API-03/&lt;sha&gt;/receipt.json</x:v>
      </x:c>
      <x:c r="Q67" s="56" t="str">
        <x:v>Independent QA/Security/Legal as applicable</x:v>
      </x:c>
      <x:c r="R67" s="56" t="str">
        <x:v>Q4
Q9
Q15</x:v>
      </x:c>
      <x:c r="S67" s="56" t="str">
        <x:v>API-03:invalid_type
API-03:missing_scope
API-03:idempotency_replay
API-03:oversized_payload</x:v>
      </x:c>
      <x:c r="T67" s="56" t="str">
        <x:v>production deploy or mutation
production/real-customer data access
secret value read or output
scope outside allowed paths
approval/status invention
history rewrite</x:v>
      </x:c>
      <x:c r="U67" s="56" t="str">
        <x:v>document and rehearse scoped rollback before state-changing acceptance</x:v>
      </x:c>
      <x:c r="V67" s="56" t="str">
        <x:v>SEPARATE_APPROVAL_REQUIRED</x:v>
      </x:c>
      <x:c r="W6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67" s="56" t="str">
        <x:v>NOT_CHECKED</x:v>
      </x:c>
    </x:row>
    <x:row r="68" ht="104" hidden="0" customHeight="1">
      <x:c r="A68" s="56" t="str">
        <x:v>API-04</x:v>
      </x:c>
      <x:c r="B68" s="56" t="str">
        <x:v>C</x:v>
      </x:c>
      <x:c r="C68" s="56" t="str">
        <x:v>API</x:v>
      </x:c>
      <x:c r="D68" s="56" t="str">
        <x:v>Claim/result scoped retrieval</x:v>
      </x:c>
      <x:c r="E68" s="56" t="str">
        <x:v>Backend + QA</x:v>
      </x:c>
      <x:c r="F68" s="57" t="str">
        <x:v>NOT_STARTED</x:v>
      </x:c>
      <x:c r="G68" s="73" t="n">
        <x:v>3</x:v>
      </x:c>
      <x:c r="H68" s="73" t="n">
        <x:v>7</x:v>
      </x:c>
      <x:c r="I68" s="56" t="str">
        <x:v>API-03</x:v>
      </x:c>
      <x:c r="J68" s="56" t="str">
        <x:v>G03;G06;G09</x:v>
      </x:c>
      <x:c r="K68" s="56" t="str">
        <x:v>evidence/API-04/receipt.json + diff/spec/test logs</x:v>
      </x:c>
      <x:c r="L68" s="57" t="str">
        <x:v>Lineage và no-data semantics trả đúng</x:v>
      </x:c>
      <x:c r="M68" s="69" t="str">
        <x:v>CHƯA PHÂN CÔNG</x:v>
      </x:c>
      <x:c r="N68" s="56" t="str">
        <x:v>apps/api/**
packages/contracts/**
openapi/**
tests/contract/**
docs/**</x:v>
      </x:c>
      <x:c r="O68" s="56" t="str">
        <x:v>API-04:openapi_schema
API-04:operation_contract
API-04:error_envelope
API-04:auth_negative
API-04:compatibility</x:v>
      </x:c>
      <x:c r="P68" s="56" t="str">
        <x:v>evidence/tasks/API-04/&lt;sha&gt;/receipt.json</x:v>
      </x:c>
      <x:c r="Q68" s="56" t="str">
        <x:v>Independent QA/Security/Legal as applicable</x:v>
      </x:c>
      <x:c r="R68" s="56" t="str">
        <x:v>Q4
Q9
Q15</x:v>
      </x:c>
      <x:c r="S68" s="56" t="str">
        <x:v>API-04:invalid_type
API-04:missing_scope
API-04:idempotency_replay
API-04:oversized_payload</x:v>
      </x:c>
      <x:c r="T68" s="56" t="str">
        <x:v>production deploy or mutation
production/real-customer data access
secret value read or output
scope outside allowed paths
approval/status invention
history rewrite</x:v>
      </x:c>
      <x:c r="U68" s="56" t="str">
        <x:v>document and rehearse scoped rollback before state-changing acceptance</x:v>
      </x:c>
      <x:c r="V68" s="56" t="str">
        <x:v>SEPARATE_APPROVAL_REQUIRED</x:v>
      </x:c>
      <x:c r="W6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68" s="56" t="str">
        <x:v>NOT_CHECKED</x:v>
      </x:c>
    </x:row>
    <x:row r="69" ht="104" hidden="0" customHeight="1">
      <x:c r="A69" s="56" t="str">
        <x:v>API-05</x:v>
      </x:c>
      <x:c r="B69" s="56" t="str">
        <x:v>C</x:v>
      </x:c>
      <x:c r="C69" s="56" t="str">
        <x:v>API</x:v>
      </x:c>
      <x:c r="D69" s="56" t="str">
        <x:v>Plan/action/check-in APIs</x:v>
      </x:c>
      <x:c r="E69" s="56" t="str">
        <x:v>Backend + QA</x:v>
      </x:c>
      <x:c r="F69" s="57" t="str">
        <x:v>NOT_STARTED</x:v>
      </x:c>
      <x:c r="G69" s="73" t="n">
        <x:v>3</x:v>
      </x:c>
      <x:c r="H69" s="73" t="n">
        <x:v>7</x:v>
      </x:c>
      <x:c r="I69" s="56" t="str">
        <x:v>API-04</x:v>
      </x:c>
      <x:c r="J69" s="56" t="str">
        <x:v>G03;G06;G09</x:v>
      </x:c>
      <x:c r="K69" s="56" t="str">
        <x:v>evidence/API-05/receipt.json + diff/spec/test logs</x:v>
      </x:c>
      <x:c r="L69" s="57" t="str">
        <x:v>Scope/timezone/goals, không arbitrary owner</x:v>
      </x:c>
      <x:c r="M69" s="69" t="str">
        <x:v>CHƯA PHÂN CÔNG</x:v>
      </x:c>
      <x:c r="N69" s="56" t="str">
        <x:v>apps/api/**
packages/contracts/**
openapi/**
tests/contract/**
docs/**</x:v>
      </x:c>
      <x:c r="O69" s="56" t="str">
        <x:v>API-05:openapi_schema
API-05:operation_contract
API-05:error_envelope
API-05:auth_negative
API-05:compatibility</x:v>
      </x:c>
      <x:c r="P69" s="56" t="str">
        <x:v>evidence/tasks/API-05/&lt;sha&gt;/receipt.json</x:v>
      </x:c>
      <x:c r="Q69" s="56" t="str">
        <x:v>Independent QA/Security/Legal as applicable</x:v>
      </x:c>
      <x:c r="R69" s="56" t="str">
        <x:v>Q4
Q9
Q15</x:v>
      </x:c>
      <x:c r="S69" s="56" t="str">
        <x:v>API-05:invalid_type
API-05:missing_scope
API-05:idempotency_replay
API-05:oversized_payload</x:v>
      </x:c>
      <x:c r="T69" s="56" t="str">
        <x:v>production deploy or mutation
production/real-customer data access
secret value read or output
scope outside allowed paths
approval/status invention
history rewrite</x:v>
      </x:c>
      <x:c r="U69" s="56" t="str">
        <x:v>document and rehearse scoped rollback before state-changing acceptance</x:v>
      </x:c>
      <x:c r="V69" s="56" t="str">
        <x:v>SEPARATE_APPROVAL_REQUIRED</x:v>
      </x:c>
      <x:c r="W6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69" s="56" t="str">
        <x:v>NOT_CHECKED</x:v>
      </x:c>
    </x:row>
    <x:row r="70" ht="104" hidden="0" customHeight="1">
      <x:c r="A70" s="56" t="str">
        <x:v>API-06</x:v>
      </x:c>
      <x:c r="B70" s="56" t="str">
        <x:v>C</x:v>
      </x:c>
      <x:c r="C70" s="56" t="str">
        <x:v>API</x:v>
      </x:c>
      <x:c r="D70" s="56" t="str">
        <x:v>Report snapshot/review/export/download</x:v>
      </x:c>
      <x:c r="E70" s="56" t="str">
        <x:v>Backend + QA</x:v>
      </x:c>
      <x:c r="F70" s="57" t="str">
        <x:v>NOT_STARTED</x:v>
      </x:c>
      <x:c r="G70" s="73" t="n">
        <x:v>3</x:v>
      </x:c>
      <x:c r="H70" s="73" t="n">
        <x:v>7</x:v>
      </x:c>
      <x:c r="I70" s="56" t="str">
        <x:v>API-05</x:v>
      </x:c>
      <x:c r="J70" s="56" t="str">
        <x:v>G03;G06;G09</x:v>
      </x:c>
      <x:c r="K70" s="56" t="str">
        <x:v>evidence/API-06/receipt.json + diff/spec/test logs</x:v>
      </x:c>
      <x:c r="L70" s="57" t="str">
        <x:v>Approval server không queryID tùy ý</x:v>
      </x:c>
      <x:c r="M70" s="69" t="str">
        <x:v>CHƯA PHÂN CÔNG</x:v>
      </x:c>
      <x:c r="N70" s="56" t="str">
        <x:v>apps/api/**
packages/contracts/**
openapi/**
tests/contract/**
docs/**</x:v>
      </x:c>
      <x:c r="O70" s="56" t="str">
        <x:v>API-06:openapi_schema
API-06:operation_contract
API-06:error_envelope
API-06:auth_negative
API-06:compatibility</x:v>
      </x:c>
      <x:c r="P70" s="56" t="str">
        <x:v>evidence/tasks/API-06/&lt;sha&gt;/receipt.json</x:v>
      </x:c>
      <x:c r="Q70" s="56" t="str">
        <x:v>Independent QA/Security/Legal as applicable</x:v>
      </x:c>
      <x:c r="R70" s="56" t="str">
        <x:v>Q4
Q9
Q15</x:v>
      </x:c>
      <x:c r="S70" s="56" t="str">
        <x:v>API-06:invalid_type
API-06:missing_scope
API-06:idempotency_replay
API-06:oversized_payload</x:v>
      </x:c>
      <x:c r="T70" s="56" t="str">
        <x:v>production deploy or mutation
production/real-customer data access
secret value read or output
scope outside allowed paths
approval/status invention
history rewrite</x:v>
      </x:c>
      <x:c r="U70" s="56" t="str">
        <x:v>document and rehearse scoped rollback before state-changing acceptance</x:v>
      </x:c>
      <x:c r="V70" s="56" t="str">
        <x:v>SEPARATE_APPROVAL_REQUIRED</x:v>
      </x:c>
      <x:c r="W7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70" s="56" t="str">
        <x:v>NOT_CHECKED</x:v>
      </x:c>
    </x:row>
    <x:row r="71" ht="104" hidden="0" customHeight="1">
      <x:c r="A71" s="56" t="str">
        <x:v>API-07</x:v>
      </x:c>
      <x:c r="B71" s="56" t="str">
        <x:v>C</x:v>
      </x:c>
      <x:c r="C71" s="56" t="str">
        <x:v>API</x:v>
      </x:c>
      <x:c r="D71" s="56" t="str">
        <x:v>Catalog/order/entitlement APIs</x:v>
      </x:c>
      <x:c r="E71" s="56" t="str">
        <x:v>Backend + QA</x:v>
      </x:c>
      <x:c r="F71" s="57" t="str">
        <x:v>NOT_STARTED</x:v>
      </x:c>
      <x:c r="G71" s="73" t="n">
        <x:v>3</x:v>
      </x:c>
      <x:c r="H71" s="73" t="n">
        <x:v>7</x:v>
      </x:c>
      <x:c r="I71" s="56" t="str">
        <x:v>API-06</x:v>
      </x:c>
      <x:c r="J71" s="56" t="str">
        <x:v>G03;G06;G09</x:v>
      </x:c>
      <x:c r="K71" s="56" t="str">
        <x:v>evidence/API-07/receipt.json + diff/spec/test logs</x:v>
      </x:c>
      <x:c r="L71" s="57" t="str">
        <x:v>Price từ server, no client amount authority</x:v>
      </x:c>
      <x:c r="M71" s="69" t="str">
        <x:v>CHƯA PHÂN CÔNG</x:v>
      </x:c>
      <x:c r="N71" s="56" t="str">
        <x:v>apps/api/**
packages/contracts/**
openapi/**
tests/contract/**
docs/**</x:v>
      </x:c>
      <x:c r="O71" s="56" t="str">
        <x:v>API-07:openapi_schema
API-07:operation_contract
API-07:error_envelope
API-07:auth_negative
API-07:compatibility</x:v>
      </x:c>
      <x:c r="P71" s="56" t="str">
        <x:v>evidence/tasks/API-07/&lt;sha&gt;/receipt.json</x:v>
      </x:c>
      <x:c r="Q71" s="56" t="str">
        <x:v>Independent QA/Security/Legal as applicable</x:v>
      </x:c>
      <x:c r="R71" s="56" t="str">
        <x:v>Q4
Q9
Q15</x:v>
      </x:c>
      <x:c r="S71" s="56" t="str">
        <x:v>API-07:invalid_type
API-07:missing_scope
API-07:idempotency_replay
API-07:oversized_payload</x:v>
      </x:c>
      <x:c r="T71" s="56" t="str">
        <x:v>production deploy or mutation
production/real-customer data access
secret value read or output
scope outside allowed paths
approval/status invention
history rewrite</x:v>
      </x:c>
      <x:c r="U71" s="56" t="str">
        <x:v>document and rehearse scoped rollback before state-changing acceptance</x:v>
      </x:c>
      <x:c r="V71" s="56" t="str">
        <x:v>SEPARATE_APPROVAL_REQUIRED</x:v>
      </x:c>
      <x:c r="W7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71" s="56" t="str">
        <x:v>NOT_CHECKED</x:v>
      </x:c>
    </x:row>
    <x:row r="72" ht="104" hidden="0" customHeight="1">
      <x:c r="A72" s="56" t="str">
        <x:v>API-08</x:v>
      </x:c>
      <x:c r="B72" s="56" t="str">
        <x:v>C</x:v>
      </x:c>
      <x:c r="C72" s="56" t="str">
        <x:v>API</x:v>
      </x:c>
      <x:c r="D72" s="56" t="str">
        <x:v>Practice case/sharing APIs</x:v>
      </x:c>
      <x:c r="E72" s="56" t="str">
        <x:v>Backend + QA</x:v>
      </x:c>
      <x:c r="F72" s="57" t="str">
        <x:v>NOT_STARTED</x:v>
      </x:c>
      <x:c r="G72" s="73" t="n">
        <x:v>3</x:v>
      </x:c>
      <x:c r="H72" s="73" t="n">
        <x:v>7</x:v>
      </x:c>
      <x:c r="I72" s="56" t="str">
        <x:v>API-07</x:v>
      </x:c>
      <x:c r="J72" s="56" t="str">
        <x:v>G03;G06;G09</x:v>
      </x:c>
      <x:c r="K72" s="56" t="str">
        <x:v>evidence/API-08/receipt.json + diff/spec/test logs</x:v>
      </x:c>
      <x:c r="L72" s="57" t="str">
        <x:v>Only granted sections, offboard revokes</x:v>
      </x:c>
      <x:c r="M72" s="69" t="str">
        <x:v>CHƯA PHÂN CÔNG</x:v>
      </x:c>
      <x:c r="N72" s="56" t="str">
        <x:v>apps/api/**
packages/contracts/**
openapi/**
tests/contract/**
docs/**</x:v>
      </x:c>
      <x:c r="O72" s="56" t="str">
        <x:v>API-08:openapi_schema
API-08:operation_contract
API-08:error_envelope
API-08:auth_negative
API-08:compatibility</x:v>
      </x:c>
      <x:c r="P72" s="56" t="str">
        <x:v>evidence/tasks/API-08/&lt;sha&gt;/receipt.json</x:v>
      </x:c>
      <x:c r="Q72" s="56" t="str">
        <x:v>Independent QA/Security/Legal as applicable</x:v>
      </x:c>
      <x:c r="R72" s="56" t="str">
        <x:v>Q4
Q9
Q15</x:v>
      </x:c>
      <x:c r="S72" s="56" t="str">
        <x:v>API-08:invalid_type
API-08:missing_scope
API-08:idempotency_replay
API-08:oversized_payload</x:v>
      </x:c>
      <x:c r="T72" s="56" t="str">
        <x:v>production deploy or mutation
production/real-customer data access
secret value read or output
scope outside allowed paths
approval/status invention
history rewrite</x:v>
      </x:c>
      <x:c r="U72" s="56" t="str">
        <x:v>document and rehearse scoped rollback before state-changing acceptance</x:v>
      </x:c>
      <x:c r="V72" s="56" t="str">
        <x:v>SEPARATE_APPROVAL_REQUIRED</x:v>
      </x:c>
      <x:c r="W7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72" s="56" t="str">
        <x:v>NOT_CHECKED</x:v>
      </x:c>
    </x:row>
    <x:row r="73" ht="104" hidden="0" customHeight="1">
      <x:c r="A73" s="56" t="str">
        <x:v>API-09</x:v>
      </x:c>
      <x:c r="B73" s="56" t="str">
        <x:v>C</x:v>
      </x:c>
      <x:c r="C73" s="56" t="str">
        <x:v>API</x:v>
      </x:c>
      <x:c r="D73" s="56" t="str">
        <x:v>Legacy route410/adapter migration</x:v>
      </x:c>
      <x:c r="E73" s="56" t="str">
        <x:v>Backend + QA</x:v>
      </x:c>
      <x:c r="F73" s="57" t="str">
        <x:v>NOT_STARTED</x:v>
      </x:c>
      <x:c r="G73" s="73" t="n">
        <x:v>3</x:v>
      </x:c>
      <x:c r="H73" s="73" t="n">
        <x:v>7</x:v>
      </x:c>
      <x:c r="I73" s="56" t="str">
        <x:v>API-08</x:v>
      </x:c>
      <x:c r="J73" s="56" t="str">
        <x:v>G03;G06;G09</x:v>
      </x:c>
      <x:c r="K73" s="56" t="str">
        <x:v>evidence/API-09/receipt.json + diff/spec/test logs</x:v>
      </x:c>
      <x:c r="L73" s="57" t="str">
        <x:v>Không fallback bypass khi v2auth fail</x:v>
      </x:c>
      <x:c r="M73" s="69" t="str">
        <x:v>CHƯA PHÂN CÔNG</x:v>
      </x:c>
      <x:c r="N73" s="56" t="str">
        <x:v>apps/api/**
packages/contracts/**
openapi/**
tests/contract/**
docs/**</x:v>
      </x:c>
      <x:c r="O73" s="56" t="str">
        <x:v>API-09:openapi_schema
API-09:operation_contract
API-09:error_envelope
API-09:auth_negative
API-09:compatibility</x:v>
      </x:c>
      <x:c r="P73" s="56" t="str">
        <x:v>evidence/tasks/API-09/&lt;sha&gt;/receipt.json</x:v>
      </x:c>
      <x:c r="Q73" s="56" t="str">
        <x:v>Independent QA/Security/Legal as applicable</x:v>
      </x:c>
      <x:c r="R73" s="56" t="str">
        <x:v>Q4
Q9
Q15</x:v>
      </x:c>
      <x:c r="S73" s="56" t="str">
        <x:v>API-09:invalid_type
API-09:missing_scope
API-09:idempotency_replay
API-09:oversized_payload</x:v>
      </x:c>
      <x:c r="T73" s="56" t="str">
        <x:v>production deploy or mutation
production/real-customer data access
secret value read or output
scope outside allowed paths
approval/status invention
history rewrite</x:v>
      </x:c>
      <x:c r="U73" s="56" t="str">
        <x:v>document and rehearse scoped rollback before state-changing acceptance</x:v>
      </x:c>
      <x:c r="V73" s="56" t="str">
        <x:v>SEPARATE_APPROVAL_REQUIRED</x:v>
      </x:c>
      <x:c r="W7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73" s="56" t="str">
        <x:v>NOT_CHECKED</x:v>
      </x:c>
    </x:row>
    <x:row r="74" ht="104" hidden="0" customHeight="1">
      <x:c r="A74" s="56" t="str">
        <x:v>API-10</x:v>
      </x:c>
      <x:c r="B74" s="56" t="str">
        <x:v>C</x:v>
      </x:c>
      <x:c r="C74" s="56" t="str">
        <x:v>API</x:v>
      </x:c>
      <x:c r="D74" s="56" t="str">
        <x:v>Contract-to-E2E negative suite</x:v>
      </x:c>
      <x:c r="E74" s="56" t="str">
        <x:v>Backend + QA</x:v>
      </x:c>
      <x:c r="F74" s="57" t="str">
        <x:v>NOT_STARTED</x:v>
      </x:c>
      <x:c r="G74" s="73" t="n">
        <x:v>2</x:v>
      </x:c>
      <x:c r="H74" s="73" t="n">
        <x:v>5</x:v>
      </x:c>
      <x:c r="I74" s="56" t="str">
        <x:v>API-09</x:v>
      </x:c>
      <x:c r="J74" s="56" t="str">
        <x:v>G03;G06;G09</x:v>
      </x:c>
      <x:c r="K74" s="56" t="str">
        <x:v>evidence/API-10/receipt.json + diff/spec/test logs</x:v>
      </x:c>
      <x:c r="L74" s="57" t="str">
        <x:v>Mọi protected operation có ID cross test</x:v>
      </x:c>
      <x:c r="M74" s="69" t="str">
        <x:v>CHƯA PHÂN CÔNG</x:v>
      </x:c>
      <x:c r="N74" s="56" t="str">
        <x:v>apps/api/**
packages/contracts/**
openapi/**
tests/contract/**
docs/**</x:v>
      </x:c>
      <x:c r="O74" s="56" t="str">
        <x:v>API-10:openapi_schema
API-10:operation_contract
API-10:error_envelope
API-10:auth_negative
API-10:compatibility</x:v>
      </x:c>
      <x:c r="P74" s="56" t="str">
        <x:v>evidence/tasks/API-10/&lt;sha&gt;/receipt.json</x:v>
      </x:c>
      <x:c r="Q74" s="56" t="str">
        <x:v>Independent QA/Security/Legal as applicable</x:v>
      </x:c>
      <x:c r="R74" s="56" t="str">
        <x:v>Q4
Q9
Q15</x:v>
      </x:c>
      <x:c r="S74" s="56" t="str">
        <x:v>API-10:invalid_type
API-10:missing_scope
API-10:idempotency_replay
API-10:oversized_payload</x:v>
      </x:c>
      <x:c r="T74" s="56" t="str">
        <x:v>production deploy or mutation
production/real-customer data access
secret value read or output
scope outside allowed paths
approval/status invention
history rewrite</x:v>
      </x:c>
      <x:c r="U74" s="56" t="str">
        <x:v>document and rehearse scoped rollback before state-changing acceptance</x:v>
      </x:c>
      <x:c r="V74" s="56" t="str">
        <x:v>SEPARATE_APPROVAL_REQUIRED</x:v>
      </x:c>
      <x:c r="W7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74" s="56" t="str">
        <x:v>NOT_CHECKED</x:v>
      </x:c>
    </x:row>
    <x:row r="75" ht="104" hidden="0" customHeight="1">
      <x:c r="A75" s="56" t="str">
        <x:v>AI-01</x:v>
      </x:c>
      <x:c r="B75" s="56" t="str">
        <x:v>C</x:v>
      </x:c>
      <x:c r="C75" s="56" t="str">
        <x:v>AI</x:v>
      </x:c>
      <x:c r="D75" s="56" t="str">
        <x:v>Provider gateway và per-purpose policy</x:v>
      </x:c>
      <x:c r="E75" s="56" t="str">
        <x:v>AI Lead + Editorial</x:v>
      </x:c>
      <x:c r="F75" s="57" t="str">
        <x:v>NOT_STARTED</x:v>
      </x:c>
      <x:c r="G75" s="73" t="n">
        <x:v>2</x:v>
      </x:c>
      <x:c r="H75" s="73" t="n">
        <x:v>5</x:v>
      </x:c>
      <x:c r="I75" s="56" t="str">
        <x:v>GOV-06;METHOD-10</x:v>
      </x:c>
      <x:c r="J75" s="56" t="str">
        <x:v>G06;G08</x:v>
      </x:c>
      <x:c r="K75" s="56" t="str">
        <x:v>evidence/AI-01/receipt.json + diff/spec/test logs</x:v>
      </x:c>
      <x:c r="L75" s="57" t="str">
        <x:v>Không tự fallback vendor chưa legal review</x:v>
      </x:c>
      <x:c r="M75" s="69" t="str">
        <x:v>CHƯA PHÂN CÔNG</x:v>
      </x:c>
      <x:c r="N75" s="56" t="str">
        <x:v>packages/ai/**
packages/policy/**
evals/**
tests/ai/**
docs/**</x:v>
      </x:c>
      <x:c r="O75" s="56" t="str">
        <x:v>AI-01:claim_lineage
AI-01:prohibition
AI-01:retrieval_acl
AI-01:prompt_injection
AI-01:provider_failure
AI-01:cost_budget</x:v>
      </x:c>
      <x:c r="P75" s="56" t="str">
        <x:v>evidence/tasks/AI-01/&lt;sha&gt;/receipt.json</x:v>
      </x:c>
      <x:c r="Q75" s="56" t="str">
        <x:v>Independent QA/Security/Legal as applicable</x:v>
      </x:c>
      <x:c r="R75" s="56" t="str">
        <x:v>Q3
Q7
Q9
Q15
Q16</x:v>
      </x:c>
      <x:c r="S75" s="56" t="str">
        <x:v>AI-01:unauthorized_context
AI-01:invented_source
AI-01:unsafe_claim
AI-01:budget_exhaustion</x:v>
      </x:c>
      <x:c r="T75" s="56" t="str">
        <x:v>production deploy or mutation
production/real-customer data access
secret value read or output
scope outside allowed paths
approval/status invention
history rewrite</x:v>
      </x:c>
      <x:c r="U75" s="56" t="str">
        <x:v>document and rehearse scoped rollback before state-changing acceptance</x:v>
      </x:c>
      <x:c r="V75" s="56" t="str">
        <x:v>SEPARATE_APPROVAL_REQUIRED</x:v>
      </x:c>
      <x:c r="W7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75" s="56" t="str">
        <x:v>NOT_CHECKED</x:v>
      </x:c>
    </x:row>
    <x:row r="76" ht="104" hidden="0" customHeight="1">
      <x:c r="A76" s="56" t="str">
        <x:v>AI-02</x:v>
      </x:c>
      <x:c r="B76" s="56" t="str">
        <x:v>C</x:v>
      </x:c>
      <x:c r="C76" s="56" t="str">
        <x:v>AI</x:v>
      </x:c>
      <x:c r="D76" s="56" t="str">
        <x:v>Source ingestion với ACL và rights</x:v>
      </x:c>
      <x:c r="E76" s="56" t="str">
        <x:v>AI Lead + Editorial</x:v>
      </x:c>
      <x:c r="F76" s="57" t="str">
        <x:v>NOT_STARTED</x:v>
      </x:c>
      <x:c r="G76" s="73" t="n">
        <x:v>2</x:v>
      </x:c>
      <x:c r="H76" s="73" t="n">
        <x:v>5</x:v>
      </x:c>
      <x:c r="I76" s="56" t="str">
        <x:v>AI-01</x:v>
      </x:c>
      <x:c r="J76" s="56" t="str">
        <x:v>G06;G08</x:v>
      </x:c>
      <x:c r="K76" s="56" t="str">
        <x:v>evidence/AI-02/receipt.json + diff/spec/test logs</x:v>
      </x:c>
      <x:c r="L76" s="57" t="str">
        <x:v>Chunk metadata edition/page/locale/rights</x:v>
      </x:c>
      <x:c r="M76" s="69" t="str">
        <x:v>CHƯA PHÂN CÔNG</x:v>
      </x:c>
      <x:c r="N76" s="56" t="str">
        <x:v>packages/ai/**
packages/policy/**
evals/**
tests/ai/**
docs/**</x:v>
      </x:c>
      <x:c r="O76" s="56" t="str">
        <x:v>AI-02:claim_lineage
AI-02:prohibition
AI-02:retrieval_acl
AI-02:prompt_injection
AI-02:provider_failure
AI-02:cost_budget</x:v>
      </x:c>
      <x:c r="P76" s="56" t="str">
        <x:v>evidence/tasks/AI-02/&lt;sha&gt;/receipt.json</x:v>
      </x:c>
      <x:c r="Q76" s="56" t="str">
        <x:v>Independent QA/Security/Legal as applicable</x:v>
      </x:c>
      <x:c r="R76" s="56" t="str">
        <x:v>Q3
Q7
Q9
Q15
Q16</x:v>
      </x:c>
      <x:c r="S76" s="56" t="str">
        <x:v>AI-02:unauthorized_context
AI-02:invented_source
AI-02:unsafe_claim
AI-02:budget_exhaustion</x:v>
      </x:c>
      <x:c r="T76" s="56" t="str">
        <x:v>production deploy or mutation
production/real-customer data access
secret value read or output
scope outside allowed paths
approval/status invention
history rewrite</x:v>
      </x:c>
      <x:c r="U76" s="56" t="str">
        <x:v>document and rehearse scoped rollback before state-changing acceptance</x:v>
      </x:c>
      <x:c r="V76" s="56" t="str">
        <x:v>SEPARATE_APPROVAL_REQUIRED</x:v>
      </x:c>
      <x:c r="W7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76" s="56" t="str">
        <x:v>NOT_CHECKED</x:v>
      </x:c>
    </x:row>
    <x:row r="77" ht="104" hidden="0" customHeight="1">
      <x:c r="A77" s="56" t="str">
        <x:v>AI-03</x:v>
      </x:c>
      <x:c r="B77" s="56" t="str">
        <x:v>C</x:v>
      </x:c>
      <x:c r="C77" s="56" t="str">
        <x:v>AI</x:v>
      </x:c>
      <x:c r="D77" s="56" t="str">
        <x:v>Retriever subject/tenant trước và sau search</x:v>
      </x:c>
      <x:c r="E77" s="56" t="str">
        <x:v>AI Lead + Editorial</x:v>
      </x:c>
      <x:c r="F77" s="57" t="str">
        <x:v>NOT_STARTED</x:v>
      </x:c>
      <x:c r="G77" s="73" t="n">
        <x:v>3</x:v>
      </x:c>
      <x:c r="H77" s="73" t="n">
        <x:v>7</x:v>
      </x:c>
      <x:c r="I77" s="56" t="str">
        <x:v>AI-02</x:v>
      </x:c>
      <x:c r="J77" s="56" t="str">
        <x:v>G06;G08</x:v>
      </x:c>
      <x:c r="K77" s="56" t="str">
        <x:v>evidence/AI-03/receipt.json + diff/spec/test logs</x:v>
      </x:c>
      <x:c r="L77" s="57" t="str">
        <x:v>Canary dữ liệu tenant khác không được trả</x:v>
      </x:c>
      <x:c r="M77" s="69" t="str">
        <x:v>CHƯA PHÂN CÔNG</x:v>
      </x:c>
      <x:c r="N77" s="56" t="str">
        <x:v>packages/ai/**
packages/policy/**
evals/**
tests/ai/**
docs/**</x:v>
      </x:c>
      <x:c r="O77" s="56" t="str">
        <x:v>AI-03:claim_lineage
AI-03:prohibition
AI-03:retrieval_acl
AI-03:prompt_injection
AI-03:provider_failure
AI-03:cost_budget</x:v>
      </x:c>
      <x:c r="P77" s="56" t="str">
        <x:v>evidence/tasks/AI-03/&lt;sha&gt;/receipt.json</x:v>
      </x:c>
      <x:c r="Q77" s="56" t="str">
        <x:v>Independent QA/Security/Legal as applicable</x:v>
      </x:c>
      <x:c r="R77" s="56" t="str">
        <x:v>Q3
Q7
Q9
Q15
Q16</x:v>
      </x:c>
      <x:c r="S77" s="56" t="str">
        <x:v>AI-03:unauthorized_context
AI-03:invented_source
AI-03:unsafe_claim
AI-03:budget_exhaustion</x:v>
      </x:c>
      <x:c r="T77" s="56" t="str">
        <x:v>production deploy or mutation
production/real-customer data access
secret value read or output
scope outside allowed paths
approval/status invention
history rewrite</x:v>
      </x:c>
      <x:c r="U77" s="56" t="str">
        <x:v>document and rehearse scoped rollback before state-changing acceptance</x:v>
      </x:c>
      <x:c r="V77" s="56" t="str">
        <x:v>SEPARATE_APPROVAL_REQUIRED</x:v>
      </x:c>
      <x:c r="W7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77" s="56" t="str">
        <x:v>NOT_CHECKED</x:v>
      </x:c>
    </x:row>
    <x:row r="78" ht="104" hidden="0" customHeight="1">
      <x:c r="A78" s="56" t="str">
        <x:v>AI-04</x:v>
      </x:c>
      <x:c r="B78" s="56" t="str">
        <x:v>C</x:v>
      </x:c>
      <x:c r="C78" s="56" t="str">
        <x:v>AI</x:v>
      </x:c>
      <x:c r="D78" s="56" t="str">
        <x:v>Claim-driven synthesis tool contract</x:v>
      </x:c>
      <x:c r="E78" s="56" t="str">
        <x:v>AI Lead + Editorial</x:v>
      </x:c>
      <x:c r="F78" s="57" t="str">
        <x:v>NOT_STARTED</x:v>
      </x:c>
      <x:c r="G78" s="73" t="n">
        <x:v>3</x:v>
      </x:c>
      <x:c r="H78" s="73" t="n">
        <x:v>7</x:v>
      </x:c>
      <x:c r="I78" s="56" t="str">
        <x:v>AI-03</x:v>
      </x:c>
      <x:c r="J78" s="56" t="str">
        <x:v>G06;G08</x:v>
      </x:c>
      <x:c r="K78" s="56" t="str">
        <x:v>evidence/AI-04/receipt.json + diff/spec/test logs</x:v>
      </x:c>
      <x:c r="L78" s="57" t="str">
        <x:v>No unsupported personal claims, no score invention</x:v>
      </x:c>
      <x:c r="M78" s="69" t="str">
        <x:v>CHƯA PHÂN CÔNG</x:v>
      </x:c>
      <x:c r="N78" s="56" t="str">
        <x:v>packages/ai/**
packages/policy/**
evals/**
tests/ai/**
docs/**</x:v>
      </x:c>
      <x:c r="O78" s="56" t="str">
        <x:v>AI-04:claim_lineage
AI-04:prohibition
AI-04:retrieval_acl
AI-04:prompt_injection
AI-04:provider_failure
AI-04:cost_budget</x:v>
      </x:c>
      <x:c r="P78" s="56" t="str">
        <x:v>evidence/tasks/AI-04/&lt;sha&gt;/receipt.json</x:v>
      </x:c>
      <x:c r="Q78" s="56" t="str">
        <x:v>Independent QA/Security/Legal as applicable</x:v>
      </x:c>
      <x:c r="R78" s="56" t="str">
        <x:v>Q3
Q7
Q9
Q15
Q16</x:v>
      </x:c>
      <x:c r="S78" s="56" t="str">
        <x:v>AI-04:unauthorized_context
AI-04:invented_source
AI-04:unsafe_claim
AI-04:budget_exhaustion</x:v>
      </x:c>
      <x:c r="T78" s="56" t="str">
        <x:v>production deploy or mutation
production/real-customer data access
secret value read or output
scope outside allowed paths
approval/status invention
history rewrite</x:v>
      </x:c>
      <x:c r="U78" s="56" t="str">
        <x:v>document and rehearse scoped rollback before state-changing acceptance</x:v>
      </x:c>
      <x:c r="V78" s="56" t="str">
        <x:v>SEPARATE_APPROVAL_REQUIRED</x:v>
      </x:c>
      <x:c r="W7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78" s="56" t="str">
        <x:v>NOT_CHECKED</x:v>
      </x:c>
    </x:row>
    <x:row r="79" ht="104" hidden="0" customHeight="1">
      <x:c r="A79" s="56" t="str">
        <x:v>AI-05</x:v>
      </x:c>
      <x:c r="B79" s="56" t="str">
        <x:v>C</x:v>
      </x:c>
      <x:c r="C79" s="56" t="str">
        <x:v>AI</x:v>
      </x:c>
      <x:c r="D79" s="56" t="str">
        <x:v>Writer VI và glossary</x:v>
      </x:c>
      <x:c r="E79" s="56" t="str">
        <x:v>AI Lead + Editorial</x:v>
      </x:c>
      <x:c r="F79" s="57" t="str">
        <x:v>NOT_STARTED</x:v>
      </x:c>
      <x:c r="G79" s="73" t="n">
        <x:v>3</x:v>
      </x:c>
      <x:c r="H79" s="73" t="n">
        <x:v>7</x:v>
      </x:c>
      <x:c r="I79" s="56" t="str">
        <x:v>AI-04</x:v>
      </x:c>
      <x:c r="J79" s="56" t="str">
        <x:v>G06;G08</x:v>
      </x:c>
      <x:c r="K79" s="56" t="str">
        <x:v>evidence/AI-05/receipt.json + diff/spec/test logs</x:v>
      </x:c>
      <x:c r="L79" s="57" t="str">
        <x:v>Names/digits/dates từ results immutable</x:v>
      </x:c>
      <x:c r="M79" s="69" t="str">
        <x:v>CHƯA PHÂN CÔNG</x:v>
      </x:c>
      <x:c r="N79" s="56" t="str">
        <x:v>packages/ai/**
packages/policy/**
evals/**
tests/ai/**
docs/**</x:v>
      </x:c>
      <x:c r="O79" s="56" t="str">
        <x:v>AI-05:claim_lineage
AI-05:prohibition
AI-05:retrieval_acl
AI-05:prompt_injection
AI-05:provider_failure
AI-05:cost_budget</x:v>
      </x:c>
      <x:c r="P79" s="56" t="str">
        <x:v>evidence/tasks/AI-05/&lt;sha&gt;/receipt.json</x:v>
      </x:c>
      <x:c r="Q79" s="56" t="str">
        <x:v>Independent QA/Security/Legal as applicable</x:v>
      </x:c>
      <x:c r="R79" s="56" t="str">
        <x:v>Q3
Q7
Q9
Q15
Q16</x:v>
      </x:c>
      <x:c r="S79" s="56" t="str">
        <x:v>AI-05:unauthorized_context
AI-05:invented_source
AI-05:unsafe_claim
AI-05:budget_exhaustion</x:v>
      </x:c>
      <x:c r="T79" s="56" t="str">
        <x:v>production deploy or mutation
production/real-customer data access
secret value read or output
scope outside allowed paths
approval/status invention
history rewrite</x:v>
      </x:c>
      <x:c r="U79" s="56" t="str">
        <x:v>document and rehearse scoped rollback before state-changing acceptance</x:v>
      </x:c>
      <x:c r="V79" s="56" t="str">
        <x:v>SEPARATE_APPROVAL_REQUIRED</x:v>
      </x:c>
      <x:c r="W7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79" s="56" t="str">
        <x:v>NOT_CHECKED</x:v>
      </x:c>
    </x:row>
    <x:row r="80" ht="104" hidden="0" customHeight="1">
      <x:c r="A80" s="56" t="str">
        <x:v>AI-06</x:v>
      </x:c>
      <x:c r="B80" s="56" t="str">
        <x:v>C</x:v>
      </x:c>
      <x:c r="C80" s="56" t="str">
        <x:v>AI</x:v>
      </x:c>
      <x:c r="D80" s="56" t="str">
        <x:v>Reviewer deterministic số liệu và sources</x:v>
      </x:c>
      <x:c r="E80" s="56" t="str">
        <x:v>AI Lead + Editorial</x:v>
      </x:c>
      <x:c r="F80" s="57" t="str">
        <x:v>NOT_STARTED</x:v>
      </x:c>
      <x:c r="G80" s="73" t="n">
        <x:v>3</x:v>
      </x:c>
      <x:c r="H80" s="73" t="n">
        <x:v>7</x:v>
      </x:c>
      <x:c r="I80" s="56" t="str">
        <x:v>AI-05</x:v>
      </x:c>
      <x:c r="J80" s="56" t="str">
        <x:v>G06;G08</x:v>
      </x:c>
      <x:c r="K80" s="56" t="str">
        <x:v>evidence/AI-06/receipt.json + diff/spec/test logs</x:v>
      </x:c>
      <x:c r="L80" s="57" t="str">
        <x:v>No unmatched IDs, no fake citations</x:v>
      </x:c>
      <x:c r="M80" s="69" t="str">
        <x:v>CHƯA PHÂN CÔNG</x:v>
      </x:c>
      <x:c r="N80" s="56" t="str">
        <x:v>packages/ai/**
packages/policy/**
evals/**
tests/ai/**
docs/**</x:v>
      </x:c>
      <x:c r="O80" s="56" t="str">
        <x:v>AI-06:claim_lineage
AI-06:prohibition
AI-06:retrieval_acl
AI-06:prompt_injection
AI-06:provider_failure
AI-06:cost_budget</x:v>
      </x:c>
      <x:c r="P80" s="56" t="str">
        <x:v>evidence/tasks/AI-06/&lt;sha&gt;/receipt.json</x:v>
      </x:c>
      <x:c r="Q80" s="56" t="str">
        <x:v>Independent QA/Security/Legal as applicable</x:v>
      </x:c>
      <x:c r="R80" s="56" t="str">
        <x:v>Q3
Q7
Q9
Q15
Q16</x:v>
      </x:c>
      <x:c r="S80" s="56" t="str">
        <x:v>AI-06:unauthorized_context
AI-06:invented_source
AI-06:unsafe_claim
AI-06:budget_exhaustion</x:v>
      </x:c>
      <x:c r="T80" s="56" t="str">
        <x:v>production deploy or mutation
production/real-customer data access
secret value read or output
scope outside allowed paths
approval/status invention
history rewrite</x:v>
      </x:c>
      <x:c r="U80" s="56" t="str">
        <x:v>document and rehearse scoped rollback before state-changing acceptance</x:v>
      </x:c>
      <x:c r="V80" s="56" t="str">
        <x:v>SEPARATE_APPROVAL_REQUIRED</x:v>
      </x:c>
      <x:c r="W8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80" s="56" t="str">
        <x:v>NOT_CHECKED</x:v>
      </x:c>
    </x:row>
    <x:row r="81" ht="104" hidden="0" customHeight="1">
      <x:c r="A81" s="56" t="str">
        <x:v>AI-07</x:v>
      </x:c>
      <x:c r="B81" s="56" t="str">
        <x:v>C</x:v>
      </x:c>
      <x:c r="C81" s="56" t="str">
        <x:v>AI</x:v>
      </x:c>
      <x:c r="D81" s="56" t="str">
        <x:v>Prompt injection regression multilang</x:v>
      </x:c>
      <x:c r="E81" s="56" t="str">
        <x:v>AI Lead + Editorial</x:v>
      </x:c>
      <x:c r="F81" s="57" t="str">
        <x:v>NOT_STARTED</x:v>
      </x:c>
      <x:c r="G81" s="73" t="n">
        <x:v>3</x:v>
      </x:c>
      <x:c r="H81" s="73" t="n">
        <x:v>7</x:v>
      </x:c>
      <x:c r="I81" s="56" t="str">
        <x:v>AI-06</x:v>
      </x:c>
      <x:c r="J81" s="56" t="str">
        <x:v>G06;G08</x:v>
      </x:c>
      <x:c r="K81" s="56" t="str">
        <x:v>evidence/AI-07/receipt.json + diff/spec/test logs</x:v>
      </x:c>
      <x:c r="L81" s="57" t="str">
        <x:v>Tài liệu không override policies/tools</x:v>
      </x:c>
      <x:c r="M81" s="69" t="str">
        <x:v>CHƯA PHÂN CÔNG</x:v>
      </x:c>
      <x:c r="N81" s="56" t="str">
        <x:v>packages/ai/**
packages/policy/**
evals/**
tests/ai/**
docs/**</x:v>
      </x:c>
      <x:c r="O81" s="56" t="str">
        <x:v>AI-07:claim_lineage
AI-07:prohibition
AI-07:retrieval_acl
AI-07:prompt_injection
AI-07:provider_failure
AI-07:cost_budget</x:v>
      </x:c>
      <x:c r="P81" s="56" t="str">
        <x:v>evidence/tasks/AI-07/&lt;sha&gt;/receipt.json</x:v>
      </x:c>
      <x:c r="Q81" s="56" t="str">
        <x:v>Independent QA/Security/Legal as applicable</x:v>
      </x:c>
      <x:c r="R81" s="56" t="str">
        <x:v>Q3
Q7
Q9
Q15
Q16</x:v>
      </x:c>
      <x:c r="S81" s="56" t="str">
        <x:v>AI-07:unauthorized_context
AI-07:invented_source
AI-07:unsafe_claim
AI-07:budget_exhaustion</x:v>
      </x:c>
      <x:c r="T81" s="56" t="str">
        <x:v>production deploy or mutation
production/real-customer data access
secret value read or output
scope outside allowed paths
approval/status invention
history rewrite</x:v>
      </x:c>
      <x:c r="U81" s="56" t="str">
        <x:v>document and rehearse scoped rollback before state-changing acceptance</x:v>
      </x:c>
      <x:c r="V81" s="56" t="str">
        <x:v>SEPARATE_APPROVAL_REQUIRED</x:v>
      </x:c>
      <x:c r="W8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81" s="56" t="str">
        <x:v>NOT_CHECKED</x:v>
      </x:c>
    </x:row>
    <x:row r="82" ht="104" hidden="0" customHeight="1">
      <x:c r="A82" s="56" t="str">
        <x:v>AI-08</x:v>
      </x:c>
      <x:c r="B82" s="56" t="str">
        <x:v>C</x:v>
      </x:c>
      <x:c r="C82" s="56" t="str">
        <x:v>AI</x:v>
      </x:c>
      <x:c r="D82" s="56" t="str">
        <x:v>Budget/quota/circuitbreaker/degrade</x:v>
      </x:c>
      <x:c r="E82" s="56" t="str">
        <x:v>AI Lead + Editorial</x:v>
      </x:c>
      <x:c r="F82" s="57" t="str">
        <x:v>NOT_STARTED</x:v>
      </x:c>
      <x:c r="G82" s="73" t="n">
        <x:v>3</x:v>
      </x:c>
      <x:c r="H82" s="73" t="n">
        <x:v>7</x:v>
      </x:c>
      <x:c r="I82" s="56" t="str">
        <x:v>AI-07</x:v>
      </x:c>
      <x:c r="J82" s="56" t="str">
        <x:v>G06;G08</x:v>
      </x:c>
      <x:c r="K82" s="56" t="str">
        <x:v>evidence/AI-08/receipt.json + diff/spec/test logs</x:v>
      </x:c>
      <x:c r="L82" s="57" t="str">
        <x:v>Cost cap stops generation; deterministic still works</x:v>
      </x:c>
      <x:c r="M82" s="69" t="str">
        <x:v>CHƯA PHÂN CÔNG</x:v>
      </x:c>
      <x:c r="N82" s="56" t="str">
        <x:v>packages/ai/**
packages/policy/**
evals/**
tests/ai/**
docs/**</x:v>
      </x:c>
      <x:c r="O82" s="56" t="str">
        <x:v>AI-08:claim_lineage
AI-08:prohibition
AI-08:retrieval_acl
AI-08:prompt_injection
AI-08:provider_failure
AI-08:cost_budget</x:v>
      </x:c>
      <x:c r="P82" s="56" t="str">
        <x:v>evidence/tasks/AI-08/&lt;sha&gt;/receipt.json</x:v>
      </x:c>
      <x:c r="Q82" s="56" t="str">
        <x:v>Independent QA/Security/Legal as applicable</x:v>
      </x:c>
      <x:c r="R82" s="56" t="str">
        <x:v>Q3
Q7
Q9
Q15
Q16</x:v>
      </x:c>
      <x:c r="S82" s="56" t="str">
        <x:v>AI-08:unauthorized_context
AI-08:invented_source
AI-08:unsafe_claim
AI-08:budget_exhaustion</x:v>
      </x:c>
      <x:c r="T82" s="56" t="str">
        <x:v>production deploy or mutation
production/real-customer data access
secret value read or output
scope outside allowed paths
approval/status invention
history rewrite</x:v>
      </x:c>
      <x:c r="U82" s="56" t="str">
        <x:v>document and rehearse scoped rollback before state-changing acceptance</x:v>
      </x:c>
      <x:c r="V82" s="56" t="str">
        <x:v>SEPARATE_APPROVAL_REQUIRED</x:v>
      </x:c>
      <x:c r="W8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82" s="56" t="str">
        <x:v>NOT_CHECKED</x:v>
      </x:c>
    </x:row>
    <x:row r="83" ht="104" hidden="0" customHeight="1">
      <x:c r="A83" s="56" t="str">
        <x:v>AI-09</x:v>
      </x:c>
      <x:c r="B83" s="56" t="str">
        <x:v>C</x:v>
      </x:c>
      <x:c r="C83" s="56" t="str">
        <x:v>AI</x:v>
      </x:c>
      <x:c r="D83" s="56" t="str">
        <x:v>AI tutor/support scope tools</x:v>
      </x:c>
      <x:c r="E83" s="56" t="str">
        <x:v>AI Lead + Editorial</x:v>
      </x:c>
      <x:c r="F83" s="57" t="str">
        <x:v>NOT_STARTED</x:v>
      </x:c>
      <x:c r="G83" s="73" t="n">
        <x:v>3</x:v>
      </x:c>
      <x:c r="H83" s="73" t="n">
        <x:v>7</x:v>
      </x:c>
      <x:c r="I83" s="56" t="str">
        <x:v>AI-08</x:v>
      </x:c>
      <x:c r="J83" s="56" t="str">
        <x:v>G06;G08</x:v>
      </x:c>
      <x:c r="K83" s="56" t="str">
        <x:v>evidence/AI-09/receipt.json + diff/spec/test logs</x:v>
      </x:c>
      <x:c r="L83" s="57" t="str">
        <x:v>Status/refund từ server; no invented completion</x:v>
      </x:c>
      <x:c r="M83" s="69" t="str">
        <x:v>CHƯA PHÂN CÔNG</x:v>
      </x:c>
      <x:c r="N83" s="56" t="str">
        <x:v>packages/ai/**
packages/policy/**
evals/**
tests/ai/**
docs/**</x:v>
      </x:c>
      <x:c r="O83" s="56" t="str">
        <x:v>AI-09:claim_lineage
AI-09:prohibition
AI-09:retrieval_acl
AI-09:prompt_injection
AI-09:provider_failure
AI-09:cost_budget</x:v>
      </x:c>
      <x:c r="P83" s="56" t="str">
        <x:v>evidence/tasks/AI-09/&lt;sha&gt;/receipt.json</x:v>
      </x:c>
      <x:c r="Q83" s="56" t="str">
        <x:v>Independent QA/Security/Legal as applicable</x:v>
      </x:c>
      <x:c r="R83" s="56" t="str">
        <x:v>Q3
Q7
Q9
Q15
Q16</x:v>
      </x:c>
      <x:c r="S83" s="56" t="str">
        <x:v>AI-09:unauthorized_context
AI-09:invented_source
AI-09:unsafe_claim
AI-09:budget_exhaustion</x:v>
      </x:c>
      <x:c r="T83" s="56" t="str">
        <x:v>production deploy or mutation
production/real-customer data access
secret value read or output
scope outside allowed paths
approval/status invention
history rewrite</x:v>
      </x:c>
      <x:c r="U83" s="56" t="str">
        <x:v>document and rehearse scoped rollback before state-changing acceptance</x:v>
      </x:c>
      <x:c r="V83" s="56" t="str">
        <x:v>SEPARATE_APPROVAL_REQUIRED</x:v>
      </x:c>
      <x:c r="W8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83" s="56" t="str">
        <x:v>NOT_CHECKED</x:v>
      </x:c>
    </x:row>
    <x:row r="84" ht="104" hidden="0" customHeight="1">
      <x:c r="A84" s="56" t="str">
        <x:v>AI-10</x:v>
      </x:c>
      <x:c r="B84" s="56" t="str">
        <x:v>C</x:v>
      </x:c>
      <x:c r="C84" s="56" t="str">
        <x:v>AI</x:v>
      </x:c>
      <x:c r="D84" s="56" t="str">
        <x:v>Autonomy center và opt-in reminders</x:v>
      </x:c>
      <x:c r="E84" s="56" t="str">
        <x:v>AI Lead + Editorial</x:v>
      </x:c>
      <x:c r="F84" s="57" t="str">
        <x:v>NOT_STARTED</x:v>
      </x:c>
      <x:c r="G84" s="73" t="n">
        <x:v>2</x:v>
      </x:c>
      <x:c r="H84" s="73" t="n">
        <x:v>5</x:v>
      </x:c>
      <x:c r="I84" s="56" t="str">
        <x:v>AI-09</x:v>
      </x:c>
      <x:c r="J84" s="56" t="str">
        <x:v>G06;G08</x:v>
      </x:c>
      <x:c r="K84" s="56" t="str">
        <x:v>evidence/AI-10/receipt.json + diff/spec/test logs</x:v>
      </x:c>
      <x:c r="L84" s="57" t="str">
        <x:v>A0–A3 enforcement, quiet hours và kill switch</x:v>
      </x:c>
      <x:c r="M84" s="69" t="str">
        <x:v>CHƯA PHÂN CÔNG</x:v>
      </x:c>
      <x:c r="N84" s="56" t="str">
        <x:v>packages/ai/**
packages/policy/**
evals/**
tests/ai/**
docs/**</x:v>
      </x:c>
      <x:c r="O84" s="56" t="str">
        <x:v>AI-10:claim_lineage
AI-10:prohibition
AI-10:retrieval_acl
AI-10:prompt_injection
AI-10:provider_failure
AI-10:cost_budget</x:v>
      </x:c>
      <x:c r="P84" s="56" t="str">
        <x:v>evidence/tasks/AI-10/&lt;sha&gt;/receipt.json</x:v>
      </x:c>
      <x:c r="Q84" s="56" t="str">
        <x:v>Independent QA/Security/Legal as applicable</x:v>
      </x:c>
      <x:c r="R84" s="56" t="str">
        <x:v>Q3
Q7
Q9
Q15
Q16</x:v>
      </x:c>
      <x:c r="S84" s="56" t="str">
        <x:v>AI-10:unauthorized_context
AI-10:invented_source
AI-10:unsafe_claim
AI-10:budget_exhaustion</x:v>
      </x:c>
      <x:c r="T84" s="56" t="str">
        <x:v>production deploy or mutation
production/real-customer data access
secret value read or output
scope outside allowed paths
approval/status invention
history rewrite</x:v>
      </x:c>
      <x:c r="U84" s="56" t="str">
        <x:v>document and rehearse scoped rollback before state-changing acceptance</x:v>
      </x:c>
      <x:c r="V84" s="56" t="str">
        <x:v>SEPARATE_APPROVAL_REQUIRED</x:v>
      </x:c>
      <x:c r="W8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84" s="56" t="str">
        <x:v>NOT_CHECKED</x:v>
      </x:c>
    </x:row>
    <x:row r="85" ht="104" hidden="0" customHeight="1">
      <x:c r="A85" s="56" t="str">
        <x:v>REPORT-01</x:v>
      </x:c>
      <x:c r="B85" s="56" t="str">
        <x:v>D</x:v>
      </x:c>
      <x:c r="C85" s="56" t="str">
        <x:v>REPORT</x:v>
      </x:c>
      <x:c r="D85" s="56" t="str">
        <x:v>Structured content tree và snapshot schema</x:v>
      </x:c>
      <x:c r="E85" s="56" t="str">
        <x:v>Report Lead + Editorial</x:v>
      </x:c>
      <x:c r="F85" s="57" t="str">
        <x:v>NOT_STARTED</x:v>
      </x:c>
      <x:c r="G85" s="73" t="n">
        <x:v>2</x:v>
      </x:c>
      <x:c r="H85" s="73" t="n">
        <x:v>5</x:v>
      </x:c>
      <x:c r="I85" s="56" t="str">
        <x:v>AI-05;API-06</x:v>
      </x:c>
      <x:c r="J85" s="56" t="str">
        <x:v>G08</x:v>
      </x:c>
      <x:c r="K85" s="56" t="str">
        <x:v>evidence/REPORT-01/receipt.json + diff/spec/test logs</x:v>
      </x:c>
      <x:c r="L85" s="57" t="str">
        <x:v>Câu nguồn/claim có link; personal/common khác nhãn</x:v>
      </x:c>
      <x:c r="M85" s="69" t="str">
        <x:v>CHƯA PHÂN CÔNG</x:v>
      </x:c>
      <x:c r="N85" s="56" t="str">
        <x:v>packages/report/**
templates/**
tests/report/**
docs/**</x:v>
      </x:c>
      <x:c r="O85" s="56" t="str">
        <x:v>REPORT-01:template_schema
REPORT-01:snapshot_revision
REPORT-01:html_a11y
REPORT-01:pdf_docx_structure
REPORT-01:withdrawal</x:v>
      </x:c>
      <x:c r="P85" s="56" t="str">
        <x:v>evidence/tasks/REPORT-01/&lt;sha&gt;/receipt.json</x:v>
      </x:c>
      <x:c r="Q85" s="56" t="str">
        <x:v>Independent QA/Security/Legal as applicable</x:v>
      </x:c>
      <x:c r="R85" s="56" t="str">
        <x:v>Q2
Q3
Q5
Q7
Q9
Q12</x:v>
      </x:c>
      <x:c r="S85" s="56" t="str">
        <x:v>REPORT-01:filler
REPORT-01:missing_lineage
REPORT-01:stale_method
REPORT-01:unauthorized_export</x:v>
      </x:c>
      <x:c r="T85" s="56" t="str">
        <x:v>production deploy or mutation
production/real-customer data access
secret value read or output
scope outside allowed paths
approval/status invention
history rewrite</x:v>
      </x:c>
      <x:c r="U85" s="56" t="str">
        <x:v>document and rehearse scoped rollback before state-changing acceptance</x:v>
      </x:c>
      <x:c r="V85" s="56" t="str">
        <x:v>SEPARATE_APPROVAL_REQUIRED</x:v>
      </x:c>
      <x:c r="W8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85" s="56" t="str">
        <x:v>NOT_CHECKED</x:v>
      </x:c>
    </x:row>
    <x:row r="86" ht="104" hidden="0" customHeight="1">
      <x:c r="A86" s="56" t="str">
        <x:v>REPORT-02</x:v>
      </x:c>
      <x:c r="B86" s="56" t="str">
        <x:v>D</x:v>
      </x:c>
      <x:c r="C86" s="56" t="str">
        <x:v>REPORT</x:v>
      </x:c>
      <x:c r="D86" s="56" t="str">
        <x:v>Template L1 chuẩn đọc và30dayactions</x:v>
      </x:c>
      <x:c r="E86" s="56" t="str">
        <x:v>Report Lead + Editorial</x:v>
      </x:c>
      <x:c r="F86" s="57" t="str">
        <x:v>NOT_STARTED</x:v>
      </x:c>
      <x:c r="G86" s="73" t="n">
        <x:v>2</x:v>
      </x:c>
      <x:c r="H86" s="73" t="n">
        <x:v>5</x:v>
      </x:c>
      <x:c r="I86" s="56" t="str">
        <x:v>REPORT-01</x:v>
      </x:c>
      <x:c r="J86" s="56" t="str">
        <x:v>G08</x:v>
      </x:c>
      <x:c r="K86" s="56" t="str">
        <x:v>evidence/REPORT-02/receipt.json + diff/spec/test logs</x:v>
      </x:c>
      <x:c r="L86" s="57" t="str">
        <x:v>Không filler/inborn certainty/hidden score</x:v>
      </x:c>
      <x:c r="M86" s="69" t="str">
        <x:v>CHƯA PHÂN CÔNG</x:v>
      </x:c>
      <x:c r="N86" s="56" t="str">
        <x:v>packages/report/**
templates/**
tests/report/**
docs/**</x:v>
      </x:c>
      <x:c r="O86" s="56" t="str">
        <x:v>REPORT-02:template_schema
REPORT-02:snapshot_revision
REPORT-02:html_a11y
REPORT-02:pdf_docx_structure
REPORT-02:withdrawal</x:v>
      </x:c>
      <x:c r="P86" s="56" t="str">
        <x:v>evidence/tasks/REPORT-02/&lt;sha&gt;/receipt.json</x:v>
      </x:c>
      <x:c r="Q86" s="56" t="str">
        <x:v>Independent QA/Security/Legal as applicable</x:v>
      </x:c>
      <x:c r="R86" s="56" t="str">
        <x:v>Q2
Q3
Q5
Q7
Q9
Q12</x:v>
      </x:c>
      <x:c r="S86" s="56" t="str">
        <x:v>REPORT-02:filler
REPORT-02:missing_lineage
REPORT-02:stale_method
REPORT-02:unauthorized_export</x:v>
      </x:c>
      <x:c r="T86" s="56" t="str">
        <x:v>production deploy or mutation
production/real-customer data access
secret value read or output
scope outside allowed paths
approval/status invention
history rewrite</x:v>
      </x:c>
      <x:c r="U86" s="56" t="str">
        <x:v>document and rehearse scoped rollback before state-changing acceptance</x:v>
      </x:c>
      <x:c r="V86" s="56" t="str">
        <x:v>SEPARATE_APPROVAL_REQUIRED</x:v>
      </x:c>
      <x:c r="W8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86" s="56" t="str">
        <x:v>NOT_CHECKED</x:v>
      </x:c>
    </x:row>
    <x:row r="87" ht="104" hidden="0" customHeight="1">
      <x:c r="A87" s="56" t="str">
        <x:v>REPORT-03</x:v>
      </x:c>
      <x:c r="B87" s="56" t="str">
        <x:v>D</x:v>
      </x:c>
      <x:c r="C87" s="56" t="str">
        <x:v>REPORT</x:v>
      </x:c>
      <x:c r="D87" s="56" t="str">
        <x:v>Templates L2–L5 dữ liệu thực</x:v>
      </x:c>
      <x:c r="E87" s="56" t="str">
        <x:v>Report Lead + Editorial</x:v>
      </x:c>
      <x:c r="F87" s="57" t="str">
        <x:v>NOT_STARTED</x:v>
      </x:c>
      <x:c r="G87" s="73" t="n">
        <x:v>3</x:v>
      </x:c>
      <x:c r="H87" s="73" t="n">
        <x:v>7</x:v>
      </x:c>
      <x:c r="I87" s="56" t="str">
        <x:v>REPORT-02</x:v>
      </x:c>
      <x:c r="J87" s="56" t="str">
        <x:v>G08</x:v>
      </x:c>
      <x:c r="K87" s="56" t="str">
        <x:v>evidence/REPORT-03/receipt.json + diff/spec/test logs</x:v>
      </x:c>
      <x:c r="L87" s="57" t="str">
        <x:v>Missing input không thay bằng số</x:v>
      </x:c>
      <x:c r="M87" s="69" t="str">
        <x:v>CHƯA PHÂN CÔNG</x:v>
      </x:c>
      <x:c r="N87" s="56" t="str">
        <x:v>packages/report/**
templates/**
tests/report/**
docs/**</x:v>
      </x:c>
      <x:c r="O87" s="56" t="str">
        <x:v>REPORT-03:template_schema
REPORT-03:snapshot_revision
REPORT-03:html_a11y
REPORT-03:pdf_docx_structure
REPORT-03:withdrawal</x:v>
      </x:c>
      <x:c r="P87" s="56" t="str">
        <x:v>evidence/tasks/REPORT-03/&lt;sha&gt;/receipt.json</x:v>
      </x:c>
      <x:c r="Q87" s="56" t="str">
        <x:v>Independent QA/Security/Legal as applicable</x:v>
      </x:c>
      <x:c r="R87" s="56" t="str">
        <x:v>Q2
Q3
Q5
Q7
Q9
Q12</x:v>
      </x:c>
      <x:c r="S87" s="56" t="str">
        <x:v>REPORT-03:filler
REPORT-03:missing_lineage
REPORT-03:stale_method
REPORT-03:unauthorized_export</x:v>
      </x:c>
      <x:c r="T87" s="56" t="str">
        <x:v>production deploy or mutation
production/real-customer data access
secret value read or output
scope outside allowed paths
approval/status invention
history rewrite</x:v>
      </x:c>
      <x:c r="U87" s="56" t="str">
        <x:v>document and rehearse scoped rollback before state-changing acceptance</x:v>
      </x:c>
      <x:c r="V87" s="56" t="str">
        <x:v>SEPARATE_APPROVAL_REQUIRED</x:v>
      </x:c>
      <x:c r="W8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87" s="56" t="str">
        <x:v>NOT_CHECKED</x:v>
      </x:c>
    </x:row>
    <x:row r="88" ht="104" hidden="0" customHeight="1">
      <x:c r="A88" s="56" t="str">
        <x:v>REPORT-04</x:v>
      </x:c>
      <x:c r="B88" s="56" t="str">
        <x:v>D</x:v>
      </x:c>
      <x:c r="C88" s="56" t="str">
        <x:v>REPORT</x:v>
      </x:c>
      <x:c r="D88" s="56" t="str">
        <x:v>Templates L6–L9 và dedup book</x:v>
      </x:c>
      <x:c r="E88" s="56" t="str">
        <x:v>Report Lead + Editorial</x:v>
      </x:c>
      <x:c r="F88" s="57" t="str">
        <x:v>NOT_STARTED</x:v>
      </x:c>
      <x:c r="G88" s="73" t="n">
        <x:v>3</x:v>
      </x:c>
      <x:c r="H88" s="73" t="n">
        <x:v>7</x:v>
      </x:c>
      <x:c r="I88" s="56" t="str">
        <x:v>REPORT-03</x:v>
      </x:c>
      <x:c r="J88" s="56" t="str">
        <x:v>G08</x:v>
      </x:c>
      <x:c r="K88" s="56" t="str">
        <x:v>evidence/REPORT-04/receipt.json + diff/spec/test logs</x:v>
      </x:c>
      <x:c r="L88" s="57" t="str">
        <x:v>Các timeline riêng, L9không nối bản lặp</x:v>
      </x:c>
      <x:c r="M88" s="69" t="str">
        <x:v>CHƯA PHÂN CÔNG</x:v>
      </x:c>
      <x:c r="N88" s="56" t="str">
        <x:v>packages/report/**
templates/**
tests/report/**
docs/**</x:v>
      </x:c>
      <x:c r="O88" s="56" t="str">
        <x:v>REPORT-04:template_schema
REPORT-04:snapshot_revision
REPORT-04:html_a11y
REPORT-04:pdf_docx_structure
REPORT-04:withdrawal</x:v>
      </x:c>
      <x:c r="P88" s="56" t="str">
        <x:v>evidence/tasks/REPORT-04/&lt;sha&gt;/receipt.json</x:v>
      </x:c>
      <x:c r="Q88" s="56" t="str">
        <x:v>Independent QA/Security/Legal as applicable</x:v>
      </x:c>
      <x:c r="R88" s="56" t="str">
        <x:v>Q2
Q3
Q5
Q7
Q9
Q12</x:v>
      </x:c>
      <x:c r="S88" s="56" t="str">
        <x:v>REPORT-04:filler
REPORT-04:missing_lineage
REPORT-04:stale_method
REPORT-04:unauthorized_export</x:v>
      </x:c>
      <x:c r="T88" s="56" t="str">
        <x:v>production deploy or mutation
production/real-customer data access
secret value read or output
scope outside allowed paths
approval/status invention
history rewrite</x:v>
      </x:c>
      <x:c r="U88" s="56" t="str">
        <x:v>document and rehearse scoped rollback before state-changing acceptance</x:v>
      </x:c>
      <x:c r="V88" s="56" t="str">
        <x:v>SEPARATE_APPROVAL_REQUIRED</x:v>
      </x:c>
      <x:c r="W8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88" s="56" t="str">
        <x:v>NOT_CHECKED</x:v>
      </x:c>
    </x:row>
    <x:row r="89" ht="104" hidden="0" customHeight="1">
      <x:c r="A89" s="56" t="str">
        <x:v>REPORT-05</x:v>
      </x:c>
      <x:c r="B89" s="56" t="str">
        <x:v>D</x:v>
      </x:c>
      <x:c r="C89" s="56" t="str">
        <x:v>REPORT</x:v>
      </x:c>
      <x:c r="D89" s="56" t="str">
        <x:v>HTML/Web renderer accessible</x:v>
      </x:c>
      <x:c r="E89" s="56" t="str">
        <x:v>Report Lead + Editorial</x:v>
      </x:c>
      <x:c r="F89" s="57" t="str">
        <x:v>NOT_STARTED</x:v>
      </x:c>
      <x:c r="G89" s="73" t="n">
        <x:v>3</x:v>
      </x:c>
      <x:c r="H89" s="73" t="n">
        <x:v>7</x:v>
      </x:c>
      <x:c r="I89" s="56" t="str">
        <x:v>REPORT-04</x:v>
      </x:c>
      <x:c r="J89" s="56" t="str">
        <x:v>G08</x:v>
      </x:c>
      <x:c r="K89" s="56" t="str">
        <x:v>evidence/REPORT-05/receipt.json + diff/spec/test logs</x:v>
      </x:c>
      <x:c r="L89" s="57" t="str">
        <x:v>Sanitize, private noindex, stable section anchors</x:v>
      </x:c>
      <x:c r="M89" s="69" t="str">
        <x:v>CHƯA PHÂN CÔNG</x:v>
      </x:c>
      <x:c r="N89" s="56" t="str">
        <x:v>packages/report/**
templates/**
tests/report/**
docs/**</x:v>
      </x:c>
      <x:c r="O89" s="56" t="str">
        <x:v>REPORT-05:template_schema
REPORT-05:snapshot_revision
REPORT-05:html_a11y
REPORT-05:pdf_docx_structure
REPORT-05:withdrawal</x:v>
      </x:c>
      <x:c r="P89" s="56" t="str">
        <x:v>evidence/tasks/REPORT-05/&lt;sha&gt;/receipt.json</x:v>
      </x:c>
      <x:c r="Q89" s="56" t="str">
        <x:v>Independent QA/Security/Legal as applicable</x:v>
      </x:c>
      <x:c r="R89" s="56" t="str">
        <x:v>Q2
Q3
Q5
Q7
Q9
Q12</x:v>
      </x:c>
      <x:c r="S89" s="56" t="str">
        <x:v>REPORT-05:filler
REPORT-05:missing_lineage
REPORT-05:stale_method
REPORT-05:unauthorized_export</x:v>
      </x:c>
      <x:c r="T89" s="56" t="str">
        <x:v>production deploy or mutation
production/real-customer data access
secret value read or output
scope outside allowed paths
approval/status invention
history rewrite</x:v>
      </x:c>
      <x:c r="U89" s="56" t="str">
        <x:v>document and rehearse scoped rollback before state-changing acceptance</x:v>
      </x:c>
      <x:c r="V89" s="56" t="str">
        <x:v>SEPARATE_APPROVAL_REQUIRED</x:v>
      </x:c>
      <x:c r="W8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89" s="56" t="str">
        <x:v>NOT_CHECKED</x:v>
      </x:c>
    </x:row>
    <x:row r="90" ht="104" hidden="0" customHeight="1">
      <x:c r="A90" s="56" t="str">
        <x:v>REPORT-06</x:v>
      </x:c>
      <x:c r="B90" s="56" t="str">
        <x:v>D</x:v>
      </x:c>
      <x:c r="C90" s="56" t="str">
        <x:v>REPORT</x:v>
      </x:c>
      <x:c r="D90" s="56" t="str">
        <x:v>PDF render sandbox font/link/bookmark</x:v>
      </x:c>
      <x:c r="E90" s="56" t="str">
        <x:v>Report Lead + Editorial</x:v>
      </x:c>
      <x:c r="F90" s="57" t="str">
        <x:v>NOT_STARTED</x:v>
      </x:c>
      <x:c r="G90" s="73" t="n">
        <x:v>3</x:v>
      </x:c>
      <x:c r="H90" s="73" t="n">
        <x:v>7</x:v>
      </x:c>
      <x:c r="I90" s="56" t="str">
        <x:v>REPORT-05</x:v>
      </x:c>
      <x:c r="J90" s="56" t="str">
        <x:v>G08</x:v>
      </x:c>
      <x:c r="K90" s="56" t="str">
        <x:v>evidence/REPORT-06/receipt.json + diff/spec/test logs</x:v>
      </x:c>
      <x:c r="L90" s="57" t="str">
        <x:v>Selectable VI, no remote arbitrary assets</x:v>
      </x:c>
      <x:c r="M90" s="69" t="str">
        <x:v>CHƯA PHÂN CÔNG</x:v>
      </x:c>
      <x:c r="N90" s="56" t="str">
        <x:v>packages/report/**
templates/**
tests/report/**
docs/**</x:v>
      </x:c>
      <x:c r="O90" s="56" t="str">
        <x:v>REPORT-06:template_schema
REPORT-06:snapshot_revision
REPORT-06:html_a11y
REPORT-06:pdf_docx_structure
REPORT-06:withdrawal</x:v>
      </x:c>
      <x:c r="P90" s="56" t="str">
        <x:v>evidence/tasks/REPORT-06/&lt;sha&gt;/receipt.json</x:v>
      </x:c>
      <x:c r="Q90" s="56" t="str">
        <x:v>Independent QA/Security/Legal as applicable</x:v>
      </x:c>
      <x:c r="R90" s="56" t="str">
        <x:v>Q2
Q3
Q5
Q7
Q9
Q12</x:v>
      </x:c>
      <x:c r="S90" s="56" t="str">
        <x:v>REPORT-06:filler
REPORT-06:missing_lineage
REPORT-06:stale_method
REPORT-06:unauthorized_export</x:v>
      </x:c>
      <x:c r="T90" s="56" t="str">
        <x:v>production deploy or mutation
production/real-customer data access
secret value read or output
scope outside allowed paths
approval/status invention
history rewrite</x:v>
      </x:c>
      <x:c r="U90" s="56" t="str">
        <x:v>document and rehearse scoped rollback before state-changing acceptance</x:v>
      </x:c>
      <x:c r="V90" s="56" t="str">
        <x:v>SEPARATE_APPROVAL_REQUIRED</x:v>
      </x:c>
      <x:c r="W9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90" s="56" t="str">
        <x:v>NOT_CHECKED</x:v>
      </x:c>
    </x:row>
    <x:row r="91" ht="104" hidden="0" customHeight="1">
      <x:c r="A91" s="56" t="str">
        <x:v>REPORT-07</x:v>
      </x:c>
      <x:c r="B91" s="56" t="str">
        <x:v>D</x:v>
      </x:c>
      <x:c r="C91" s="56" t="str">
        <x:v>REPORT</x:v>
      </x:c>
      <x:c r="D91" s="56" t="str">
        <x:v>DOCX exporter headings/TOC/table</x:v>
      </x:c>
      <x:c r="E91" s="56" t="str">
        <x:v>Report Lead + Editorial</x:v>
      </x:c>
      <x:c r="F91" s="57" t="str">
        <x:v>NOT_STARTED</x:v>
      </x:c>
      <x:c r="G91" s="73" t="n">
        <x:v>3</x:v>
      </x:c>
      <x:c r="H91" s="73" t="n">
        <x:v>7</x:v>
      </x:c>
      <x:c r="I91" s="56" t="str">
        <x:v>REPORT-06</x:v>
      </x:c>
      <x:c r="J91" s="56" t="str">
        <x:v>G08</x:v>
      </x:c>
      <x:c r="K91" s="56" t="str">
        <x:v>evidence/REPORT-07/receipt.json + diff/spec/test logs</x:v>
      </x:c>
      <x:c r="L91" s="57" t="str">
        <x:v>Không ảnh toàn trang, metadata clean</x:v>
      </x:c>
      <x:c r="M91" s="69" t="str">
        <x:v>CHƯA PHÂN CÔNG</x:v>
      </x:c>
      <x:c r="N91" s="56" t="str">
        <x:v>packages/report/**
templates/**
tests/report/**
docs/**</x:v>
      </x:c>
      <x:c r="O91" s="56" t="str">
        <x:v>REPORT-07:template_schema
REPORT-07:snapshot_revision
REPORT-07:html_a11y
REPORT-07:pdf_docx_structure
REPORT-07:withdrawal</x:v>
      </x:c>
      <x:c r="P91" s="56" t="str">
        <x:v>evidence/tasks/REPORT-07/&lt;sha&gt;/receipt.json</x:v>
      </x:c>
      <x:c r="Q91" s="56" t="str">
        <x:v>Independent QA/Security/Legal as applicable</x:v>
      </x:c>
      <x:c r="R91" s="56" t="str">
        <x:v>Q2
Q3
Q5
Q7
Q9
Q12</x:v>
      </x:c>
      <x:c r="S91" s="56" t="str">
        <x:v>REPORT-07:filler
REPORT-07:missing_lineage
REPORT-07:stale_method
REPORT-07:unauthorized_export</x:v>
      </x:c>
      <x:c r="T91" s="56" t="str">
        <x:v>production deploy or mutation
production/real-customer data access
secret value read or output
scope outside allowed paths
approval/status invention
history rewrite</x:v>
      </x:c>
      <x:c r="U91" s="56" t="str">
        <x:v>document and rehearse scoped rollback before state-changing acceptance</x:v>
      </x:c>
      <x:c r="V91" s="56" t="str">
        <x:v>SEPARATE_APPROVAL_REQUIRED</x:v>
      </x:c>
      <x:c r="W9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91" s="56" t="str">
        <x:v>NOT_CHECKED</x:v>
      </x:c>
    </x:row>
    <x:row r="92" ht="104" hidden="0" customHeight="1">
      <x:c r="A92" s="56" t="str">
        <x:v>REPORT-08</x:v>
      </x:c>
      <x:c r="B92" s="56" t="str">
        <x:v>D</x:v>
      </x:c>
      <x:c r="C92" s="56" t="str">
        <x:v>REPORT</x:v>
      </x:c>
      <x:c r="D92" s="56" t="str">
        <x:v>Visual regression và a11y review</x:v>
      </x:c>
      <x:c r="E92" s="56" t="str">
        <x:v>Report Lead + Editorial</x:v>
      </x:c>
      <x:c r="F92" s="57" t="str">
        <x:v>NOT_STARTED</x:v>
      </x:c>
      <x:c r="G92" s="73" t="n">
        <x:v>3</x:v>
      </x:c>
      <x:c r="H92" s="73" t="n">
        <x:v>7</x:v>
      </x:c>
      <x:c r="I92" s="56" t="str">
        <x:v>REPORT-07</x:v>
      </x:c>
      <x:c r="J92" s="56" t="str">
        <x:v>G08</x:v>
      </x:c>
      <x:c r="K92" s="56" t="str">
        <x:v>evidence/REPORT-08/receipt.json + diff/spec/test logs</x:v>
      </x:c>
      <x:c r="L92" s="57" t="str">
        <x:v>Trang nào lỗi phải sửa trước publish</x:v>
      </x:c>
      <x:c r="M92" s="69" t="str">
        <x:v>CHƯA PHÂN CÔNG</x:v>
      </x:c>
      <x:c r="N92" s="56" t="str">
        <x:v>packages/report/**
templates/**
tests/report/**
docs/**</x:v>
      </x:c>
      <x:c r="O92" s="56" t="str">
        <x:v>REPORT-08:template_schema
REPORT-08:snapshot_revision
REPORT-08:html_a11y
REPORT-08:pdf_docx_structure
REPORT-08:withdrawal</x:v>
      </x:c>
      <x:c r="P92" s="56" t="str">
        <x:v>evidence/tasks/REPORT-08/&lt;sha&gt;/receipt.json</x:v>
      </x:c>
      <x:c r="Q92" s="56" t="str">
        <x:v>Independent QA/Security/Legal as applicable</x:v>
      </x:c>
      <x:c r="R92" s="56" t="str">
        <x:v>Q2
Q3
Q5
Q7
Q9
Q12</x:v>
      </x:c>
      <x:c r="S92" s="56" t="str">
        <x:v>REPORT-08:filler
REPORT-08:missing_lineage
REPORT-08:stale_method
REPORT-08:unauthorized_export</x:v>
      </x:c>
      <x:c r="T92" s="56" t="str">
        <x:v>production deploy or mutation
production/real-customer data access
secret value read or output
scope outside allowed paths
approval/status invention
history rewrite</x:v>
      </x:c>
      <x:c r="U92" s="56" t="str">
        <x:v>document and rehearse scoped rollback before state-changing acceptance</x:v>
      </x:c>
      <x:c r="V92" s="56" t="str">
        <x:v>SEPARATE_APPROVAL_REQUIRED</x:v>
      </x:c>
      <x:c r="W9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92" s="56" t="str">
        <x:v>NOT_CHECKED</x:v>
      </x:c>
    </x:row>
    <x:row r="93" ht="104" hidden="0" customHeight="1">
      <x:c r="A93" s="56" t="str">
        <x:v>REPORT-09</x:v>
      </x:c>
      <x:c r="B93" s="56" t="str">
        <x:v>D</x:v>
      </x:c>
      <x:c r="C93" s="56" t="str">
        <x:v>REPORT</x:v>
      </x:c>
      <x:c r="D93" s="56" t="str">
        <x:v>Withdrawal/correction impact workflow</x:v>
      </x:c>
      <x:c r="E93" s="56" t="str">
        <x:v>Report Lead + Editorial</x:v>
      </x:c>
      <x:c r="F93" s="57" t="str">
        <x:v>NOT_STARTED</x:v>
      </x:c>
      <x:c r="G93" s="73" t="n">
        <x:v>3</x:v>
      </x:c>
      <x:c r="H93" s="73" t="n">
        <x:v>7</x:v>
      </x:c>
      <x:c r="I93" s="56" t="str">
        <x:v>REPORT-08</x:v>
      </x:c>
      <x:c r="J93" s="56" t="str">
        <x:v>G08</x:v>
      </x:c>
      <x:c r="K93" s="56" t="str">
        <x:v>evidence/REPORT-09/receipt.json + diff/spec/test logs</x:v>
      </x:c>
      <x:c r="L93" s="57" t="str">
        <x:v>Method revocation tìm report; user notified đúng</x:v>
      </x:c>
      <x:c r="M93" s="69" t="str">
        <x:v>CHƯA PHÂN CÔNG</x:v>
      </x:c>
      <x:c r="N93" s="56" t="str">
        <x:v>packages/report/**
templates/**
tests/report/**
docs/**</x:v>
      </x:c>
      <x:c r="O93" s="56" t="str">
        <x:v>REPORT-09:template_schema
REPORT-09:snapshot_revision
REPORT-09:html_a11y
REPORT-09:pdf_docx_structure
REPORT-09:withdrawal</x:v>
      </x:c>
      <x:c r="P93" s="56" t="str">
        <x:v>evidence/tasks/REPORT-09/&lt;sha&gt;/receipt.json</x:v>
      </x:c>
      <x:c r="Q93" s="56" t="str">
        <x:v>Independent QA/Security/Legal as applicable</x:v>
      </x:c>
      <x:c r="R93" s="56" t="str">
        <x:v>Q2
Q3
Q5
Q7
Q9
Q12</x:v>
      </x:c>
      <x:c r="S93" s="56" t="str">
        <x:v>REPORT-09:filler
REPORT-09:missing_lineage
REPORT-09:stale_method
REPORT-09:unauthorized_export</x:v>
      </x:c>
      <x:c r="T93" s="56" t="str">
        <x:v>production deploy or mutation
production/real-customer data access
secret value read or output
scope outside allowed paths
approval/status invention
history rewrite</x:v>
      </x:c>
      <x:c r="U93" s="56" t="str">
        <x:v>document and rehearse scoped rollback before state-changing acceptance</x:v>
      </x:c>
      <x:c r="V93" s="56" t="str">
        <x:v>SEPARATE_APPROVAL_REQUIRED</x:v>
      </x:c>
      <x:c r="W9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93" s="56" t="str">
        <x:v>NOT_CHECKED</x:v>
      </x:c>
    </x:row>
    <x:row r="94" ht="104" hidden="0" customHeight="1">
      <x:c r="A94" s="56" t="str">
        <x:v>REPORT-10</x:v>
      </x:c>
      <x:c r="B94" s="56" t="str">
        <x:v>D</x:v>
      </x:c>
      <x:c r="C94" s="56" t="str">
        <x:v>REPORT</x:v>
      </x:c>
      <x:c r="D94" s="56" t="str">
        <x:v>Pilot editorial capacity tracking</x:v>
      </x:c>
      <x:c r="E94" s="56" t="str">
        <x:v>Report Lead + Editorial</x:v>
      </x:c>
      <x:c r="F94" s="57" t="str">
        <x:v>NOT_STARTED</x:v>
      </x:c>
      <x:c r="G94" s="73" t="n">
        <x:v>2</x:v>
      </x:c>
      <x:c r="H94" s="73" t="n">
        <x:v>5</x:v>
      </x:c>
      <x:c r="I94" s="56" t="str">
        <x:v>REPORT-09</x:v>
      </x:c>
      <x:c r="J94" s="56" t="str">
        <x:v>G08</x:v>
      </x:c>
      <x:c r="K94" s="56" t="str">
        <x:v>evidence/REPORT-10/receipt.json + diff/spec/test logs</x:v>
      </x:c>
      <x:c r="L94" s="57" t="str">
        <x:v>Review SLA/cost/error feedback; chưa auto sensitive</x:v>
      </x:c>
      <x:c r="M94" s="69" t="str">
        <x:v>CHƯA PHÂN CÔNG</x:v>
      </x:c>
      <x:c r="N94" s="56" t="str">
        <x:v>packages/report/**
templates/**
tests/report/**
docs/**</x:v>
      </x:c>
      <x:c r="O94" s="56" t="str">
        <x:v>REPORT-10:template_schema
REPORT-10:snapshot_revision
REPORT-10:html_a11y
REPORT-10:pdf_docx_structure
REPORT-10:withdrawal</x:v>
      </x:c>
      <x:c r="P94" s="56" t="str">
        <x:v>evidence/tasks/REPORT-10/&lt;sha&gt;/receipt.json</x:v>
      </x:c>
      <x:c r="Q94" s="56" t="str">
        <x:v>Independent QA/Security/Legal as applicable</x:v>
      </x:c>
      <x:c r="R94" s="56" t="str">
        <x:v>Q2
Q3
Q5
Q7
Q9
Q12</x:v>
      </x:c>
      <x:c r="S94" s="56" t="str">
        <x:v>REPORT-10:filler
REPORT-10:missing_lineage
REPORT-10:stale_method
REPORT-10:unauthorized_export</x:v>
      </x:c>
      <x:c r="T94" s="56" t="str">
        <x:v>production deploy or mutation
production/real-customer data access
secret value read or output
scope outside allowed paths
approval/status invention
history rewrite</x:v>
      </x:c>
      <x:c r="U94" s="56" t="str">
        <x:v>document and rehearse scoped rollback before state-changing acceptance</x:v>
      </x:c>
      <x:c r="V94" s="56" t="str">
        <x:v>SEPARATE_APPROVAL_REQUIRED</x:v>
      </x:c>
      <x:c r="W9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94" s="56" t="str">
        <x:v>NOT_CHECKED</x:v>
      </x:c>
    </x:row>
    <x:row r="95" ht="104" hidden="0" customHeight="1">
      <x:c r="A95" s="56" t="str">
        <x:v>COMMERCE-01</x:v>
      </x:c>
      <x:c r="B95" s="56" t="str">
        <x:v>D</x:v>
      </x:c>
      <x:c r="C95" s="56" t="str">
        <x:v>COMMERCE</x:v>
      </x:c>
      <x:c r="D95" s="56" t="str">
        <x:v>SKU/pricing/quotes từ server</x:v>
      </x:c>
      <x:c r="E95" s="56" t="str">
        <x:v>Commerce + Finance + QA</x:v>
      </x:c>
      <x:c r="F95" s="57" t="str">
        <x:v>NOT_STARTED</x:v>
      </x:c>
      <x:c r="G95" s="73" t="n">
        <x:v>2</x:v>
      </x:c>
      <x:c r="H95" s="73" t="n">
        <x:v>5</x:v>
      </x:c>
      <x:c r="I95" s="56" t="str">
        <x:v>TRUST-04;GOV-03</x:v>
      </x:c>
      <x:c r="J95" s="56" t="str">
        <x:v>G09;G12</x:v>
      </x:c>
      <x:c r="K95" s="56" t="str">
        <x:v>evidence/COMMERCE-01/receipt.json + diff/spec/test logs</x:v>
      </x:c>
      <x:c r="L95" s="57" t="str">
        <x:v>Free quyền dữ liệu; price version locked</x:v>
      </x:c>
      <x:c r="M95" s="69" t="str">
        <x:v>CHƯA PHÂN CÔNG</x:v>
      </x:c>
      <x:c r="N95" s="56" t="str">
        <x:v>packages/commerce/**
apps/api/webhooks/**
tests/commerce/**
docs/**</x:v>
      </x:c>
      <x:c r="O95" s="56" t="str">
        <x:v>COMMERCE-01:order_state_machine
COMMERCE-01:signature
COMMERCE-01:idempotency
COMMERCE-01:ledger_reconciliation
COMMERCE-01:refund_dispute</x:v>
      </x:c>
      <x:c r="P95" s="56" t="str">
        <x:v>evidence/tasks/COMMERCE-01/&lt;sha&gt;/receipt.json</x:v>
      </x:c>
      <x:c r="Q95" s="56" t="str">
        <x:v>Independent QA/Security/Legal as applicable</x:v>
      </x:c>
      <x:c r="R95" s="56" t="str">
        <x:v>Q4
Q13
Q14
Q15
Q20</x:v>
      </x:c>
      <x:c r="S95" s="56" t="str">
        <x:v>COMMERCE-01:duplicate_webhook
COMMERCE-01:out_of_order
COMMERCE-01:amount_currency_mismatch
COMMERCE-01:paid_unreconciled</x:v>
      </x:c>
      <x:c r="T95" s="56" t="str">
        <x:v>production deploy or mutation
production/real-customer data access
secret value read or output
scope outside allowed paths
approval/status invention
history rewrite</x:v>
      </x:c>
      <x:c r="U95" s="56" t="str">
        <x:v>document and rehearse scoped rollback before state-changing acceptance</x:v>
      </x:c>
      <x:c r="V95" s="56" t="str">
        <x:v>SEPARATE_APPROVAL_REQUIRED</x:v>
      </x:c>
      <x:c r="W9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95" s="56" t="str">
        <x:v>NOT_CHECKED</x:v>
      </x:c>
    </x:row>
    <x:row r="96" ht="104" hidden="0" customHeight="1">
      <x:c r="A96" s="56" t="str">
        <x:v>COMMERCE-02</x:v>
      </x:c>
      <x:c r="B96" s="56" t="str">
        <x:v>D</x:v>
      </x:c>
      <x:c r="C96" s="56" t="str">
        <x:v>COMMERCE</x:v>
      </x:c>
      <x:c r="D96" s="56" t="str">
        <x:v>Payment provider legal merchant approval</x:v>
      </x:c>
      <x:c r="E96" s="56" t="str">
        <x:v>Commerce + Finance + QA</x:v>
      </x:c>
      <x:c r="F96" s="57" t="str">
        <x:v>NOT_STARTED</x:v>
      </x:c>
      <x:c r="G96" s="73" t="n">
        <x:v>2</x:v>
      </x:c>
      <x:c r="H96" s="73" t="n">
        <x:v>5</x:v>
      </x:c>
      <x:c r="I96" s="56" t="str">
        <x:v>COMMERCE-01</x:v>
      </x:c>
      <x:c r="J96" s="56" t="str">
        <x:v>G09;G12</x:v>
      </x:c>
      <x:c r="K96" s="56" t="str">
        <x:v>evidence/COMMERCE-02/receipt.json + diff/spec/test logs</x:v>
      </x:c>
      <x:c r="L96" s="57" t="str">
        <x:v>Không giả availability/đã ký hợp đồng</x:v>
      </x:c>
      <x:c r="M96" s="69" t="str">
        <x:v>CHƯA PHÂN CÔNG</x:v>
      </x:c>
      <x:c r="N96" s="56" t="str">
        <x:v>packages/commerce/**
apps/api/webhooks/**
tests/commerce/**
docs/**</x:v>
      </x:c>
      <x:c r="O96" s="56" t="str">
        <x:v>COMMERCE-02:order_state_machine
COMMERCE-02:signature
COMMERCE-02:idempotency
COMMERCE-02:ledger_reconciliation
COMMERCE-02:refund_dispute</x:v>
      </x:c>
      <x:c r="P96" s="56" t="str">
        <x:v>evidence/tasks/COMMERCE-02/&lt;sha&gt;/receipt.json</x:v>
      </x:c>
      <x:c r="Q96" s="56" t="str">
        <x:v>Independent QA/Security/Legal as applicable</x:v>
      </x:c>
      <x:c r="R96" s="56" t="str">
        <x:v>Q4
Q13
Q14
Q15
Q20</x:v>
      </x:c>
      <x:c r="S96" s="56" t="str">
        <x:v>COMMERCE-02:duplicate_webhook
COMMERCE-02:out_of_order
COMMERCE-02:amount_currency_mismatch
COMMERCE-02:paid_unreconciled</x:v>
      </x:c>
      <x:c r="T96" s="56" t="str">
        <x:v>production deploy or mutation
production/real-customer data access
secret value read or output
scope outside allowed paths
approval/status invention
history rewrite</x:v>
      </x:c>
      <x:c r="U96" s="56" t="str">
        <x:v>document and rehearse scoped rollback before state-changing acceptance</x:v>
      </x:c>
      <x:c r="V96" s="56" t="str">
        <x:v>SEPARATE_APPROVAL_REQUIRED</x:v>
      </x:c>
      <x:c r="W9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96" s="56" t="str">
        <x:v>NOT_CHECKED</x:v>
      </x:c>
    </x:row>
    <x:row r="97" ht="104" hidden="0" customHeight="1">
      <x:c r="A97" s="56" t="str">
        <x:v>COMMERCE-03</x:v>
      </x:c>
      <x:c r="B97" s="56" t="str">
        <x:v>D</x:v>
      </x:c>
      <x:c r="C97" s="56" t="str">
        <x:v>COMMERCE</x:v>
      </x:c>
      <x:c r="D97" s="56" t="str">
        <x:v>Webhook signature và raw-body check</x:v>
      </x:c>
      <x:c r="E97" s="56" t="str">
        <x:v>Commerce + Finance + QA</x:v>
      </x:c>
      <x:c r="F97" s="57" t="str">
        <x:v>NOT_STARTED</x:v>
      </x:c>
      <x:c r="G97" s="73" t="n">
        <x:v>3</x:v>
      </x:c>
      <x:c r="H97" s="73" t="n">
        <x:v>7</x:v>
      </x:c>
      <x:c r="I97" s="56" t="str">
        <x:v>COMMERCE-02</x:v>
      </x:c>
      <x:c r="J97" s="56" t="str">
        <x:v>G09;G12</x:v>
      </x:c>
      <x:c r="K97" s="56" t="str">
        <x:v>evidence/COMMERCE-03/receipt.json + diff/spec/test logs</x:v>
      </x:c>
      <x:c r="L97" s="57" t="str">
        <x:v>Sai chữ ký bị deny trước parsebusiness</x:v>
      </x:c>
      <x:c r="M97" s="69" t="str">
        <x:v>CHƯA PHÂN CÔNG</x:v>
      </x:c>
      <x:c r="N97" s="56" t="str">
        <x:v>packages/commerce/**
apps/api/webhooks/**
tests/commerce/**
docs/**</x:v>
      </x:c>
      <x:c r="O97" s="56" t="str">
        <x:v>COMMERCE-03:order_state_machine
COMMERCE-03:signature
COMMERCE-03:idempotency
COMMERCE-03:ledger_reconciliation
COMMERCE-03:refund_dispute</x:v>
      </x:c>
      <x:c r="P97" s="56" t="str">
        <x:v>evidence/tasks/COMMERCE-03/&lt;sha&gt;/receipt.json</x:v>
      </x:c>
      <x:c r="Q97" s="56" t="str">
        <x:v>Independent QA/Security/Legal as applicable</x:v>
      </x:c>
      <x:c r="R97" s="56" t="str">
        <x:v>Q4
Q13
Q14
Q15
Q20</x:v>
      </x:c>
      <x:c r="S97" s="56" t="str">
        <x:v>COMMERCE-03:duplicate_webhook
COMMERCE-03:out_of_order
COMMERCE-03:amount_currency_mismatch
COMMERCE-03:paid_unreconciled</x:v>
      </x:c>
      <x:c r="T97" s="56" t="str">
        <x:v>production deploy or mutation
production/real-customer data access
secret value read or output
scope outside allowed paths
approval/status invention
history rewrite</x:v>
      </x:c>
      <x:c r="U97" s="56" t="str">
        <x:v>document and rehearse scoped rollback before state-changing acceptance</x:v>
      </x:c>
      <x:c r="V97" s="56" t="str">
        <x:v>SEPARATE_APPROVAL_REQUIRED</x:v>
      </x:c>
      <x:c r="W9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97" s="56" t="str">
        <x:v>NOT_CHECKED</x:v>
      </x:c>
    </x:row>
    <x:row r="98" ht="104" hidden="0" customHeight="1">
      <x:c r="A98" s="56" t="str">
        <x:v>COMMERCE-04</x:v>
      </x:c>
      <x:c r="B98" s="56" t="str">
        <x:v>D</x:v>
      </x:c>
      <x:c r="C98" s="56" t="str">
        <x:v>COMMERCE</x:v>
      </x:c>
      <x:c r="D98" s="56" t="str">
        <x:v>Event replay/out-of-order/idempotency</x:v>
      </x:c>
      <x:c r="E98" s="56" t="str">
        <x:v>Commerce + Finance + QA</x:v>
      </x:c>
      <x:c r="F98" s="57" t="str">
        <x:v>NOT_STARTED</x:v>
      </x:c>
      <x:c r="G98" s="73" t="n">
        <x:v>3</x:v>
      </x:c>
      <x:c r="H98" s="73" t="n">
        <x:v>7</x:v>
      </x:c>
      <x:c r="I98" s="56" t="str">
        <x:v>COMMERCE-03</x:v>
      </x:c>
      <x:c r="J98" s="56" t="str">
        <x:v>G09;G12</x:v>
      </x:c>
      <x:c r="K98" s="56" t="str">
        <x:v>evidence/COMMERCE-04/receipt.json + diff/spec/test logs</x:v>
      </x:c>
      <x:c r="L98" s="57" t="str">
        <x:v>Một payment một effect; lưu payloadhash</x:v>
      </x:c>
      <x:c r="M98" s="69" t="str">
        <x:v>CHƯA PHÂN CÔNG</x:v>
      </x:c>
      <x:c r="N98" s="56" t="str">
        <x:v>packages/commerce/**
apps/api/webhooks/**
tests/commerce/**
docs/**</x:v>
      </x:c>
      <x:c r="O98" s="56" t="str">
        <x:v>COMMERCE-04:order_state_machine
COMMERCE-04:signature
COMMERCE-04:idempotency
COMMERCE-04:ledger_reconciliation
COMMERCE-04:refund_dispute</x:v>
      </x:c>
      <x:c r="P98" s="56" t="str">
        <x:v>evidence/tasks/COMMERCE-04/&lt;sha&gt;/receipt.json</x:v>
      </x:c>
      <x:c r="Q98" s="56" t="str">
        <x:v>Independent QA/Security/Legal as applicable</x:v>
      </x:c>
      <x:c r="R98" s="56" t="str">
        <x:v>Q4
Q13
Q14
Q15
Q20</x:v>
      </x:c>
      <x:c r="S98" s="56" t="str">
        <x:v>COMMERCE-04:duplicate_webhook
COMMERCE-04:out_of_order
COMMERCE-04:amount_currency_mismatch
COMMERCE-04:paid_unreconciled</x:v>
      </x:c>
      <x:c r="T98" s="56" t="str">
        <x:v>production deploy or mutation
production/real-customer data access
secret value read or output
scope outside allowed paths
approval/status invention
history rewrite</x:v>
      </x:c>
      <x:c r="U98" s="56" t="str">
        <x:v>document and rehearse scoped rollback before state-changing acceptance</x:v>
      </x:c>
      <x:c r="V98" s="56" t="str">
        <x:v>SEPARATE_APPROVAL_REQUIRED</x:v>
      </x:c>
      <x:c r="W9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98" s="56" t="str">
        <x:v>NOT_CHECKED</x:v>
      </x:c>
    </x:row>
    <x:row r="99" ht="104" hidden="0" customHeight="1">
      <x:c r="A99" s="56" t="str">
        <x:v>COMMERCE-05</x:v>
      </x:c>
      <x:c r="B99" s="56" t="str">
        <x:v>D</x:v>
      </x:c>
      <x:c r="C99" s="56" t="str">
        <x:v>COMMERCE</x:v>
      </x:c>
      <x:c r="D99" s="56" t="str">
        <x:v>Entitlement ledger/expiry/revoke</x:v>
      </x:c>
      <x:c r="E99" s="56" t="str">
        <x:v>Commerce + Finance + QA</x:v>
      </x:c>
      <x:c r="F99" s="57" t="str">
        <x:v>NOT_STARTED</x:v>
      </x:c>
      <x:c r="G99" s="73" t="n">
        <x:v>3</x:v>
      </x:c>
      <x:c r="H99" s="73" t="n">
        <x:v>7</x:v>
      </x:c>
      <x:c r="I99" s="56" t="str">
        <x:v>COMMERCE-04</x:v>
      </x:c>
      <x:c r="J99" s="56" t="str">
        <x:v>G09;G12</x:v>
      </x:c>
      <x:c r="K99" s="56" t="str">
        <x:v>evidence/COMMERCE-05/receipt.json + diff/spec/test logs</x:v>
      </x:c>
      <x:c r="L99" s="57" t="str">
        <x:v>Không từ successredirect; subjectgrant vẫn check</x:v>
      </x:c>
      <x:c r="M99" s="69" t="str">
        <x:v>CHƯA PHÂN CÔNG</x:v>
      </x:c>
      <x:c r="N99" s="56" t="str">
        <x:v>packages/commerce/**
apps/api/webhooks/**
tests/commerce/**
docs/**</x:v>
      </x:c>
      <x:c r="O99" s="56" t="str">
        <x:v>COMMERCE-05:order_state_machine
COMMERCE-05:signature
COMMERCE-05:idempotency
COMMERCE-05:ledger_reconciliation
COMMERCE-05:refund_dispute</x:v>
      </x:c>
      <x:c r="P99" s="56" t="str">
        <x:v>evidence/tasks/COMMERCE-05/&lt;sha&gt;/receipt.json</x:v>
      </x:c>
      <x:c r="Q99" s="56" t="str">
        <x:v>Independent QA/Security/Legal as applicable</x:v>
      </x:c>
      <x:c r="R99" s="56" t="str">
        <x:v>Q4
Q13
Q14
Q15
Q20</x:v>
      </x:c>
      <x:c r="S99" s="56" t="str">
        <x:v>COMMERCE-05:duplicate_webhook
COMMERCE-05:out_of_order
COMMERCE-05:amount_currency_mismatch
COMMERCE-05:paid_unreconciled</x:v>
      </x:c>
      <x:c r="T99" s="56" t="str">
        <x:v>production deploy or mutation
production/real-customer data access
secret value read or output
scope outside allowed paths
approval/status invention
history rewrite</x:v>
      </x:c>
      <x:c r="U99" s="56" t="str">
        <x:v>document and rehearse scoped rollback before state-changing acceptance</x:v>
      </x:c>
      <x:c r="V99" s="56" t="str">
        <x:v>SEPARATE_APPROVAL_REQUIRED</x:v>
      </x:c>
      <x:c r="W9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99" s="56" t="str">
        <x:v>NOT_CHECKED</x:v>
      </x:c>
    </x:row>
    <x:row r="100" ht="104" hidden="0" customHeight="1">
      <x:c r="A100" s="56" t="str">
        <x:v>COMMERCE-06</x:v>
      </x:c>
      <x:c r="B100" s="56" t="str">
        <x:v>D</x:v>
      </x:c>
      <x:c r="C100" s="56" t="str">
        <x:v>COMMERCE</x:v>
      </x:c>
      <x:c r="D100" s="56" t="str">
        <x:v>Refund/cancel/dispute state machine</x:v>
      </x:c>
      <x:c r="E100" s="56" t="str">
        <x:v>Commerce + Finance + QA</x:v>
      </x:c>
      <x:c r="F100" s="57" t="str">
        <x:v>NOT_STARTED</x:v>
      </x:c>
      <x:c r="G100" s="73" t="n">
        <x:v>3</x:v>
      </x:c>
      <x:c r="H100" s="73" t="n">
        <x:v>7</x:v>
      </x:c>
      <x:c r="I100" s="56" t="str">
        <x:v>COMMERCE-05</x:v>
      </x:c>
      <x:c r="J100" s="56" t="str">
        <x:v>G09;G12</x:v>
      </x:c>
      <x:c r="K100" s="56" t="str">
        <x:v>evidence/COMMERCE-06/receipt.json + diff/spec/test logs</x:v>
      </x:c>
      <x:c r="L100" s="57" t="str">
        <x:v>Policy giới hạn, auditable, no AI arbitrary money</x:v>
      </x:c>
      <x:c r="M100" s="69" t="str">
        <x:v>CHƯA PHÂN CÔNG</x:v>
      </x:c>
      <x:c r="N100" s="56" t="str">
        <x:v>packages/commerce/**
apps/api/webhooks/**
tests/commerce/**
docs/**</x:v>
      </x:c>
      <x:c r="O100" s="56" t="str">
        <x:v>COMMERCE-06:order_state_machine
COMMERCE-06:signature
COMMERCE-06:idempotency
COMMERCE-06:ledger_reconciliation
COMMERCE-06:refund_dispute</x:v>
      </x:c>
      <x:c r="P100" s="56" t="str">
        <x:v>evidence/tasks/COMMERCE-06/&lt;sha&gt;/receipt.json</x:v>
      </x:c>
      <x:c r="Q100" s="56" t="str">
        <x:v>Independent QA/Security/Legal as applicable</x:v>
      </x:c>
      <x:c r="R100" s="56" t="str">
        <x:v>Q4
Q13
Q14
Q15
Q20</x:v>
      </x:c>
      <x:c r="S100" s="56" t="str">
        <x:v>COMMERCE-06:duplicate_webhook
COMMERCE-06:out_of_order
COMMERCE-06:amount_currency_mismatch
COMMERCE-06:paid_unreconciled</x:v>
      </x:c>
      <x:c r="T100" s="56" t="str">
        <x:v>production deploy or mutation
production/real-customer data access
secret value read or output
scope outside allowed paths
approval/status invention
history rewrite</x:v>
      </x:c>
      <x:c r="U100" s="56" t="str">
        <x:v>document and rehearse scoped rollback before state-changing acceptance</x:v>
      </x:c>
      <x:c r="V100" s="56" t="str">
        <x:v>SEPARATE_APPROVAL_REQUIRED</x:v>
      </x:c>
      <x:c r="W10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00" s="56" t="str">
        <x:v>NOT_CHECKED</x:v>
      </x:c>
    </x:row>
    <x:row r="101" ht="104" hidden="0" customHeight="1">
      <x:c r="A101" s="56" t="str">
        <x:v>COMMERCE-07</x:v>
      </x:c>
      <x:c r="B101" s="56" t="str">
        <x:v>D</x:v>
      </x:c>
      <x:c r="C101" s="56" t="str">
        <x:v>COMMERCE</x:v>
      </x:c>
      <x:c r="D101" s="56" t="str">
        <x:v>Invoice/receipt/consumer disclosures</x:v>
      </x:c>
      <x:c r="E101" s="56" t="str">
        <x:v>Commerce + Finance + QA</x:v>
      </x:c>
      <x:c r="F101" s="57" t="str">
        <x:v>NOT_STARTED</x:v>
      </x:c>
      <x:c r="G101" s="73" t="n">
        <x:v>3</x:v>
      </x:c>
      <x:c r="H101" s="73" t="n">
        <x:v>7</x:v>
      </x:c>
      <x:c r="I101" s="56" t="str">
        <x:v>COMMERCE-06</x:v>
      </x:c>
      <x:c r="J101" s="56" t="str">
        <x:v>G09;G12</x:v>
      </x:c>
      <x:c r="K101" s="56" t="str">
        <x:v>evidence/COMMERCE-07/receipt.json + diff/spec/test logs</x:v>
      </x:c>
      <x:c r="L101" s="57" t="str">
        <x:v>Scope/delivery/revisions/tax theo entity duyệt</x:v>
      </x:c>
      <x:c r="M101" s="69" t="str">
        <x:v>CHƯA PHÂN CÔNG</x:v>
      </x:c>
      <x:c r="N101" s="56" t="str">
        <x:v>packages/commerce/**
apps/api/webhooks/**
tests/commerce/**
docs/**</x:v>
      </x:c>
      <x:c r="O101" s="56" t="str">
        <x:v>COMMERCE-07:order_state_machine
COMMERCE-07:signature
COMMERCE-07:idempotency
COMMERCE-07:ledger_reconciliation
COMMERCE-07:refund_dispute</x:v>
      </x:c>
      <x:c r="P101" s="56" t="str">
        <x:v>evidence/tasks/COMMERCE-07/&lt;sha&gt;/receipt.json</x:v>
      </x:c>
      <x:c r="Q101" s="56" t="str">
        <x:v>Independent QA/Security/Legal as applicable</x:v>
      </x:c>
      <x:c r="R101" s="56" t="str">
        <x:v>Q4
Q13
Q14
Q15
Q20</x:v>
      </x:c>
      <x:c r="S101" s="56" t="str">
        <x:v>COMMERCE-07:duplicate_webhook
COMMERCE-07:out_of_order
COMMERCE-07:amount_currency_mismatch
COMMERCE-07:paid_unreconciled</x:v>
      </x:c>
      <x:c r="T101" s="56" t="str">
        <x:v>production deploy or mutation
production/real-customer data access
secret value read or output
scope outside allowed paths
approval/status invention
history rewrite</x:v>
      </x:c>
      <x:c r="U101" s="56" t="str">
        <x:v>document and rehearse scoped rollback before state-changing acceptance</x:v>
      </x:c>
      <x:c r="V101" s="56" t="str">
        <x:v>SEPARATE_APPROVAL_REQUIRED</x:v>
      </x:c>
      <x:c r="W10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01" s="56" t="str">
        <x:v>NOT_CHECKED</x:v>
      </x:c>
    </x:row>
    <x:row r="102" ht="104" hidden="0" customHeight="1">
      <x:c r="A102" s="56" t="str">
        <x:v>COMMERCE-08</x:v>
      </x:c>
      <x:c r="B102" s="56" t="str">
        <x:v>D</x:v>
      </x:c>
      <x:c r="C102" s="56" t="str">
        <x:v>COMMERCE</x:v>
      </x:c>
      <x:c r="D102" s="56" t="str">
        <x:v>Support ticket/status/escalation</x:v>
      </x:c>
      <x:c r="E102" s="56" t="str">
        <x:v>Commerce + Finance + QA</x:v>
      </x:c>
      <x:c r="F102" s="57" t="str">
        <x:v>NOT_STARTED</x:v>
      </x:c>
      <x:c r="G102" s="73" t="n">
        <x:v>3</x:v>
      </x:c>
      <x:c r="H102" s="73" t="n">
        <x:v>7</x:v>
      </x:c>
      <x:c r="I102" s="56" t="str">
        <x:v>COMMERCE-07</x:v>
      </x:c>
      <x:c r="J102" s="56" t="str">
        <x:v>G09;G12</x:v>
      </x:c>
      <x:c r="K102" s="56" t="str">
        <x:v>evidence/COMMERCE-08/receipt.json + diff/spec/test logs</x:v>
      </x:c>
      <x:c r="L102" s="57" t="str">
        <x:v>Không đọc journal nếu không cần</x:v>
      </x:c>
      <x:c r="M102" s="69" t="str">
        <x:v>CHƯA PHÂN CÔNG</x:v>
      </x:c>
      <x:c r="N102" s="56" t="str">
        <x:v>packages/commerce/**
apps/api/webhooks/**
tests/commerce/**
docs/**</x:v>
      </x:c>
      <x:c r="O102" s="56" t="str">
        <x:v>COMMERCE-08:order_state_machine
COMMERCE-08:signature
COMMERCE-08:idempotency
COMMERCE-08:ledger_reconciliation
COMMERCE-08:refund_dispute</x:v>
      </x:c>
      <x:c r="P102" s="56" t="str">
        <x:v>evidence/tasks/COMMERCE-08/&lt;sha&gt;/receipt.json</x:v>
      </x:c>
      <x:c r="Q102" s="56" t="str">
        <x:v>Independent QA/Security/Legal as applicable</x:v>
      </x:c>
      <x:c r="R102" s="56" t="str">
        <x:v>Q4
Q13
Q14
Q15
Q20</x:v>
      </x:c>
      <x:c r="S102" s="56" t="str">
        <x:v>COMMERCE-08:duplicate_webhook
COMMERCE-08:out_of_order
COMMERCE-08:amount_currency_mismatch
COMMERCE-08:paid_unreconciled</x:v>
      </x:c>
      <x:c r="T102" s="56" t="str">
        <x:v>production deploy or mutation
production/real-customer data access
secret value read or output
scope outside allowed paths
approval/status invention
history rewrite</x:v>
      </x:c>
      <x:c r="U102" s="56" t="str">
        <x:v>document and rehearse scoped rollback before state-changing acceptance</x:v>
      </x:c>
      <x:c r="V102" s="56" t="str">
        <x:v>SEPARATE_APPROVAL_REQUIRED</x:v>
      </x:c>
      <x:c r="W10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02" s="56" t="str">
        <x:v>NOT_CHECKED</x:v>
      </x:c>
    </x:row>
    <x:row r="103" ht="104" hidden="0" customHeight="1">
      <x:c r="A103" s="56" t="str">
        <x:v>COMMERCE-09</x:v>
      </x:c>
      <x:c r="B103" s="56" t="str">
        <x:v>D</x:v>
      </x:c>
      <x:c r="C103" s="56" t="str">
        <x:v>COMMERCE</x:v>
      </x:c>
      <x:c r="D103" s="56" t="str">
        <x:v>Free/paid unit economics load pilot</x:v>
      </x:c>
      <x:c r="E103" s="56" t="str">
        <x:v>Commerce + Finance + QA</x:v>
      </x:c>
      <x:c r="F103" s="57" t="str">
        <x:v>NOT_STARTED</x:v>
      </x:c>
      <x:c r="G103" s="73" t="n">
        <x:v>3</x:v>
      </x:c>
      <x:c r="H103" s="73" t="n">
        <x:v>7</x:v>
      </x:c>
      <x:c r="I103" s="56" t="str">
        <x:v>COMMERCE-08</x:v>
      </x:c>
      <x:c r="J103" s="56" t="str">
        <x:v>G09;G12</x:v>
      </x:c>
      <x:c r="K103" s="56" t="str">
        <x:v>evidence/COMMERCE-09/receipt.json + diff/spec/test logs</x:v>
      </x:c>
      <x:c r="L103" s="57" t="str">
        <x:v>Costinputs thực thay assumptions, caps enforce</x:v>
      </x:c>
      <x:c r="M103" s="69" t="str">
        <x:v>CHƯA PHÂN CÔNG</x:v>
      </x:c>
      <x:c r="N103" s="56" t="str">
        <x:v>packages/commerce/**
apps/api/webhooks/**
tests/commerce/**
docs/**</x:v>
      </x:c>
      <x:c r="O103" s="56" t="str">
        <x:v>COMMERCE-09:order_state_machine
COMMERCE-09:signature
COMMERCE-09:idempotency
COMMERCE-09:ledger_reconciliation
COMMERCE-09:refund_dispute</x:v>
      </x:c>
      <x:c r="P103" s="56" t="str">
        <x:v>evidence/tasks/COMMERCE-09/&lt;sha&gt;/receipt.json</x:v>
      </x:c>
      <x:c r="Q103" s="56" t="str">
        <x:v>Independent QA/Security/Legal as applicable</x:v>
      </x:c>
      <x:c r="R103" s="56" t="str">
        <x:v>Q4
Q13
Q14
Q15
Q20</x:v>
      </x:c>
      <x:c r="S103" s="56" t="str">
        <x:v>COMMERCE-09:duplicate_webhook
COMMERCE-09:out_of_order
COMMERCE-09:amount_currency_mismatch
COMMERCE-09:paid_unreconciled</x:v>
      </x:c>
      <x:c r="T103" s="56" t="str">
        <x:v>production deploy or mutation
production/real-customer data access
secret value read or output
scope outside allowed paths
approval/status invention
history rewrite</x:v>
      </x:c>
      <x:c r="U103" s="56" t="str">
        <x:v>document and rehearse scoped rollback before state-changing acceptance</x:v>
      </x:c>
      <x:c r="V103" s="56" t="str">
        <x:v>SEPARATE_APPROVAL_REQUIRED</x:v>
      </x:c>
      <x:c r="W10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03" s="56" t="str">
        <x:v>NOT_CHECKED</x:v>
      </x:c>
    </x:row>
    <x:row r="104" ht="104" hidden="0" customHeight="1">
      <x:c r="A104" s="56" t="str">
        <x:v>COMMERCE-10</x:v>
      </x:c>
      <x:c r="B104" s="56" t="str">
        <x:v>D</x:v>
      </x:c>
      <x:c r="C104" s="56" t="str">
        <x:v>COMMERCE</x:v>
      </x:c>
      <x:c r="D104" s="56" t="str">
        <x:v>Payment-to-report complete staging flow</x:v>
      </x:c>
      <x:c r="E104" s="56" t="str">
        <x:v>Commerce + Finance + QA</x:v>
      </x:c>
      <x:c r="F104" s="57" t="str">
        <x:v>NOT_STARTED</x:v>
      </x:c>
      <x:c r="G104" s="73" t="n">
        <x:v>2</x:v>
      </x:c>
      <x:c r="H104" s="73" t="n">
        <x:v>5</x:v>
      </x:c>
      <x:c r="I104" s="56" t="str">
        <x:v>COMMERCE-09</x:v>
      </x:c>
      <x:c r="J104" s="56" t="str">
        <x:v>G09;G12</x:v>
      </x:c>
      <x:c r="K104" s="56" t="str">
        <x:v>evidence/COMMERCE-10/receipt.json + diff/spec/test logs</x:v>
      </x:c>
      <x:c r="L104" s="57" t="str">
        <x:v>Paid nhưng notready không giả delivered</x:v>
      </x:c>
      <x:c r="M104" s="69" t="str">
        <x:v>CHƯA PHÂN CÔNG</x:v>
      </x:c>
      <x:c r="N104" s="56" t="str">
        <x:v>packages/commerce/**
apps/api/webhooks/**
tests/commerce/**
docs/**</x:v>
      </x:c>
      <x:c r="O104" s="56" t="str">
        <x:v>COMMERCE-10:order_state_machine
COMMERCE-10:signature
COMMERCE-10:idempotency
COMMERCE-10:ledger_reconciliation
COMMERCE-10:refund_dispute</x:v>
      </x:c>
      <x:c r="P104" s="56" t="str">
        <x:v>evidence/tasks/COMMERCE-10/&lt;sha&gt;/receipt.json</x:v>
      </x:c>
      <x:c r="Q104" s="56" t="str">
        <x:v>Independent QA/Security/Legal as applicable</x:v>
      </x:c>
      <x:c r="R104" s="56" t="str">
        <x:v>Q4
Q13
Q14
Q15
Q20</x:v>
      </x:c>
      <x:c r="S104" s="56" t="str">
        <x:v>COMMERCE-10:duplicate_webhook
COMMERCE-10:out_of_order
COMMERCE-10:amount_currency_mismatch
COMMERCE-10:paid_unreconciled</x:v>
      </x:c>
      <x:c r="T104" s="56" t="str">
        <x:v>production deploy or mutation
production/real-customer data access
secret value read or output
scope outside allowed paths
approval/status invention
history rewrite</x:v>
      </x:c>
      <x:c r="U104" s="56" t="str">
        <x:v>document and rehearse scoped rollback before state-changing acceptance</x:v>
      </x:c>
      <x:c r="V104" s="56" t="str">
        <x:v>SEPARATE_APPROVAL_REQUIRED</x:v>
      </x:c>
      <x:c r="W10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04" s="56" t="str">
        <x:v>NOT_CHECKED</x:v>
      </x:c>
    </x:row>
    <x:row r="105" ht="104" hidden="0" customHeight="1">
      <x:c r="A105" s="56" t="str">
        <x:v>OPS-01</x:v>
      </x:c>
      <x:c r="B105" s="56" t="str">
        <x:v>D</x:v>
      </x:c>
      <x:c r="C105" s="56" t="str">
        <x:v>OPS</x:v>
      </x:c>
      <x:c r="D105" s="56" t="str">
        <x:v>CI required tests/secret/dependency scans</x:v>
      </x:c>
      <x:c r="E105" s="56" t="str">
        <x:v>SRE + Security + QA</x:v>
      </x:c>
      <x:c r="F105" s="57" t="str">
        <x:v>NOT_STARTED</x:v>
      </x:c>
      <x:c r="G105" s="73" t="n">
        <x:v>2</x:v>
      </x:c>
      <x:c r="H105" s="73" t="n">
        <x:v>5</x:v>
      </x:c>
      <x:c r="I105" s="56" t="str">
        <x:v>P0-10</x:v>
      </x:c>
      <x:c r="J105" s="56" t="str">
        <x:v>G01;G10;G11;G12</x:v>
      </x:c>
      <x:c r="K105" s="56" t="str">
        <x:v>evidence/OPS-01/receipt.json + diff/spec/test logs</x:v>
      </x:c>
      <x:c r="L105" s="57" t="str">
        <x:v>No dirty deploy; protected review evidence</x:v>
      </x:c>
      <x:c r="M105" s="69" t="str">
        <x:v>CHƯA PHÂN CÔNG</x:v>
      </x:c>
      <x:c r="N105" s="56" t="str">
        <x:v>.github/workflows/**
infra/**
scripts/ops/**
tests/ops/**
docs/**
evidence/**</x:v>
      </x:c>
      <x:c r="O105" s="56" t="str">
        <x:v>OPS-01:ci_required
OPS-01:artifact_integrity
OPS-01:observability_redaction
OPS-01:load_fault
OPS-01:restore_rollback</x:v>
      </x:c>
      <x:c r="P105" s="56" t="str">
        <x:v>evidence/tasks/OPS-01/&lt;sha&gt;/receipt.json</x:v>
      </x:c>
      <x:c r="Q105" s="56" t="str">
        <x:v>Independent QA/Security/Legal as applicable</x:v>
      </x:c>
      <x:c r="R105" s="56" t="str">
        <x:v>Q9
Q15
Q20</x:v>
      </x:c>
      <x:c r="S105" s="56" t="str">
        <x:v>OPS-01:dirty_artifact
OPS-01:secret_log
OPS-01:restore_mismatch
OPS-01:rollback_failure</x:v>
      </x:c>
      <x:c r="T105" s="56" t="str">
        <x:v>production deploy or mutation
production/real-customer data access
secret value read or output
scope outside allowed paths
approval/status invention
history rewrite</x:v>
      </x:c>
      <x:c r="U105" s="56" t="str">
        <x:v>document and rehearse scoped rollback before state-changing acceptance</x:v>
      </x:c>
      <x:c r="V105" s="56" t="str">
        <x:v>SEPARATE_APPROVAL_REQUIRED</x:v>
      </x:c>
      <x:c r="W10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05" s="56" t="str">
        <x:v>NOT_CHECKED</x:v>
      </x:c>
    </x:row>
    <x:row r="106" ht="104" hidden="0" customHeight="1">
      <x:c r="A106" s="56" t="str">
        <x:v>OPS-02</x:v>
      </x:c>
      <x:c r="B106" s="56" t="str">
        <x:v>D</x:v>
      </x:c>
      <x:c r="C106" s="56" t="str">
        <x:v>OPS</x:v>
      </x:c>
      <x:c r="D106" s="56" t="str">
        <x:v>Pages allowlist/artifact integrity</x:v>
      </x:c>
      <x:c r="E106" s="56" t="str">
        <x:v>SRE + Security + QA</x:v>
      </x:c>
      <x:c r="F106" s="57" t="str">
        <x:v>NOT_STARTED</x:v>
      </x:c>
      <x:c r="G106" s="73" t="n">
        <x:v>2</x:v>
      </x:c>
      <x:c r="H106" s="73" t="n">
        <x:v>5</x:v>
      </x:c>
      <x:c r="I106" s="56" t="str">
        <x:v>OPS-01</x:v>
      </x:c>
      <x:c r="J106" s="56" t="str">
        <x:v>G01;G10;G11;G12</x:v>
      </x:c>
      <x:c r="K106" s="56" t="str">
        <x:v>evidence/OPS-02/receipt.json + diff/spec/test logs</x:v>
      </x:c>
      <x:c r="L106" s="57" t="str">
        <x:v>Chỉ assets public; docs/api không vô tình xuất</x:v>
      </x:c>
      <x:c r="M106" s="69" t="str">
        <x:v>CHƯA PHÂN CÔNG</x:v>
      </x:c>
      <x:c r="N106" s="56" t="str">
        <x:v>.github/workflows/**
infra/**
scripts/ops/**
tests/ops/**
docs/**
evidence/**</x:v>
      </x:c>
      <x:c r="O106" s="56" t="str">
        <x:v>OPS-02:ci_required
OPS-02:artifact_integrity
OPS-02:observability_redaction
OPS-02:load_fault
OPS-02:restore_rollback</x:v>
      </x:c>
      <x:c r="P106" s="56" t="str">
        <x:v>evidence/tasks/OPS-02/&lt;sha&gt;/receipt.json</x:v>
      </x:c>
      <x:c r="Q106" s="56" t="str">
        <x:v>Independent QA/Security/Legal as applicable</x:v>
      </x:c>
      <x:c r="R106" s="56" t="str">
        <x:v>Q9
Q15
Q20</x:v>
      </x:c>
      <x:c r="S106" s="56" t="str">
        <x:v>OPS-02:dirty_artifact
OPS-02:secret_log
OPS-02:restore_mismatch
OPS-02:rollback_failure</x:v>
      </x:c>
      <x:c r="T106" s="56" t="str">
        <x:v>production deploy or mutation
production/real-customer data access
secret value read or output
scope outside allowed paths
approval/status invention
history rewrite</x:v>
      </x:c>
      <x:c r="U106" s="56" t="str">
        <x:v>document and rehearse scoped rollback before state-changing acceptance</x:v>
      </x:c>
      <x:c r="V106" s="56" t="str">
        <x:v>SEPARATE_APPROVAL_REQUIRED</x:v>
      </x:c>
      <x:c r="W10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06" s="56" t="str">
        <x:v>NOT_CHECKED</x:v>
      </x:c>
    </x:row>
    <x:row r="107" ht="104" hidden="0" customHeight="1">
      <x:c r="A107" s="56" t="str">
        <x:v>OPS-03</x:v>
      </x:c>
      <x:c r="B107" s="56" t="str">
        <x:v>D</x:v>
      </x:c>
      <x:c r="C107" s="56" t="str">
        <x:v>OPS</x:v>
      </x:c>
      <x:c r="D107" s="56" t="str">
        <x:v>Worker/Pages deployment receipts</x:v>
      </x:c>
      <x:c r="E107" s="56" t="str">
        <x:v>SRE + Security + QA</x:v>
      </x:c>
      <x:c r="F107" s="57" t="str">
        <x:v>NOT_STARTED</x:v>
      </x:c>
      <x:c r="G107" s="73" t="n">
        <x:v>3</x:v>
      </x:c>
      <x:c r="H107" s="73" t="n">
        <x:v>7</x:v>
      </x:c>
      <x:c r="I107" s="56" t="str">
        <x:v>OPS-02</x:v>
      </x:c>
      <x:c r="J107" s="56" t="str">
        <x:v>G01;G10;G11;G12</x:v>
      </x:c>
      <x:c r="K107" s="56" t="str">
        <x:v>evidence/OPS-03/receipt.json + diff/spec/test logs</x:v>
      </x:c>
      <x:c r="L107" s="57" t="str">
        <x:v>SHA/artifact/config/schema/env/version nối nhau</x:v>
      </x:c>
      <x:c r="M107" s="69" t="str">
        <x:v>CHƯA PHÂN CÔNG</x:v>
      </x:c>
      <x:c r="N107" s="56" t="str">
        <x:v>.github/workflows/**
infra/**
scripts/ops/**
tests/ops/**
docs/**
evidence/**</x:v>
      </x:c>
      <x:c r="O107" s="56" t="str">
        <x:v>OPS-03:ci_required
OPS-03:artifact_integrity
OPS-03:observability_redaction
OPS-03:load_fault
OPS-03:restore_rollback</x:v>
      </x:c>
      <x:c r="P107" s="56" t="str">
        <x:v>evidence/tasks/OPS-03/&lt;sha&gt;/receipt.json</x:v>
      </x:c>
      <x:c r="Q107" s="56" t="str">
        <x:v>Independent QA/Security/Legal as applicable</x:v>
      </x:c>
      <x:c r="R107" s="56" t="str">
        <x:v>Q9
Q15
Q20</x:v>
      </x:c>
      <x:c r="S107" s="56" t="str">
        <x:v>OPS-03:dirty_artifact
OPS-03:secret_log
OPS-03:restore_mismatch
OPS-03:rollback_failure</x:v>
      </x:c>
      <x:c r="T107" s="56" t="str">
        <x:v>production deploy or mutation
production/real-customer data access
secret value read or output
scope outside allowed paths
approval/status invention
history rewrite</x:v>
      </x:c>
      <x:c r="U107" s="56" t="str">
        <x:v>document and rehearse scoped rollback before state-changing acceptance</x:v>
      </x:c>
      <x:c r="V107" s="56" t="str">
        <x:v>SEPARATE_APPROVAL_REQUIRED</x:v>
      </x:c>
      <x:c r="W10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07" s="56" t="str">
        <x:v>NOT_CHECKED</x:v>
      </x:c>
    </x:row>
    <x:row r="108" ht="104" hidden="0" customHeight="1">
      <x:c r="A108" s="56" t="str">
        <x:v>OPS-04</x:v>
      </x:c>
      <x:c r="B108" s="56" t="str">
        <x:v>D</x:v>
      </x:c>
      <x:c r="C108" s="56" t="str">
        <x:v>OPS</x:v>
      </x:c>
      <x:c r="D108" s="56" t="str">
        <x:v>Observability privacy-safe</x:v>
      </x:c>
      <x:c r="E108" s="56" t="str">
        <x:v>SRE + Security + QA</x:v>
      </x:c>
      <x:c r="F108" s="57" t="str">
        <x:v>NOT_STARTED</x:v>
      </x:c>
      <x:c r="G108" s="73" t="n">
        <x:v>3</x:v>
      </x:c>
      <x:c r="H108" s="73" t="n">
        <x:v>7</x:v>
      </x:c>
      <x:c r="I108" s="56" t="str">
        <x:v>OPS-03</x:v>
      </x:c>
      <x:c r="J108" s="56" t="str">
        <x:v>G01;G10;G11;G12</x:v>
      </x:c>
      <x:c r="K108" s="56" t="str">
        <x:v>evidence/OPS-04/receipt.json + diff/spec/test logs</x:v>
      </x:c>
      <x:c r="L108" s="57" t="str">
        <x:v>No raw PI/tokens/presignedURL; trace IDs</x:v>
      </x:c>
      <x:c r="M108" s="69" t="str">
        <x:v>CHƯA PHÂN CÔNG</x:v>
      </x:c>
      <x:c r="N108" s="56" t="str">
        <x:v>.github/workflows/**
infra/**
scripts/ops/**
tests/ops/**
docs/**
evidence/**</x:v>
      </x:c>
      <x:c r="O108" s="56" t="str">
        <x:v>OPS-04:ci_required
OPS-04:artifact_integrity
OPS-04:observability_redaction
OPS-04:load_fault
OPS-04:restore_rollback</x:v>
      </x:c>
      <x:c r="P108" s="56" t="str">
        <x:v>evidence/tasks/OPS-04/&lt;sha&gt;/receipt.json</x:v>
      </x:c>
      <x:c r="Q108" s="56" t="str">
        <x:v>Independent QA/Security/Legal as applicable</x:v>
      </x:c>
      <x:c r="R108" s="56" t="str">
        <x:v>Q9
Q15
Q20</x:v>
      </x:c>
      <x:c r="S108" s="56" t="str">
        <x:v>OPS-04:dirty_artifact
OPS-04:secret_log
OPS-04:restore_mismatch
OPS-04:rollback_failure</x:v>
      </x:c>
      <x:c r="T108" s="56" t="str">
        <x:v>production deploy or mutation
production/real-customer data access
secret value read or output
scope outside allowed paths
approval/status invention
history rewrite</x:v>
      </x:c>
      <x:c r="U108" s="56" t="str">
        <x:v>document and rehearse scoped rollback before state-changing acceptance</x:v>
      </x:c>
      <x:c r="V108" s="56" t="str">
        <x:v>SEPARATE_APPROVAL_REQUIRED</x:v>
      </x:c>
      <x:c r="W10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08" s="56" t="str">
        <x:v>NOT_CHECKED</x:v>
      </x:c>
    </x:row>
    <x:row r="109" ht="104" hidden="0" customHeight="1">
      <x:c r="A109" s="56" t="str">
        <x:v>OPS-05</x:v>
      </x:c>
      <x:c r="B109" s="56" t="str">
        <x:v>D</x:v>
      </x:c>
      <x:c r="C109" s="56" t="str">
        <x:v>OPS</x:v>
      </x:c>
      <x:c r="D109" s="56" t="str">
        <x:v>Load/fault tests queue and AI providers</x:v>
      </x:c>
      <x:c r="E109" s="56" t="str">
        <x:v>SRE + Security + QA</x:v>
      </x:c>
      <x:c r="F109" s="57" t="str">
        <x:v>NOT_STARTED</x:v>
      </x:c>
      <x:c r="G109" s="73" t="n">
        <x:v>3</x:v>
      </x:c>
      <x:c r="H109" s="73" t="n">
        <x:v>7</x:v>
      </x:c>
      <x:c r="I109" s="56" t="str">
        <x:v>OPS-04</x:v>
      </x:c>
      <x:c r="J109" s="56" t="str">
        <x:v>G01;G10;G11;G12</x:v>
      </x:c>
      <x:c r="K109" s="56" t="str">
        <x:v>evidence/OPS-05/receipt.json + diff/spec/test logs</x:v>
      </x:c>
      <x:c r="L109" s="57" t="str">
        <x:v>Retry limits/DLQ/circuitbreakers đo được</x:v>
      </x:c>
      <x:c r="M109" s="69" t="str">
        <x:v>CHƯA PHÂN CÔNG</x:v>
      </x:c>
      <x:c r="N109" s="56" t="str">
        <x:v>.github/workflows/**
infra/**
scripts/ops/**
tests/ops/**
docs/**
evidence/**</x:v>
      </x:c>
      <x:c r="O109" s="56" t="str">
        <x:v>OPS-05:ci_required
OPS-05:artifact_integrity
OPS-05:observability_redaction
OPS-05:load_fault
OPS-05:restore_rollback</x:v>
      </x:c>
      <x:c r="P109" s="56" t="str">
        <x:v>evidence/tasks/OPS-05/&lt;sha&gt;/receipt.json</x:v>
      </x:c>
      <x:c r="Q109" s="56" t="str">
        <x:v>Independent QA/Security/Legal as applicable</x:v>
      </x:c>
      <x:c r="R109" s="56" t="str">
        <x:v>Q9
Q15
Q20</x:v>
      </x:c>
      <x:c r="S109" s="56" t="str">
        <x:v>OPS-05:dirty_artifact
OPS-05:secret_log
OPS-05:restore_mismatch
OPS-05:rollback_failure</x:v>
      </x:c>
      <x:c r="T109" s="56" t="str">
        <x:v>production deploy or mutation
production/real-customer data access
secret value read or output
scope outside allowed paths
approval/status invention
history rewrite</x:v>
      </x:c>
      <x:c r="U109" s="56" t="str">
        <x:v>document and rehearse scoped rollback before state-changing acceptance</x:v>
      </x:c>
      <x:c r="V109" s="56" t="str">
        <x:v>SEPARATE_APPROVAL_REQUIRED</x:v>
      </x:c>
      <x:c r="W10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09" s="56" t="str">
        <x:v>NOT_CHECKED</x:v>
      </x:c>
    </x:row>
    <x:row r="110" ht="104" hidden="0" customHeight="1">
      <x:c r="A110" s="56" t="str">
        <x:v>OPS-06</x:v>
      </x:c>
      <x:c r="B110" s="56" t="str">
        <x:v>D</x:v>
      </x:c>
      <x:c r="C110" s="56" t="str">
        <x:v>OPS</x:v>
      </x:c>
      <x:c r="D110" s="56" t="str">
        <x:v>Backup restore drill và RPO/RTO</x:v>
      </x:c>
      <x:c r="E110" s="56" t="str">
        <x:v>SRE + Security + QA</x:v>
      </x:c>
      <x:c r="F110" s="57" t="str">
        <x:v>NOT_STARTED</x:v>
      </x:c>
      <x:c r="G110" s="73" t="n">
        <x:v>3</x:v>
      </x:c>
      <x:c r="H110" s="73" t="n">
        <x:v>7</x:v>
      </x:c>
      <x:c r="I110" s="56" t="str">
        <x:v>OPS-05</x:v>
      </x:c>
      <x:c r="J110" s="56" t="str">
        <x:v>G01;G10;G11;G12</x:v>
      </x:c>
      <x:c r="K110" s="56" t="str">
        <x:v>evidence/OPS-06/receipt.json + diff/spec/test logs</x:v>
      </x:c>
      <x:c r="L110" s="57" t="str">
        <x:v>Đo thời gian và replaydeletions trước mở</x:v>
      </x:c>
      <x:c r="M110" s="69" t="str">
        <x:v>CHƯA PHÂN CÔNG</x:v>
      </x:c>
      <x:c r="N110" s="56" t="str">
        <x:v>.github/workflows/**
infra/**
scripts/ops/**
tests/ops/**
docs/**
evidence/**</x:v>
      </x:c>
      <x:c r="O110" s="56" t="str">
        <x:v>OPS-06:ci_required
OPS-06:artifact_integrity
OPS-06:observability_redaction
OPS-06:load_fault
OPS-06:restore_rollback</x:v>
      </x:c>
      <x:c r="P110" s="56" t="str">
        <x:v>evidence/tasks/OPS-06/&lt;sha&gt;/receipt.json</x:v>
      </x:c>
      <x:c r="Q110" s="56" t="str">
        <x:v>Independent QA/Security/Legal as applicable</x:v>
      </x:c>
      <x:c r="R110" s="56" t="str">
        <x:v>Q9
Q15
Q20</x:v>
      </x:c>
      <x:c r="S110" s="56" t="str">
        <x:v>OPS-06:dirty_artifact
OPS-06:secret_log
OPS-06:restore_mismatch
OPS-06:rollback_failure</x:v>
      </x:c>
      <x:c r="T110" s="56" t="str">
        <x:v>production deploy or mutation
production/real-customer data access
secret value read or output
scope outside allowed paths
approval/status invention
history rewrite</x:v>
      </x:c>
      <x:c r="U110" s="56" t="str">
        <x:v>document and rehearse scoped rollback before state-changing acceptance</x:v>
      </x:c>
      <x:c r="V110" s="56" t="str">
        <x:v>SEPARATE_APPROVAL_REQUIRED</x:v>
      </x:c>
      <x:c r="W11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10" s="56" t="str">
        <x:v>NOT_CHECKED</x:v>
      </x:c>
    </x:row>
    <x:row r="111" ht="104" hidden="0" customHeight="1">
      <x:c r="A111" s="56" t="str">
        <x:v>OPS-07</x:v>
      </x:c>
      <x:c r="B111" s="56" t="str">
        <x:v>D</x:v>
      </x:c>
      <x:c r="C111" s="56" t="str">
        <x:v>OPS</x:v>
      </x:c>
      <x:c r="D111" s="56" t="str">
        <x:v>Incident tabletop và breach decision path</x:v>
      </x:c>
      <x:c r="E111" s="56" t="str">
        <x:v>SRE + Security + QA</x:v>
      </x:c>
      <x:c r="F111" s="57" t="str">
        <x:v>NOT_STARTED</x:v>
      </x:c>
      <x:c r="G111" s="73" t="n">
        <x:v>3</x:v>
      </x:c>
      <x:c r="H111" s="73" t="n">
        <x:v>7</x:v>
      </x:c>
      <x:c r="I111" s="56" t="str">
        <x:v>OPS-06</x:v>
      </x:c>
      <x:c r="J111" s="56" t="str">
        <x:v>G01;G10;G11;G12</x:v>
      </x:c>
      <x:c r="K111" s="56" t="str">
        <x:v>evidence/OPS-07/receipt.json + diff/spec/test logs</x:v>
      </x:c>
      <x:c r="L111" s="57" t="str">
        <x:v>Role/clock/evidence/legal/comms có rehearsal</x:v>
      </x:c>
      <x:c r="M111" s="69" t="str">
        <x:v>CHƯA PHÂN CÔNG</x:v>
      </x:c>
      <x:c r="N111" s="56" t="str">
        <x:v>.github/workflows/**
infra/**
scripts/ops/**
tests/ops/**
docs/**
evidence/**</x:v>
      </x:c>
      <x:c r="O111" s="56" t="str">
        <x:v>OPS-07:ci_required
OPS-07:artifact_integrity
OPS-07:observability_redaction
OPS-07:load_fault
OPS-07:restore_rollback</x:v>
      </x:c>
      <x:c r="P111" s="56" t="str">
        <x:v>evidence/tasks/OPS-07/&lt;sha&gt;/receipt.json</x:v>
      </x:c>
      <x:c r="Q111" s="56" t="str">
        <x:v>Independent QA/Security/Legal as applicable</x:v>
      </x:c>
      <x:c r="R111" s="56" t="str">
        <x:v>Q9
Q15
Q20</x:v>
      </x:c>
      <x:c r="S111" s="56" t="str">
        <x:v>OPS-07:dirty_artifact
OPS-07:secret_log
OPS-07:restore_mismatch
OPS-07:rollback_failure</x:v>
      </x:c>
      <x:c r="T111" s="56" t="str">
        <x:v>production deploy or mutation
production/real-customer data access
secret value read or output
scope outside allowed paths
approval/status invention
history rewrite</x:v>
      </x:c>
      <x:c r="U111" s="56" t="str">
        <x:v>document and rehearse scoped rollback before state-changing acceptance</x:v>
      </x:c>
      <x:c r="V111" s="56" t="str">
        <x:v>SEPARATE_APPROVAL_REQUIRED</x:v>
      </x:c>
      <x:c r="W11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11" s="56" t="str">
        <x:v>NOT_CHECKED</x:v>
      </x:c>
    </x:row>
    <x:row r="112" ht="104" hidden="0" customHeight="1">
      <x:c r="A112" s="56" t="str">
        <x:v>OPS-08</x:v>
      </x:c>
      <x:c r="B112" s="56" t="str">
        <x:v>D</x:v>
      </x:c>
      <x:c r="C112" s="56" t="str">
        <x:v>OPS</x:v>
      </x:c>
      <x:c r="D112" s="56" t="str">
        <x:v>Independent security test/retest</x:v>
      </x:c>
      <x:c r="E112" s="56" t="str">
        <x:v>SRE + Security + QA</x:v>
      </x:c>
      <x:c r="F112" s="57" t="str">
        <x:v>NOT_STARTED</x:v>
      </x:c>
      <x:c r="G112" s="73" t="n">
        <x:v>3</x:v>
      </x:c>
      <x:c r="H112" s="73" t="n">
        <x:v>7</x:v>
      </x:c>
      <x:c r="I112" s="56" t="str">
        <x:v>OPS-07</x:v>
      </x:c>
      <x:c r="J112" s="56" t="str">
        <x:v>G01;G10;G11;G12</x:v>
      </x:c>
      <x:c r="K112" s="56" t="str">
        <x:v>evidence/OPS-08/receipt.json + diff/spec/test logs</x:v>
      </x:c>
      <x:c r="L112" s="57" t="str">
        <x:v>No unresolved critical auth/data findings</x:v>
      </x:c>
      <x:c r="M112" s="69" t="str">
        <x:v>CHƯA PHÂN CÔNG</x:v>
      </x:c>
      <x:c r="N112" s="56" t="str">
        <x:v>.github/workflows/**
infra/**
scripts/ops/**
tests/ops/**
docs/**
evidence/**</x:v>
      </x:c>
      <x:c r="O112" s="56" t="str">
        <x:v>OPS-08:ci_required
OPS-08:artifact_integrity
OPS-08:observability_redaction
OPS-08:load_fault
OPS-08:restore_rollback</x:v>
      </x:c>
      <x:c r="P112" s="56" t="str">
        <x:v>evidence/tasks/OPS-08/&lt;sha&gt;/receipt.json</x:v>
      </x:c>
      <x:c r="Q112" s="56" t="str">
        <x:v>Independent QA/Security/Legal as applicable</x:v>
      </x:c>
      <x:c r="R112" s="56" t="str">
        <x:v>Q9
Q15
Q20</x:v>
      </x:c>
      <x:c r="S112" s="56" t="str">
        <x:v>OPS-08:dirty_artifact
OPS-08:secret_log
OPS-08:restore_mismatch
OPS-08:rollback_failure</x:v>
      </x:c>
      <x:c r="T112" s="56" t="str">
        <x:v>production deploy or mutation
production/real-customer data access
secret value read or output
scope outside allowed paths
approval/status invention
history rewrite</x:v>
      </x:c>
      <x:c r="U112" s="56" t="str">
        <x:v>document and rehearse scoped rollback before state-changing acceptance</x:v>
      </x:c>
      <x:c r="V112" s="56" t="str">
        <x:v>SEPARATE_APPROVAL_REQUIRED</x:v>
      </x:c>
      <x:c r="W11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12" s="56" t="str">
        <x:v>NOT_CHECKED</x:v>
      </x:c>
    </x:row>
    <x:row r="113" ht="104" hidden="0" customHeight="1">
      <x:c r="A113" s="56" t="str">
        <x:v>OPS-09</x:v>
      </x:c>
      <x:c r="B113" s="56" t="str">
        <x:v>D</x:v>
      </x:c>
      <x:c r="C113" s="56" t="str">
        <x:v>OPS</x:v>
      </x:c>
      <x:c r="D113" s="56" t="str">
        <x:v>Canary rollout và safe rollback</x:v>
      </x:c>
      <x:c r="E113" s="56" t="str">
        <x:v>SRE + Security + QA</x:v>
      </x:c>
      <x:c r="F113" s="57" t="str">
        <x:v>NOT_STARTED</x:v>
      </x:c>
      <x:c r="G113" s="73" t="n">
        <x:v>3</x:v>
      </x:c>
      <x:c r="H113" s="73" t="n">
        <x:v>7</x:v>
      </x:c>
      <x:c r="I113" s="56" t="str">
        <x:v>OPS-08</x:v>
      </x:c>
      <x:c r="J113" s="56" t="str">
        <x:v>G01;G10;G11;G12</x:v>
      </x:c>
      <x:c r="K113" s="56" t="str">
        <x:v>evidence/OPS-09/receipt.json + diff/spec/test logs</x:v>
      </x:c>
      <x:c r="L113" s="57" t="str">
        <x:v>Không rollback vào vulnerable legacy</x:v>
      </x:c>
      <x:c r="M113" s="69" t="str">
        <x:v>CHƯA PHÂN CÔNG</x:v>
      </x:c>
      <x:c r="N113" s="56" t="str">
        <x:v>.github/workflows/**
infra/**
scripts/ops/**
tests/ops/**
docs/**
evidence/**</x:v>
      </x:c>
      <x:c r="O113" s="56" t="str">
        <x:v>OPS-09:ci_required
OPS-09:artifact_integrity
OPS-09:observability_redaction
OPS-09:load_fault
OPS-09:restore_rollback</x:v>
      </x:c>
      <x:c r="P113" s="56" t="str">
        <x:v>evidence/tasks/OPS-09/&lt;sha&gt;/receipt.json</x:v>
      </x:c>
      <x:c r="Q113" s="56" t="str">
        <x:v>Independent QA/Security/Legal as applicable</x:v>
      </x:c>
      <x:c r="R113" s="56" t="str">
        <x:v>Q9
Q15
Q20</x:v>
      </x:c>
      <x:c r="S113" s="56" t="str">
        <x:v>OPS-09:dirty_artifact
OPS-09:secret_log
OPS-09:restore_mismatch
OPS-09:rollback_failure</x:v>
      </x:c>
      <x:c r="T113" s="56" t="str">
        <x:v>production deploy or mutation
production/real-customer data access
secret value read or output
scope outside allowed paths
approval/status invention
history rewrite</x:v>
      </x:c>
      <x:c r="U113" s="56" t="str">
        <x:v>document and rehearse scoped rollback before state-changing acceptance</x:v>
      </x:c>
      <x:c r="V113" s="56" t="str">
        <x:v>SEPARATE_APPROVAL_REQUIRED</x:v>
      </x:c>
      <x:c r="W11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13" s="56" t="str">
        <x:v>NOT_CHECKED</x:v>
      </x:c>
    </x:row>
    <x:row r="114" ht="104" hidden="0" customHeight="1">
      <x:c r="A114" s="56" t="str">
        <x:v>OPS-10</x:v>
      </x:c>
      <x:c r="B114" s="56" t="str">
        <x:v>D</x:v>
      </x:c>
      <x:c r="C114" s="56" t="str">
        <x:v>OPS</x:v>
      </x:c>
      <x:c r="D114" s="56" t="str">
        <x:v>GO/NO_GO packet paid pilot</x:v>
      </x:c>
      <x:c r="E114" s="56" t="str">
        <x:v>SRE + Security + QA</x:v>
      </x:c>
      <x:c r="F114" s="57" t="str">
        <x:v>NOT_STARTED</x:v>
      </x:c>
      <x:c r="G114" s="73" t="n">
        <x:v>2</x:v>
      </x:c>
      <x:c r="H114" s="73" t="n">
        <x:v>5</x:v>
      </x:c>
      <x:c r="I114" s="56" t="str">
        <x:v>OPS-09</x:v>
      </x:c>
      <x:c r="J114" s="56" t="str">
        <x:v>G01;G10;G11;G12</x:v>
      </x:c>
      <x:c r="K114" s="56" t="str">
        <x:v>evidence/OPS-10/receipt.json + diff/spec/test logs</x:v>
      </x:c>
      <x:c r="L114" s="57" t="str">
        <x:v>Cả12gates applicable có evidence và signatures</x:v>
      </x:c>
      <x:c r="M114" s="69" t="str">
        <x:v>CHƯA PHÂN CÔNG</x:v>
      </x:c>
      <x:c r="N114" s="56" t="str">
        <x:v>.github/workflows/**
infra/**
scripts/ops/**
tests/ops/**
docs/**
evidence/**</x:v>
      </x:c>
      <x:c r="O114" s="56" t="str">
        <x:v>OPS-10:ci_required
OPS-10:artifact_integrity
OPS-10:observability_redaction
OPS-10:load_fault
OPS-10:restore_rollback</x:v>
      </x:c>
      <x:c r="P114" s="56" t="str">
        <x:v>evidence/tasks/OPS-10/&lt;sha&gt;/receipt.json</x:v>
      </x:c>
      <x:c r="Q114" s="56" t="str">
        <x:v>Independent QA/Security/Legal as applicable</x:v>
      </x:c>
      <x:c r="R114" s="56" t="str">
        <x:v>Q9
Q15
Q20</x:v>
      </x:c>
      <x:c r="S114" s="56" t="str">
        <x:v>OPS-10:dirty_artifact
OPS-10:secret_log
OPS-10:restore_mismatch
OPS-10:rollback_failure</x:v>
      </x:c>
      <x:c r="T114" s="56" t="str">
        <x:v>production deploy or mutation
production/real-customer data access
secret value read or output
scope outside allowed paths
approval/status invention
history rewrite</x:v>
      </x:c>
      <x:c r="U114" s="56" t="str">
        <x:v>document and rehearse scoped rollback before state-changing acceptance</x:v>
      </x:c>
      <x:c r="V114" s="56" t="str">
        <x:v>SEPARATE_APPROVAL_REQUIRED</x:v>
      </x:c>
      <x:c r="W11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14" s="56" t="str">
        <x:v>NOT_CHECKED</x:v>
      </x:c>
    </x:row>
    <x:row r="115" ht="104" hidden="0" customHeight="1">
      <x:c r="A115" s="56" t="str">
        <x:v>ACADEMY-01</x:v>
      </x:c>
      <x:c r="B115" s="56" t="str">
        <x:v>E</x:v>
      </x:c>
      <x:c r="C115" s="56" t="str">
        <x:v>ACADEMY</x:v>
      </x:c>
      <x:c r="D115" s="56" t="str">
        <x:v>Curriculum9buổi120phút và outcomes</x:v>
      </x:c>
      <x:c r="E115" s="56" t="str">
        <x:v>Academic + Practice Lead</x:v>
      </x:c>
      <x:c r="F115" s="57" t="str">
        <x:v>NOT_STARTED</x:v>
      </x:c>
      <x:c r="G115" s="73" t="n">
        <x:v>2</x:v>
      </x:c>
      <x:c r="H115" s="73" t="n">
        <x:v>5</x:v>
      </x:c>
      <x:c r="I115" s="56" t="str">
        <x:v>GOV-07;REPORT-01</x:v>
      </x:c>
      <x:c r="J115" s="56" t="str">
        <x:v>G04;G06;G08;G12</x:v>
      </x:c>
      <x:c r="K115" s="56" t="str">
        <x:v>evidence/ACADEMY-01/receipt.json + diff/spec/test logs</x:v>
      </x:c>
      <x:c r="L115" s="57" t="str">
        <x:v>Mỗi buổi có bài tập/rubric/source</x:v>
      </x:c>
      <x:c r="M115" s="69" t="str">
        <x:v>CHƯA PHÂN CÔNG</x:v>
      </x:c>
      <x:c r="N115" s="56" t="str">
        <x:v>apps/web/academy/**
packages/academy/**
content/academy/**
tests/academy/**
docs/**</x:v>
      </x:c>
      <x:c r="O115" s="56" t="str">
        <x:v>ACADEMY-01:curriculum_version
ACADEMY-01:enrollment_assignment
ACADEMY-01:rubric
ACADEMY-01:certificate_verify_revoke</x:v>
      </x:c>
      <x:c r="P115" s="56" t="str">
        <x:v>evidence/tasks/ACADEMY-01/&lt;sha&gt;/receipt.json</x:v>
      </x:c>
      <x:c r="Q115" s="56" t="str">
        <x:v>Independent QA/Security/Legal as applicable</x:v>
      </x:c>
      <x:c r="R115" s="56" t="str">
        <x:v>Q3
Q12
Q17
Q20</x:v>
      </x:c>
      <x:c r="S115" s="56" t="str">
        <x:v>ACADEMY-01:unlicensed_content
ACADEMY-01:private_verify_payload
ACADEMY-01:scope_overclaim</x:v>
      </x:c>
      <x:c r="T115" s="56" t="str">
        <x:v>production deploy or mutation
production/real-customer data access
secret value read or output
scope outside allowed paths
approval/status invention
history rewrite</x:v>
      </x:c>
      <x:c r="U115" s="56" t="str">
        <x:v>document and rehearse scoped rollback before state-changing acceptance</x:v>
      </x:c>
      <x:c r="V115" s="56" t="str">
        <x:v>SEPARATE_APPROVAL_REQUIRED</x:v>
      </x:c>
      <x:c r="W11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15" s="56" t="str">
        <x:v>NOT_CHECKED</x:v>
      </x:c>
    </x:row>
    <x:row r="116" ht="104" hidden="0" customHeight="1">
      <x:c r="A116" s="56" t="str">
        <x:v>ACADEMY-02</x:v>
      </x:c>
      <x:c r="B116" s="56" t="str">
        <x:v>E</x:v>
      </x:c>
      <x:c r="C116" s="56" t="str">
        <x:v>ACADEMY</x:v>
      </x:c>
      <x:c r="D116" s="56" t="str">
        <x:v>Course content licensing và locale review</x:v>
      </x:c>
      <x:c r="E116" s="56" t="str">
        <x:v>Academic + Practice Lead</x:v>
      </x:c>
      <x:c r="F116" s="57" t="str">
        <x:v>NOT_STARTED</x:v>
      </x:c>
      <x:c r="G116" s="73" t="n">
        <x:v>2</x:v>
      </x:c>
      <x:c r="H116" s="73" t="n">
        <x:v>5</x:v>
      </x:c>
      <x:c r="I116" s="56" t="str">
        <x:v>ACADEMY-01</x:v>
      </x:c>
      <x:c r="J116" s="56" t="str">
        <x:v>G04;G06;G08;G12</x:v>
      </x:c>
      <x:c r="K116" s="56" t="str">
        <x:v>evidence/ACADEMY-02/receipt.json + diff/spec/test logs</x:v>
      </x:c>
      <x:c r="L116" s="57" t="str">
        <x:v>Không fulltext unlicensed; biết phần chưa đọc</x:v>
      </x:c>
      <x:c r="M116" s="69" t="str">
        <x:v>CHƯA PHÂN CÔNG</x:v>
      </x:c>
      <x:c r="N116" s="56" t="str">
        <x:v>apps/web/academy/**
packages/academy/**
content/academy/**
tests/academy/**
docs/**</x:v>
      </x:c>
      <x:c r="O116" s="56" t="str">
        <x:v>ACADEMY-02:curriculum_version
ACADEMY-02:enrollment_assignment
ACADEMY-02:rubric
ACADEMY-02:certificate_verify_revoke</x:v>
      </x:c>
      <x:c r="P116" s="56" t="str">
        <x:v>evidence/tasks/ACADEMY-02/&lt;sha&gt;/receipt.json</x:v>
      </x:c>
      <x:c r="Q116" s="56" t="str">
        <x:v>Independent QA/Security/Legal as applicable</x:v>
      </x:c>
      <x:c r="R116" s="56" t="str">
        <x:v>Q3
Q12
Q17
Q20</x:v>
      </x:c>
      <x:c r="S116" s="56" t="str">
        <x:v>ACADEMY-02:unlicensed_content
ACADEMY-02:private_verify_payload
ACADEMY-02:scope_overclaim</x:v>
      </x:c>
      <x:c r="T116" s="56" t="str">
        <x:v>production deploy or mutation
production/real-customer data access
secret value read or output
scope outside allowed paths
approval/status invention
history rewrite</x:v>
      </x:c>
      <x:c r="U116" s="56" t="str">
        <x:v>document and rehearse scoped rollback before state-changing acceptance</x:v>
      </x:c>
      <x:c r="V116" s="56" t="str">
        <x:v>SEPARATE_APPROVAL_REQUIRED</x:v>
      </x:c>
      <x:c r="W11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16" s="56" t="str">
        <x:v>NOT_CHECKED</x:v>
      </x:c>
    </x:row>
    <x:row r="117" ht="104" hidden="0" customHeight="1">
      <x:c r="A117" s="56" t="str">
        <x:v>ACADEMY-03</x:v>
      </x:c>
      <x:c r="B117" s="56" t="str">
        <x:v>E</x:v>
      </x:c>
      <x:c r="C117" s="56" t="str">
        <x:v>ACADEMY</x:v>
      </x:c>
      <x:c r="D117" s="56" t="str">
        <x:v>Enrollment/schedule/learning UI</x:v>
      </x:c>
      <x:c r="E117" s="56" t="str">
        <x:v>Academic + Practice Lead</x:v>
      </x:c>
      <x:c r="F117" s="57" t="str">
        <x:v>NOT_STARTED</x:v>
      </x:c>
      <x:c r="G117" s="73" t="n">
        <x:v>3</x:v>
      </x:c>
      <x:c r="H117" s="73" t="n">
        <x:v>7</x:v>
      </x:c>
      <x:c r="I117" s="56" t="str">
        <x:v>ACADEMY-02</x:v>
      </x:c>
      <x:c r="J117" s="56" t="str">
        <x:v>G04;G06;G08;G12</x:v>
      </x:c>
      <x:c r="K117" s="56" t="str">
        <x:v>evidence/ACADEMY-03/receipt.json + diff/spec/test logs</x:v>
      </x:c>
      <x:c r="L117" s="57" t="str">
        <x:v>Dates current bycohort, không tự oldlaunch</x:v>
      </x:c>
      <x:c r="M117" s="69" t="str">
        <x:v>CHƯA PHÂN CÔNG</x:v>
      </x:c>
      <x:c r="N117" s="56" t="str">
        <x:v>apps/web/academy/**
packages/academy/**
content/academy/**
tests/academy/**
docs/**</x:v>
      </x:c>
      <x:c r="O117" s="56" t="str">
        <x:v>ACADEMY-03:curriculum_version
ACADEMY-03:enrollment_assignment
ACADEMY-03:rubric
ACADEMY-03:certificate_verify_revoke</x:v>
      </x:c>
      <x:c r="P117" s="56" t="str">
        <x:v>evidence/tasks/ACADEMY-03/&lt;sha&gt;/receipt.json</x:v>
      </x:c>
      <x:c r="Q117" s="56" t="str">
        <x:v>Independent QA/Security/Legal as applicable</x:v>
      </x:c>
      <x:c r="R117" s="56" t="str">
        <x:v>Q3
Q12
Q17
Q20</x:v>
      </x:c>
      <x:c r="S117" s="56" t="str">
        <x:v>ACADEMY-03:unlicensed_content
ACADEMY-03:private_verify_payload
ACADEMY-03:scope_overclaim</x:v>
      </x:c>
      <x:c r="T117" s="56" t="str">
        <x:v>production deploy or mutation
production/real-customer data access
secret value read or output
scope outside allowed paths
approval/status invention
history rewrite</x:v>
      </x:c>
      <x:c r="U117" s="56" t="str">
        <x:v>document and rehearse scoped rollback before state-changing acceptance</x:v>
      </x:c>
      <x:c r="V117" s="56" t="str">
        <x:v>SEPARATE_APPROVAL_REQUIRED</x:v>
      </x:c>
      <x:c r="W11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17" s="56" t="str">
        <x:v>NOT_CHECKED</x:v>
      </x:c>
    </x:row>
    <x:row r="118" ht="104" hidden="0" customHeight="1">
      <x:c r="A118" s="56" t="str">
        <x:v>ACADEMY-04</x:v>
      </x:c>
      <x:c r="B118" s="56" t="str">
        <x:v>E</x:v>
      </x:c>
      <x:c r="C118" s="56" t="str">
        <x:v>ACADEMY</x:v>
      </x:c>
      <x:c r="D118" s="56" t="str">
        <x:v>Assessment/calculation/ethics rubric</x:v>
      </x:c>
      <x:c r="E118" s="56" t="str">
        <x:v>Academic + Practice Lead</x:v>
      </x:c>
      <x:c r="F118" s="57" t="str">
        <x:v>NOT_STARTED</x:v>
      </x:c>
      <x:c r="G118" s="73" t="n">
        <x:v>3</x:v>
      </x:c>
      <x:c r="H118" s="73" t="n">
        <x:v>7</x:v>
      </x:c>
      <x:c r="I118" s="56" t="str">
        <x:v>ACADEMY-03</x:v>
      </x:c>
      <x:c r="J118" s="56" t="str">
        <x:v>G04;G06;G08;G12</x:v>
      </x:c>
      <x:c r="K118" s="56" t="str">
        <x:v>evidence/ACADEMY-04/receipt.json + diff/spec/test logs</x:v>
      </x:c>
      <x:c r="L118" s="57" t="str">
        <x:v>Fail hard on privacy/fabrication/medicalclaim</x:v>
      </x:c>
      <x:c r="M118" s="69" t="str">
        <x:v>CHƯA PHÂN CÔNG</x:v>
      </x:c>
      <x:c r="N118" s="56" t="str">
        <x:v>apps/web/academy/**
packages/academy/**
content/academy/**
tests/academy/**
docs/**</x:v>
      </x:c>
      <x:c r="O118" s="56" t="str">
        <x:v>ACADEMY-04:curriculum_version
ACADEMY-04:enrollment_assignment
ACADEMY-04:rubric
ACADEMY-04:certificate_verify_revoke</x:v>
      </x:c>
      <x:c r="P118" s="56" t="str">
        <x:v>evidence/tasks/ACADEMY-04/&lt;sha&gt;/receipt.json</x:v>
      </x:c>
      <x:c r="Q118" s="56" t="str">
        <x:v>Independent QA/Security/Legal as applicable</x:v>
      </x:c>
      <x:c r="R118" s="56" t="str">
        <x:v>Q3
Q12
Q17
Q20</x:v>
      </x:c>
      <x:c r="S118" s="56" t="str">
        <x:v>ACADEMY-04:unlicensed_content
ACADEMY-04:private_verify_payload
ACADEMY-04:scope_overclaim</x:v>
      </x:c>
      <x:c r="T118" s="56" t="str">
        <x:v>production deploy or mutation
production/real-customer data access
secret value read or output
scope outside allowed paths
approval/status invention
history rewrite</x:v>
      </x:c>
      <x:c r="U118" s="56" t="str">
        <x:v>document and rehearse scoped rollback before state-changing acceptance</x:v>
      </x:c>
      <x:c r="V118" s="56" t="str">
        <x:v>SEPARATE_APPROVAL_REQUIRED</x:v>
      </x:c>
      <x:c r="W11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18" s="56" t="str">
        <x:v>NOT_CHECKED</x:v>
      </x:c>
    </x:row>
    <x:row r="119" ht="104" hidden="0" customHeight="1">
      <x:c r="A119" s="56" t="str">
        <x:v>ACADEMY-05</x:v>
      </x:c>
      <x:c r="B119" s="56" t="str">
        <x:v>E</x:v>
      </x:c>
      <x:c r="C119" s="56" t="str">
        <x:v>ACADEMY</x:v>
      </x:c>
      <x:c r="D119" s="56" t="str">
        <x:v>Supervised practitioner case workflow</x:v>
      </x:c>
      <x:c r="E119" s="56" t="str">
        <x:v>Academic + Practice Lead</x:v>
      </x:c>
      <x:c r="F119" s="57" t="str">
        <x:v>NOT_STARTED</x:v>
      </x:c>
      <x:c r="G119" s="73" t="n">
        <x:v>3</x:v>
      </x:c>
      <x:c r="H119" s="73" t="n">
        <x:v>7</x:v>
      </x:c>
      <x:c r="I119" s="56" t="str">
        <x:v>ACADEMY-04</x:v>
      </x:c>
      <x:c r="J119" s="56" t="str">
        <x:v>G04;G06;G08;G12</x:v>
      </x:c>
      <x:c r="K119" s="56" t="str">
        <x:v>evidence/ACADEMY-05/receipt.json + diff/spec/test logs</x:v>
      </x:c>
      <x:c r="L119" s="57" t="str">
        <x:v>Scope/glossary/reviewer/grant đầy đủ</x:v>
      </x:c>
      <x:c r="M119" s="69" t="str">
        <x:v>CHƯA PHÂN CÔNG</x:v>
      </x:c>
      <x:c r="N119" s="56" t="str">
        <x:v>apps/web/academy/**
packages/academy/**
content/academy/**
tests/academy/**
docs/**</x:v>
      </x:c>
      <x:c r="O119" s="56" t="str">
        <x:v>ACADEMY-05:curriculum_version
ACADEMY-05:enrollment_assignment
ACADEMY-05:rubric
ACADEMY-05:certificate_verify_revoke</x:v>
      </x:c>
      <x:c r="P119" s="56" t="str">
        <x:v>evidence/tasks/ACADEMY-05/&lt;sha&gt;/receipt.json</x:v>
      </x:c>
      <x:c r="Q119" s="56" t="str">
        <x:v>Independent QA/Security/Legal as applicable</x:v>
      </x:c>
      <x:c r="R119" s="56" t="str">
        <x:v>Q3
Q12
Q17
Q20</x:v>
      </x:c>
      <x:c r="S119" s="56" t="str">
        <x:v>ACADEMY-05:unlicensed_content
ACADEMY-05:private_verify_payload
ACADEMY-05:scope_overclaim</x:v>
      </x:c>
      <x:c r="T119" s="56" t="str">
        <x:v>production deploy or mutation
production/real-customer data access
secret value read or output
scope outside allowed paths
approval/status invention
history rewrite</x:v>
      </x:c>
      <x:c r="U119" s="56" t="str">
        <x:v>document and rehearse scoped rollback before state-changing acceptance</x:v>
      </x:c>
      <x:c r="V119" s="56" t="str">
        <x:v>SEPARATE_APPROVAL_REQUIRED</x:v>
      </x:c>
      <x:c r="W11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19" s="56" t="str">
        <x:v>NOT_CHECKED</x:v>
      </x:c>
    </x:row>
    <x:row r="120" ht="104" hidden="0" customHeight="1">
      <x:c r="A120" s="56" t="str">
        <x:v>ACADEMY-06</x:v>
      </x:c>
      <x:c r="B120" s="56" t="str">
        <x:v>E</x:v>
      </x:c>
      <x:c r="C120" s="56" t="str">
        <x:v>ACADEMY</x:v>
      </x:c>
      <x:c r="D120" s="56" t="str">
        <x:v>Internal certificate issue/revoke/verify</x:v>
      </x:c>
      <x:c r="E120" s="56" t="str">
        <x:v>Academic + Practice Lead</x:v>
      </x:c>
      <x:c r="F120" s="57" t="str">
        <x:v>NOT_STARTED</x:v>
      </x:c>
      <x:c r="G120" s="73" t="n">
        <x:v>3</x:v>
      </x:c>
      <x:c r="H120" s="73" t="n">
        <x:v>7</x:v>
      </x:c>
      <x:c r="I120" s="56" t="str">
        <x:v>ACADEMY-05</x:v>
      </x:c>
      <x:c r="J120" s="56" t="str">
        <x:v>G04;G06;G08;G12</x:v>
      </x:c>
      <x:c r="K120" s="56" t="str">
        <x:v>evidence/ACADEMY-06/receipt.json + diff/spec/test logs</x:v>
      </x:c>
      <x:c r="L120" s="57" t="str">
        <x:v>Không đại diện clinical license; expired clear</x:v>
      </x:c>
      <x:c r="M120" s="69" t="str">
        <x:v>CHƯA PHÂN CÔNG</x:v>
      </x:c>
      <x:c r="N120" s="56" t="str">
        <x:v>apps/web/academy/**
packages/academy/**
content/academy/**
tests/academy/**
docs/**</x:v>
      </x:c>
      <x:c r="O120" s="56" t="str">
        <x:v>ACADEMY-06:curriculum_version
ACADEMY-06:enrollment_assignment
ACADEMY-06:rubric
ACADEMY-06:certificate_verify_revoke</x:v>
      </x:c>
      <x:c r="P120" s="56" t="str">
        <x:v>evidence/tasks/ACADEMY-06/&lt;sha&gt;/receipt.json</x:v>
      </x:c>
      <x:c r="Q120" s="56" t="str">
        <x:v>Independent QA/Security/Legal as applicable</x:v>
      </x:c>
      <x:c r="R120" s="56" t="str">
        <x:v>Q3
Q12
Q17
Q20</x:v>
      </x:c>
      <x:c r="S120" s="56" t="str">
        <x:v>ACADEMY-06:unlicensed_content
ACADEMY-06:private_verify_payload
ACADEMY-06:scope_overclaim</x:v>
      </x:c>
      <x:c r="T120" s="56" t="str">
        <x:v>production deploy or mutation
production/real-customer data access
secret value read or output
scope outside allowed paths
approval/status invention
history rewrite</x:v>
      </x:c>
      <x:c r="U120" s="56" t="str">
        <x:v>document and rehearse scoped rollback before state-changing acceptance</x:v>
      </x:c>
      <x:c r="V120" s="56" t="str">
        <x:v>SEPARATE_APPROVAL_REQUIRED</x:v>
      </x:c>
      <x:c r="W12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20" s="56" t="str">
        <x:v>NOT_CHECKED</x:v>
      </x:c>
    </x:row>
    <x:row r="121" ht="104" hidden="0" customHeight="1">
      <x:c r="A121" s="56" t="str">
        <x:v>ACADEMY-07</x:v>
      </x:c>
      <x:c r="B121" s="56" t="str">
        <x:v>E</x:v>
      </x:c>
      <x:c r="C121" s="56" t="str">
        <x:v>ACADEMY</x:v>
      </x:c>
      <x:c r="D121" s="56" t="str">
        <x:v>Practitioner billing and calendar adapter</x:v>
      </x:c>
      <x:c r="E121" s="56" t="str">
        <x:v>Academic + Practice Lead</x:v>
      </x:c>
      <x:c r="F121" s="57" t="str">
        <x:v>NOT_STARTED</x:v>
      </x:c>
      <x:c r="G121" s="73" t="n">
        <x:v>3</x:v>
      </x:c>
      <x:c r="H121" s="73" t="n">
        <x:v>7</x:v>
      </x:c>
      <x:c r="I121" s="56" t="str">
        <x:v>ACADEMY-06</x:v>
      </x:c>
      <x:c r="J121" s="56" t="str">
        <x:v>G04;G06;G08;G12</x:v>
      </x:c>
      <x:c r="K121" s="56" t="str">
        <x:v>evidence/ACADEMY-07/receipt.json + diff/spec/test logs</x:v>
      </x:c>
      <x:c r="L121" s="57" t="str">
        <x:v>Không quyền thừa, doublebooking handled</x:v>
      </x:c>
      <x:c r="M121" s="69" t="str">
        <x:v>CHƯA PHÂN CÔNG</x:v>
      </x:c>
      <x:c r="N121" s="56" t="str">
        <x:v>apps/web/academy/**
packages/academy/**
content/academy/**
tests/academy/**
docs/**</x:v>
      </x:c>
      <x:c r="O121" s="56" t="str">
        <x:v>ACADEMY-07:curriculum_version
ACADEMY-07:enrollment_assignment
ACADEMY-07:rubric
ACADEMY-07:certificate_verify_revoke</x:v>
      </x:c>
      <x:c r="P121" s="56" t="str">
        <x:v>evidence/tasks/ACADEMY-07/&lt;sha&gt;/receipt.json</x:v>
      </x:c>
      <x:c r="Q121" s="56" t="str">
        <x:v>Independent QA/Security/Legal as applicable</x:v>
      </x:c>
      <x:c r="R121" s="56" t="str">
        <x:v>Q3
Q12
Q17
Q20</x:v>
      </x:c>
      <x:c r="S121" s="56" t="str">
        <x:v>ACADEMY-07:unlicensed_content
ACADEMY-07:private_verify_payload
ACADEMY-07:scope_overclaim</x:v>
      </x:c>
      <x:c r="T121" s="56" t="str">
        <x:v>production deploy or mutation
production/real-customer data access
secret value read or output
scope outside allowed paths
approval/status invention
history rewrite</x:v>
      </x:c>
      <x:c r="U121" s="56" t="str">
        <x:v>document and rehearse scoped rollback before state-changing acceptance</x:v>
      </x:c>
      <x:c r="V121" s="56" t="str">
        <x:v>SEPARATE_APPROVAL_REQUIRED</x:v>
      </x:c>
      <x:c r="W12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21" s="56" t="str">
        <x:v>NOT_CHECKED</x:v>
      </x:c>
    </x:row>
    <x:row r="122" ht="104" hidden="0" customHeight="1">
      <x:c r="A122" s="56" t="str">
        <x:v>ACADEMY-08</x:v>
      </x:c>
      <x:c r="B122" s="56" t="str">
        <x:v>E</x:v>
      </x:c>
      <x:c r="C122" s="56" t="str">
        <x:v>ACADEMY</x:v>
      </x:c>
      <x:c r="D122" s="56" t="str">
        <x:v>Trainer approval và updates by version</x:v>
      </x:c>
      <x:c r="E122" s="56" t="str">
        <x:v>Academic + Practice Lead</x:v>
      </x:c>
      <x:c r="F122" s="57" t="str">
        <x:v>NOT_STARTED</x:v>
      </x:c>
      <x:c r="G122" s="73" t="n">
        <x:v>3</x:v>
      </x:c>
      <x:c r="H122" s="73" t="n">
        <x:v>7</x:v>
      </x:c>
      <x:c r="I122" s="56" t="str">
        <x:v>ACADEMY-07</x:v>
      </x:c>
      <x:c r="J122" s="56" t="str">
        <x:v>G04;G06;G08;G12</x:v>
      </x:c>
      <x:c r="K122" s="56" t="str">
        <x:v>evidence/ACADEMY-08/receipt.json + diff/spec/test logs</x:v>
      </x:c>
      <x:c r="L122" s="57" t="str">
        <x:v>Rule retired kéo theo học liệu review</x:v>
      </x:c>
      <x:c r="M122" s="69" t="str">
        <x:v>CHƯA PHÂN CÔNG</x:v>
      </x:c>
      <x:c r="N122" s="56" t="str">
        <x:v>apps/web/academy/**
packages/academy/**
content/academy/**
tests/academy/**
docs/**</x:v>
      </x:c>
      <x:c r="O122" s="56" t="str">
        <x:v>ACADEMY-08:curriculum_version
ACADEMY-08:enrollment_assignment
ACADEMY-08:rubric
ACADEMY-08:certificate_verify_revoke</x:v>
      </x:c>
      <x:c r="P122" s="56" t="str">
        <x:v>evidence/tasks/ACADEMY-08/&lt;sha&gt;/receipt.json</x:v>
      </x:c>
      <x:c r="Q122" s="56" t="str">
        <x:v>Independent QA/Security/Legal as applicable</x:v>
      </x:c>
      <x:c r="R122" s="56" t="str">
        <x:v>Q3
Q12
Q17
Q20</x:v>
      </x:c>
      <x:c r="S122" s="56" t="str">
        <x:v>ACADEMY-08:unlicensed_content
ACADEMY-08:private_verify_payload
ACADEMY-08:scope_overclaim</x:v>
      </x:c>
      <x:c r="T122" s="56" t="str">
        <x:v>production deploy or mutation
production/real-customer data access
secret value read or output
scope outside allowed paths
approval/status invention
history rewrite</x:v>
      </x:c>
      <x:c r="U122" s="56" t="str">
        <x:v>document and rehearse scoped rollback before state-changing acceptance</x:v>
      </x:c>
      <x:c r="V122" s="56" t="str">
        <x:v>SEPARATE_APPROVAL_REQUIRED</x:v>
      </x:c>
      <x:c r="W12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22" s="56" t="str">
        <x:v>NOT_CHECKED</x:v>
      </x:c>
    </x:row>
    <x:row r="123" ht="104" hidden="0" customHeight="1">
      <x:c r="A123" s="56" t="str">
        <x:v>ACADEMY-09</x:v>
      </x:c>
      <x:c r="B123" s="56" t="str">
        <x:v>E</x:v>
      </x:c>
      <x:c r="C123" s="56" t="str">
        <x:v>ACADEMY</x:v>
      </x:c>
      <x:c r="D123" s="56" t="str">
        <x:v>Complaint and practitioner suspension</x:v>
      </x:c>
      <x:c r="E123" s="56" t="str">
        <x:v>Academic + Practice Lead</x:v>
      </x:c>
      <x:c r="F123" s="57" t="str">
        <x:v>NOT_STARTED</x:v>
      </x:c>
      <x:c r="G123" s="73" t="n">
        <x:v>3</x:v>
      </x:c>
      <x:c r="H123" s="73" t="n">
        <x:v>7</x:v>
      </x:c>
      <x:c r="I123" s="56" t="str">
        <x:v>ACADEMY-08</x:v>
      </x:c>
      <x:c r="J123" s="56" t="str">
        <x:v>G04;G06;G08;G12</x:v>
      </x:c>
      <x:c r="K123" s="56" t="str">
        <x:v>evidence/ACADEMY-09/receipt.json + diff/spec/test logs</x:v>
      </x:c>
      <x:c r="L123" s="57" t="str">
        <x:v>Dueprocess, clients continuity, nopublicPI</x:v>
      </x:c>
      <x:c r="M123" s="69" t="str">
        <x:v>CHƯA PHÂN CÔNG</x:v>
      </x:c>
      <x:c r="N123" s="56" t="str">
        <x:v>apps/web/academy/**
packages/academy/**
content/academy/**
tests/academy/**
docs/**</x:v>
      </x:c>
      <x:c r="O123" s="56" t="str">
        <x:v>ACADEMY-09:curriculum_version
ACADEMY-09:enrollment_assignment
ACADEMY-09:rubric
ACADEMY-09:certificate_verify_revoke</x:v>
      </x:c>
      <x:c r="P123" s="56" t="str">
        <x:v>evidence/tasks/ACADEMY-09/&lt;sha&gt;/receipt.json</x:v>
      </x:c>
      <x:c r="Q123" s="56" t="str">
        <x:v>Independent QA/Security/Legal as applicable</x:v>
      </x:c>
      <x:c r="R123" s="56" t="str">
        <x:v>Q3
Q12
Q17
Q20</x:v>
      </x:c>
      <x:c r="S123" s="56" t="str">
        <x:v>ACADEMY-09:unlicensed_content
ACADEMY-09:private_verify_payload
ACADEMY-09:scope_overclaim</x:v>
      </x:c>
      <x:c r="T123" s="56" t="str">
        <x:v>production deploy or mutation
production/real-customer data access
secret value read or output
scope outside allowed paths
approval/status invention
history rewrite</x:v>
      </x:c>
      <x:c r="U123" s="56" t="str">
        <x:v>document and rehearse scoped rollback before state-changing acceptance</x:v>
      </x:c>
      <x:c r="V123" s="56" t="str">
        <x:v>SEPARATE_APPROVAL_REQUIRED</x:v>
      </x:c>
      <x:c r="W12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23" s="56" t="str">
        <x:v>NOT_CHECKED</x:v>
      </x:c>
    </x:row>
    <x:row r="124" ht="104" hidden="0" customHeight="1">
      <x:c r="A124" s="56" t="str">
        <x:v>ACADEMY-10</x:v>
      </x:c>
      <x:c r="B124" s="56" t="str">
        <x:v>E</x:v>
      </x:c>
      <x:c r="C124" s="56" t="str">
        <x:v>ACADEMY</x:v>
      </x:c>
      <x:c r="D124" s="56" t="str">
        <x:v>Educational pilot evaluation</x:v>
      </x:c>
      <x:c r="E124" s="56" t="str">
        <x:v>Academic + Practice Lead</x:v>
      </x:c>
      <x:c r="F124" s="57" t="str">
        <x:v>NOT_STARTED</x:v>
      </x:c>
      <x:c r="G124" s="73" t="n">
        <x:v>2</x:v>
      </x:c>
      <x:c r="H124" s="73" t="n">
        <x:v>5</x:v>
      </x:c>
      <x:c r="I124" s="56" t="str">
        <x:v>ACADEMY-09</x:v>
      </x:c>
      <x:c r="J124" s="56" t="str">
        <x:v>G04;G06;G08;G12</x:v>
      </x:c>
      <x:c r="K124" s="56" t="str">
        <x:v>evidence/ACADEMY-10/receipt.json + diff/spec/test logs</x:v>
      </x:c>
      <x:c r="L124" s="57" t="str">
        <x:v>User comprehension và safe practice measurable</x:v>
      </x:c>
      <x:c r="M124" s="69" t="str">
        <x:v>CHƯA PHÂN CÔNG</x:v>
      </x:c>
      <x:c r="N124" s="56" t="str">
        <x:v>apps/web/academy/**
packages/academy/**
content/academy/**
tests/academy/**
docs/**</x:v>
      </x:c>
      <x:c r="O124" s="56" t="str">
        <x:v>ACADEMY-10:curriculum_version
ACADEMY-10:enrollment_assignment
ACADEMY-10:rubric
ACADEMY-10:certificate_verify_revoke</x:v>
      </x:c>
      <x:c r="P124" s="56" t="str">
        <x:v>evidence/tasks/ACADEMY-10/&lt;sha&gt;/receipt.json</x:v>
      </x:c>
      <x:c r="Q124" s="56" t="str">
        <x:v>Independent QA/Security/Legal as applicable</x:v>
      </x:c>
      <x:c r="R124" s="56" t="str">
        <x:v>Q3
Q12
Q17
Q20</x:v>
      </x:c>
      <x:c r="S124" s="56" t="str">
        <x:v>ACADEMY-10:unlicensed_content
ACADEMY-10:private_verify_payload
ACADEMY-10:scope_overclaim</x:v>
      </x:c>
      <x:c r="T124" s="56" t="str">
        <x:v>production deploy or mutation
production/real-customer data access
secret value read or output
scope outside allowed paths
approval/status invention
history rewrite</x:v>
      </x:c>
      <x:c r="U124" s="56" t="str">
        <x:v>document and rehearse scoped rollback before state-changing acceptance</x:v>
      </x:c>
      <x:c r="V124" s="56" t="str">
        <x:v>SEPARATE_APPROVAL_REQUIRED</x:v>
      </x:c>
      <x:c r="W12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24" s="56" t="str">
        <x:v>NOT_CHECKED</x:v>
      </x:c>
    </x:row>
    <x:row r="125" ht="104" hidden="0" customHeight="1">
      <x:c r="A125" s="56" t="str">
        <x:v>EXPAND-01</x:v>
      </x:c>
      <x:c r="B125" s="56" t="str">
        <x:v>E</x:v>
      </x:c>
      <x:c r="C125" s="56" t="str">
        <x:v>EXPAND</x:v>
      </x:c>
      <x:c r="D125" s="56" t="str">
        <x:v>Levels2–3 observation-driven launch</x:v>
      </x:c>
      <x:c r="E125" s="56" t="str">
        <x:v>Product + Data + Privacy</x:v>
      </x:c>
      <x:c r="F125" s="57" t="str">
        <x:v>NOT_STARTED</x:v>
      </x:c>
      <x:c r="G125" s="73" t="n">
        <x:v>2</x:v>
      </x:c>
      <x:c r="H125" s="73" t="n">
        <x:v>5</x:v>
      </x:c>
      <x:c r="I125" s="56" t="str">
        <x:v>OPS-10</x:v>
      </x:c>
      <x:c r="J125" s="56" t="str">
        <x:v>G03;G04;G05;G08</x:v>
      </x:c>
      <x:c r="K125" s="56" t="str">
        <x:v>evidence/EXPAND-01/receipt.json + diff/spec/test logs</x:v>
      </x:c>
      <x:c r="L125" s="57" t="str">
        <x:v>No DOB alone personality evidence</x:v>
      </x:c>
      <x:c r="M125" s="69" t="str">
        <x:v>CHƯA PHÂN CÔNG</x:v>
      </x:c>
      <x:c r="N125" s="56" t="str">
        <x:v>apps/web/**
packages/product/**
packages/policy/**
tests/expand/**
docs/**</x:v>
      </x:c>
      <x:c r="O125" s="56" t="str">
        <x:v>EXPAND-01:product_contract
EXPAND-01:consent_scope
EXPAND-01:privacy_boundary
EXPAND-01:reidentification
EXPAND-01:offline_design</x:v>
      </x:c>
      <x:c r="P125" s="56" t="str">
        <x:v>evidence/tasks/EXPAND-01/&lt;sha&gt;/receipt.json</x:v>
      </x:c>
      <x:c r="Q125" s="56" t="str">
        <x:v>Independent QA/Security/Legal as applicable</x:v>
      </x:c>
      <x:c r="R125" s="56" t="str">
        <x:v>Q8
Q9
Q17
Q18
Q20</x:v>
      </x:c>
      <x:c r="S125" s="56" t="str">
        <x:v>EXPAND-01:minor_without_policy
EXPAND-01:health_without_gate
EXPAND-01:work_profile_leak</x:v>
      </x:c>
      <x:c r="T125" s="56" t="str">
        <x:v>production deploy or mutation
production/real-customer data access
secret value read or output
scope outside allowed paths
approval/status invention
history rewrite</x:v>
      </x:c>
      <x:c r="U125" s="56" t="str">
        <x:v>document and rehearse scoped rollback before state-changing acceptance</x:v>
      </x:c>
      <x:c r="V125" s="56" t="str">
        <x:v>SEPARATE_APPROVAL_REQUIRED</x:v>
      </x:c>
      <x:c r="W12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25" s="56" t="str">
        <x:v>NOT_CHECKED</x:v>
      </x:c>
    </x:row>
    <x:row r="126" ht="104" hidden="0" customHeight="1">
      <x:c r="A126" s="56" t="str">
        <x:v>EXPAND-02</x:v>
      </x:c>
      <x:c r="B126" s="56" t="str">
        <x:v>E</x:v>
      </x:c>
      <x:c r="C126" s="56" t="str">
        <x:v>EXPAND</x:v>
      </x:c>
      <x:c r="D126" s="56" t="str">
        <x:v>Work/wealth scenario governance</x:v>
      </x:c>
      <x:c r="E126" s="56" t="str">
        <x:v>Product + Data + Privacy</x:v>
      </x:c>
      <x:c r="F126" s="57" t="str">
        <x:v>NOT_STARTED</x:v>
      </x:c>
      <x:c r="G126" s="73" t="n">
        <x:v>2</x:v>
      </x:c>
      <x:c r="H126" s="73" t="n">
        <x:v>5</x:v>
      </x:c>
      <x:c r="I126" s="56" t="str">
        <x:v>EXPAND-01</x:v>
      </x:c>
      <x:c r="J126" s="56" t="str">
        <x:v>G03;G04;G05;G08</x:v>
      </x:c>
      <x:c r="K126" s="56" t="str">
        <x:v>evidence/EXPAND-02/receipt.json + diff/spec/test logs</x:v>
      </x:c>
      <x:c r="L126" s="57" t="str">
        <x:v>Inputs/assumptions/referral, no auto investment</x:v>
      </x:c>
      <x:c r="M126" s="69" t="str">
        <x:v>CHƯA PHÂN CÔNG</x:v>
      </x:c>
      <x:c r="N126" s="56" t="str">
        <x:v>apps/web/**
packages/product/**
packages/policy/**
tests/expand/**
docs/**</x:v>
      </x:c>
      <x:c r="O126" s="56" t="str">
        <x:v>EXPAND-02:product_contract
EXPAND-02:consent_scope
EXPAND-02:privacy_boundary
EXPAND-02:reidentification
EXPAND-02:offline_design</x:v>
      </x:c>
      <x:c r="P126" s="56" t="str">
        <x:v>evidence/tasks/EXPAND-02/&lt;sha&gt;/receipt.json</x:v>
      </x:c>
      <x:c r="Q126" s="56" t="str">
        <x:v>Independent QA/Security/Legal as applicable</x:v>
      </x:c>
      <x:c r="R126" s="56" t="str">
        <x:v>Q8
Q9
Q17
Q18
Q20</x:v>
      </x:c>
      <x:c r="S126" s="56" t="str">
        <x:v>EXPAND-02:minor_without_policy
EXPAND-02:health_without_gate
EXPAND-02:work_profile_leak</x:v>
      </x:c>
      <x:c r="T126" s="56" t="str">
        <x:v>production deploy or mutation
production/real-customer data access
secret value read or output
scope outside allowed paths
approval/status invention
history rewrite</x:v>
      </x:c>
      <x:c r="U126" s="56" t="str">
        <x:v>document and rehearse scoped rollback before state-changing acceptance</x:v>
      </x:c>
      <x:c r="V126" s="56" t="str">
        <x:v>SEPARATE_APPROVAL_REQUIRED</x:v>
      </x:c>
      <x:c r="W12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26" s="56" t="str">
        <x:v>NOT_CHECKED</x:v>
      </x:c>
    </x:row>
    <x:row r="127" ht="104" hidden="0" customHeight="1">
      <x:c r="A127" s="56" t="str">
        <x:v>EXPAND-03</x:v>
      </x:c>
      <x:c r="B127" s="56" t="str">
        <x:v>E</x:v>
      </x:c>
      <x:c r="C127" s="56" t="str">
        <x:v>EXPAND</x:v>
      </x:c>
      <x:c r="D127" s="56" t="str">
        <x:v>Relationship dual-subject consent</x:v>
      </x:c>
      <x:c r="E127" s="56" t="str">
        <x:v>Product + Data + Privacy</x:v>
      </x:c>
      <x:c r="F127" s="57" t="str">
        <x:v>NOT_STARTED</x:v>
      </x:c>
      <x:c r="G127" s="73" t="n">
        <x:v>3</x:v>
      </x:c>
      <x:c r="H127" s="73" t="n">
        <x:v>7</x:v>
      </x:c>
      <x:c r="I127" s="56" t="str">
        <x:v>EXPAND-02</x:v>
      </x:c>
      <x:c r="J127" s="56" t="str">
        <x:v>G03;G04;G05;G08</x:v>
      </x:c>
      <x:c r="K127" s="56" t="str">
        <x:v>evidence/EXPAND-03/receipt.json + diff/spec/test logs</x:v>
      </x:c>
      <x:c r="L127" s="57" t="str">
        <x:v>Withdrawal invalidates jointprocessing</x:v>
      </x:c>
      <x:c r="M127" s="69" t="str">
        <x:v>CHƯA PHÂN CÔNG</x:v>
      </x:c>
      <x:c r="N127" s="56" t="str">
        <x:v>apps/web/**
packages/product/**
packages/policy/**
tests/expand/**
docs/**</x:v>
      </x:c>
      <x:c r="O127" s="56" t="str">
        <x:v>EXPAND-03:product_contract
EXPAND-03:consent_scope
EXPAND-03:privacy_boundary
EXPAND-03:reidentification
EXPAND-03:offline_design</x:v>
      </x:c>
      <x:c r="P127" s="56" t="str">
        <x:v>evidence/tasks/EXPAND-03/&lt;sha&gt;/receipt.json</x:v>
      </x:c>
      <x:c r="Q127" s="56" t="str">
        <x:v>Independent QA/Security/Legal as applicable</x:v>
      </x:c>
      <x:c r="R127" s="56" t="str">
        <x:v>Q8
Q9
Q17
Q18
Q20</x:v>
      </x:c>
      <x:c r="S127" s="56" t="str">
        <x:v>EXPAND-03:minor_without_policy
EXPAND-03:health_without_gate
EXPAND-03:work_profile_leak</x:v>
      </x:c>
      <x:c r="T127" s="56" t="str">
        <x:v>production deploy or mutation
production/real-customer data access
secret value read or output
scope outside allowed paths
approval/status invention
history rewrite</x:v>
      </x:c>
      <x:c r="U127" s="56" t="str">
        <x:v>document and rehearse scoped rollback before state-changing acceptance</x:v>
      </x:c>
      <x:c r="V127" s="56" t="str">
        <x:v>SEPARATE_APPROVAL_REQUIRED</x:v>
      </x:c>
      <x:c r="W12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27" s="56" t="str">
        <x:v>NOT_CHECKED</x:v>
      </x:c>
    </x:row>
    <x:row r="128" ht="104" hidden="0" customHeight="1">
      <x:c r="A128" s="56" t="str">
        <x:v>EXPAND-04</x:v>
      </x:c>
      <x:c r="B128" s="56" t="str">
        <x:v>E</x:v>
      </x:c>
      <x:c r="C128" s="56" t="str">
        <x:v>EXPAND</x:v>
      </x:c>
      <x:c r="D128" s="56" t="str">
        <x:v>Resonance experiments reversible</x:v>
      </x:c>
      <x:c r="E128" s="56" t="str">
        <x:v>Product + Data + Privacy</x:v>
      </x:c>
      <x:c r="F128" s="57" t="str">
        <x:v>NOT_STARTED</x:v>
      </x:c>
      <x:c r="G128" s="73" t="n">
        <x:v>3</x:v>
      </x:c>
      <x:c r="H128" s="73" t="n">
        <x:v>7</x:v>
      </x:c>
      <x:c r="I128" s="56" t="str">
        <x:v>EXPAND-03</x:v>
      </x:c>
      <x:c r="J128" s="56" t="str">
        <x:v>G03;G04;G05;G08</x:v>
      </x:c>
      <x:c r="K128" s="56" t="str">
        <x:v>evidence/EXPAND-04/receipt.json + diff/spec/test logs</x:v>
      </x:c>
      <x:c r="L128" s="57" t="str">
        <x:v>No food-as-treatment prescriptions</x:v>
      </x:c>
      <x:c r="M128" s="69" t="str">
        <x:v>CHƯA PHÂN CÔNG</x:v>
      </x:c>
      <x:c r="N128" s="56" t="str">
        <x:v>apps/web/**
packages/product/**
packages/policy/**
tests/expand/**
docs/**</x:v>
      </x:c>
      <x:c r="O128" s="56" t="str">
        <x:v>EXPAND-04:product_contract
EXPAND-04:consent_scope
EXPAND-04:privacy_boundary
EXPAND-04:reidentification
EXPAND-04:offline_design</x:v>
      </x:c>
      <x:c r="P128" s="56" t="str">
        <x:v>evidence/tasks/EXPAND-04/&lt;sha&gt;/receipt.json</x:v>
      </x:c>
      <x:c r="Q128" s="56" t="str">
        <x:v>Independent QA/Security/Legal as applicable</x:v>
      </x:c>
      <x:c r="R128" s="56" t="str">
        <x:v>Q8
Q9
Q17
Q18
Q20</x:v>
      </x:c>
      <x:c r="S128" s="56" t="str">
        <x:v>EXPAND-04:minor_without_policy
EXPAND-04:health_without_gate
EXPAND-04:work_profile_leak</x:v>
      </x:c>
      <x:c r="T128" s="56" t="str">
        <x:v>production deploy or mutation
production/real-customer data access
secret value read or output
scope outside allowed paths
approval/status invention
history rewrite</x:v>
      </x:c>
      <x:c r="U128" s="56" t="str">
        <x:v>document and rehearse scoped rollback before state-changing acceptance</x:v>
      </x:c>
      <x:c r="V128" s="56" t="str">
        <x:v>SEPARATE_APPROVAL_REQUIRED</x:v>
      </x:c>
      <x:c r="W12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28" s="56" t="str">
        <x:v>NOT_CHECKED</x:v>
      </x:c>
    </x:row>
    <x:row r="129" ht="104" hidden="0" customHeight="1">
      <x:c r="A129" s="56" t="str">
        <x:v>EXPAND-05</x:v>
      </x:c>
      <x:c r="B129" s="56" t="str">
        <x:v>E</x:v>
      </x:c>
      <x:c r="C129" s="56" t="str">
        <x:v>EXPAND</x:v>
      </x:c>
      <x:c r="D129" s="56" t="str">
        <x:v>Adult family sharing foundation</x:v>
      </x:c>
      <x:c r="E129" s="56" t="str">
        <x:v>Product + Data + Privacy</x:v>
      </x:c>
      <x:c r="F129" s="57" t="str">
        <x:v>NOT_STARTED</x:v>
      </x:c>
      <x:c r="G129" s="73" t="n">
        <x:v>3</x:v>
      </x:c>
      <x:c r="H129" s="73" t="n">
        <x:v>7</x:v>
      </x:c>
      <x:c r="I129" s="56" t="str">
        <x:v>EXPAND-04</x:v>
      </x:c>
      <x:c r="J129" s="56" t="str">
        <x:v>G03;G04;G05;G08</x:v>
      </x:c>
      <x:c r="K129" s="56" t="str">
        <x:v>evidence/EXPAND-05/receipt.json + diff/spec/test logs</x:v>
      </x:c>
      <x:c r="L129" s="57" t="str">
        <x:v>No familyadmin reads all bydefault</x:v>
      </x:c>
      <x:c r="M129" s="69" t="str">
        <x:v>CHƯA PHÂN CÔNG</x:v>
      </x:c>
      <x:c r="N129" s="56" t="str">
        <x:v>apps/web/**
packages/product/**
packages/policy/**
tests/expand/**
docs/**</x:v>
      </x:c>
      <x:c r="O129" s="56" t="str">
        <x:v>EXPAND-05:product_contract
EXPAND-05:consent_scope
EXPAND-05:privacy_boundary
EXPAND-05:reidentification
EXPAND-05:offline_design</x:v>
      </x:c>
      <x:c r="P129" s="56" t="str">
        <x:v>evidence/tasks/EXPAND-05/&lt;sha&gt;/receipt.json</x:v>
      </x:c>
      <x:c r="Q129" s="56" t="str">
        <x:v>Independent QA/Security/Legal as applicable</x:v>
      </x:c>
      <x:c r="R129" s="56" t="str">
        <x:v>Q8
Q9
Q17
Q18
Q20</x:v>
      </x:c>
      <x:c r="S129" s="56" t="str">
        <x:v>EXPAND-05:minor_without_policy
EXPAND-05:health_without_gate
EXPAND-05:work_profile_leak</x:v>
      </x:c>
      <x:c r="T129" s="56" t="str">
        <x:v>production deploy or mutation
production/real-customer data access
secret value read or output
scope outside allowed paths
approval/status invention
history rewrite</x:v>
      </x:c>
      <x:c r="U129" s="56" t="str">
        <x:v>document and rehearse scoped rollback before state-changing acceptance</x:v>
      </x:c>
      <x:c r="V129" s="56" t="str">
        <x:v>SEPARATE_APPROVAL_REQUIRED</x:v>
      </x:c>
      <x:c r="W12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29" s="56" t="str">
        <x:v>NOT_CHECKED</x:v>
      </x:c>
    </x:row>
    <x:row r="130" ht="104" hidden="0" customHeight="1">
      <x:c r="A130" s="56" t="str">
        <x:v>EXPAND-06</x:v>
      </x:c>
      <x:c r="B130" s="56" t="str">
        <x:v>E</x:v>
      </x:c>
      <x:c r="C130" s="56" t="str">
        <x:v>EXPAND</x:v>
      </x:c>
      <x:c r="D130" s="56" t="str">
        <x:v>Minor/guardian country policy design</x:v>
      </x:c>
      <x:c r="E130" s="56" t="str">
        <x:v>Product + Data + Privacy</x:v>
      </x:c>
      <x:c r="F130" s="57" t="str">
        <x:v>NOT_STARTED</x:v>
      </x:c>
      <x:c r="G130" s="73" t="n">
        <x:v>3</x:v>
      </x:c>
      <x:c r="H130" s="73" t="n">
        <x:v>7</x:v>
      </x:c>
      <x:c r="I130" s="56" t="str">
        <x:v>EXPAND-05</x:v>
      </x:c>
      <x:c r="J130" s="56" t="str">
        <x:v>G03;G04;G05;G08</x:v>
      </x:c>
      <x:c r="K130" s="56" t="str">
        <x:v>evidence/EXPAND-06/receipt.json + diff/spec/test logs</x:v>
      </x:c>
      <x:c r="L130" s="57" t="str">
        <x:v>Notenabled until specialized review</x:v>
      </x:c>
      <x:c r="M130" s="69" t="str">
        <x:v>CHƯA PHÂN CÔNG</x:v>
      </x:c>
      <x:c r="N130" s="56" t="str">
        <x:v>apps/web/**
packages/product/**
packages/policy/**
tests/expand/**
docs/**</x:v>
      </x:c>
      <x:c r="O130" s="56" t="str">
        <x:v>EXPAND-06:product_contract
EXPAND-06:consent_scope
EXPAND-06:privacy_boundary
EXPAND-06:reidentification
EXPAND-06:offline_design</x:v>
      </x:c>
      <x:c r="P130" s="56" t="str">
        <x:v>evidence/tasks/EXPAND-06/&lt;sha&gt;/receipt.json</x:v>
      </x:c>
      <x:c r="Q130" s="56" t="str">
        <x:v>Independent QA/Security/Legal as applicable</x:v>
      </x:c>
      <x:c r="R130" s="56" t="str">
        <x:v>Q8
Q9
Q17
Q18
Q20</x:v>
      </x:c>
      <x:c r="S130" s="56" t="str">
        <x:v>EXPAND-06:minor_without_policy
EXPAND-06:health_without_gate
EXPAND-06:work_profile_leak</x:v>
      </x:c>
      <x:c r="T130" s="56" t="str">
        <x:v>production deploy or mutation
production/real-customer data access
secret value read or output
scope outside allowed paths
approval/status invention
history rewrite</x:v>
      </x:c>
      <x:c r="U130" s="56" t="str">
        <x:v>document and rehearse scoped rollback before state-changing acceptance</x:v>
      </x:c>
      <x:c r="V130" s="56" t="str">
        <x:v>SEPARATE_APPROVAL_REQUIRED</x:v>
      </x:c>
      <x:c r="W13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30" s="56" t="str">
        <x:v>NOT_CHECKED</x:v>
      </x:c>
    </x:row>
    <x:row r="131" ht="104" hidden="0" customHeight="1">
      <x:c r="A131" s="56" t="str">
        <x:v>EXPAND-07</x:v>
      </x:c>
      <x:c r="B131" s="56" t="str">
        <x:v>E</x:v>
      </x:c>
      <x:c r="C131" s="56" t="str">
        <x:v>EXPAND</x:v>
      </x:c>
      <x:c r="D131" s="56" t="str">
        <x:v>Body intake specialist/dpia gate</x:v>
      </x:c>
      <x:c r="E131" s="56" t="str">
        <x:v>Product + Data + Privacy</x:v>
      </x:c>
      <x:c r="F131" s="57" t="str">
        <x:v>NOT_STARTED</x:v>
      </x:c>
      <x:c r="G131" s="73" t="n">
        <x:v>3</x:v>
      </x:c>
      <x:c r="H131" s="73" t="n">
        <x:v>7</x:v>
      </x:c>
      <x:c r="I131" s="56" t="str">
        <x:v>EXPAND-06</x:v>
      </x:c>
      <x:c r="J131" s="56" t="str">
        <x:v>G03;G04;G05;G08</x:v>
      </x:c>
      <x:c r="K131" s="56" t="str">
        <x:v>evidence/EXPAND-07/receipt.json + diff/spec/test logs</x:v>
      </x:c>
      <x:c r="L131" s="57" t="str">
        <x:v>No morphology traits/medical inference</x:v>
      </x:c>
      <x:c r="M131" s="69" t="str">
        <x:v>CHƯA PHÂN CÔNG</x:v>
      </x:c>
      <x:c r="N131" s="56" t="str">
        <x:v>apps/web/**
packages/product/**
packages/policy/**
tests/expand/**
docs/**</x:v>
      </x:c>
      <x:c r="O131" s="56" t="str">
        <x:v>EXPAND-07:product_contract
EXPAND-07:consent_scope
EXPAND-07:privacy_boundary
EXPAND-07:reidentification
EXPAND-07:offline_design</x:v>
      </x:c>
      <x:c r="P131" s="56" t="str">
        <x:v>evidence/tasks/EXPAND-07/&lt;sha&gt;/receipt.json</x:v>
      </x:c>
      <x:c r="Q131" s="56" t="str">
        <x:v>Independent QA/Security/Legal as applicable</x:v>
      </x:c>
      <x:c r="R131" s="56" t="str">
        <x:v>Q8
Q9
Q17
Q18
Q20</x:v>
      </x:c>
      <x:c r="S131" s="56" t="str">
        <x:v>EXPAND-07:minor_without_policy
EXPAND-07:health_without_gate
EXPAND-07:work_profile_leak</x:v>
      </x:c>
      <x:c r="T131" s="56" t="str">
        <x:v>production deploy or mutation
production/real-customer data access
secret value read or output
scope outside allowed paths
approval/status invention
history rewrite</x:v>
      </x:c>
      <x:c r="U131" s="56" t="str">
        <x:v>document and rehearse scoped rollback before state-changing acceptance</x:v>
      </x:c>
      <x:c r="V131" s="56" t="str">
        <x:v>SEPARATE_APPROVAL_REQUIRED</x:v>
      </x:c>
      <x:c r="W13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31" s="56" t="str">
        <x:v>NOT_CHECKED</x:v>
      </x:c>
    </x:row>
    <x:row r="132" ht="104" hidden="0" customHeight="1">
      <x:c r="A132" s="56" t="str">
        <x:v>EXPAND-08</x:v>
      </x:c>
      <x:c r="B132" s="56" t="str">
        <x:v>E</x:v>
      </x:c>
      <x:c r="C132" s="56" t="str">
        <x:v>EXPAND</x:v>
      </x:c>
      <x:c r="D132" s="56" t="str">
        <x:v>Organization work-profile separation</x:v>
      </x:c>
      <x:c r="E132" s="56" t="str">
        <x:v>Product + Data + Privacy</x:v>
      </x:c>
      <x:c r="F132" s="57" t="str">
        <x:v>NOT_STARTED</x:v>
      </x:c>
      <x:c r="G132" s="73" t="n">
        <x:v>3</x:v>
      </x:c>
      <x:c r="H132" s="73" t="n">
        <x:v>7</x:v>
      </x:c>
      <x:c r="I132" s="56" t="str">
        <x:v>EXPAND-07</x:v>
      </x:c>
      <x:c r="J132" s="56" t="str">
        <x:v>G03;G04;G05;G08</x:v>
      </x:c>
      <x:c r="K132" s="56" t="str">
        <x:v>evidence/EXPAND-08/receipt.json + diff/spec/test logs</x:v>
      </x:c>
      <x:c r="L132" s="57" t="str">
        <x:v>No privatejournal employee analytics</x:v>
      </x:c>
      <x:c r="M132" s="69" t="str">
        <x:v>CHƯA PHÂN CÔNG</x:v>
      </x:c>
      <x:c r="N132" s="56" t="str">
        <x:v>apps/web/**
packages/product/**
packages/policy/**
tests/expand/**
docs/**</x:v>
      </x:c>
      <x:c r="O132" s="56" t="str">
        <x:v>EXPAND-08:product_contract
EXPAND-08:consent_scope
EXPAND-08:privacy_boundary
EXPAND-08:reidentification
EXPAND-08:offline_design</x:v>
      </x:c>
      <x:c r="P132" s="56" t="str">
        <x:v>evidence/tasks/EXPAND-08/&lt;sha&gt;/receipt.json</x:v>
      </x:c>
      <x:c r="Q132" s="56" t="str">
        <x:v>Independent QA/Security/Legal as applicable</x:v>
      </x:c>
      <x:c r="R132" s="56" t="str">
        <x:v>Q8
Q9
Q17
Q18
Q20</x:v>
      </x:c>
      <x:c r="S132" s="56" t="str">
        <x:v>EXPAND-08:minor_without_policy
EXPAND-08:health_without_gate
EXPAND-08:work_profile_leak</x:v>
      </x:c>
      <x:c r="T132" s="56" t="str">
        <x:v>production deploy or mutation
production/real-customer data access
secret value read or output
scope outside allowed paths
approval/status invention
history rewrite</x:v>
      </x:c>
      <x:c r="U132" s="56" t="str">
        <x:v>document and rehearse scoped rollback before state-changing acceptance</x:v>
      </x:c>
      <x:c r="V132" s="56" t="str">
        <x:v>SEPARATE_APPROVAL_REQUIRED</x:v>
      </x:c>
      <x:c r="W13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32" s="56" t="str">
        <x:v>NOT_CHECKED</x:v>
      </x:c>
    </x:row>
    <x:row r="133" ht="104" hidden="0" customHeight="1">
      <x:c r="A133" s="56" t="str">
        <x:v>EXPAND-09</x:v>
      </x:c>
      <x:c r="B133" s="56" t="str">
        <x:v>E</x:v>
      </x:c>
      <x:c r="C133" s="56" t="str">
        <x:v>EXPAND</x:v>
      </x:c>
      <x:c r="D133" s="56" t="str">
        <x:v>Aggregates reidentification tests</x:v>
      </x:c>
      <x:c r="E133" s="56" t="str">
        <x:v>Product + Data + Privacy</x:v>
      </x:c>
      <x:c r="F133" s="57" t="str">
        <x:v>NOT_STARTED</x:v>
      </x:c>
      <x:c r="G133" s="73" t="n">
        <x:v>3</x:v>
      </x:c>
      <x:c r="H133" s="73" t="n">
        <x:v>7</x:v>
      </x:c>
      <x:c r="I133" s="56" t="str">
        <x:v>EXPAND-08</x:v>
      </x:c>
      <x:c r="J133" s="56" t="str">
        <x:v>G03;G04;G05;G08</x:v>
      </x:c>
      <x:c r="K133" s="56" t="str">
        <x:v>evidence/EXPAND-09/receipt.json + diff/spec/test logs</x:v>
      </x:c>
      <x:c r="L133" s="57" t="str">
        <x:v>Smallcohort/differencing blocked</x:v>
      </x:c>
      <x:c r="M133" s="69" t="str">
        <x:v>CHƯA PHÂN CÔNG</x:v>
      </x:c>
      <x:c r="N133" s="56" t="str">
        <x:v>apps/web/**
packages/product/**
packages/policy/**
tests/expand/**
docs/**</x:v>
      </x:c>
      <x:c r="O133" s="56" t="str">
        <x:v>EXPAND-09:product_contract
EXPAND-09:consent_scope
EXPAND-09:privacy_boundary
EXPAND-09:reidentification
EXPAND-09:offline_design</x:v>
      </x:c>
      <x:c r="P133" s="56" t="str">
        <x:v>evidence/tasks/EXPAND-09/&lt;sha&gt;/receipt.json</x:v>
      </x:c>
      <x:c r="Q133" s="56" t="str">
        <x:v>Independent QA/Security/Legal as applicable</x:v>
      </x:c>
      <x:c r="R133" s="56" t="str">
        <x:v>Q8
Q9
Q17
Q18
Q20</x:v>
      </x:c>
      <x:c r="S133" s="56" t="str">
        <x:v>EXPAND-09:minor_without_policy
EXPAND-09:health_without_gate
EXPAND-09:work_profile_leak</x:v>
      </x:c>
      <x:c r="T133" s="56" t="str">
        <x:v>production deploy or mutation
production/real-customer data access
secret value read or output
scope outside allowed paths
approval/status invention
history rewrite</x:v>
      </x:c>
      <x:c r="U133" s="56" t="str">
        <x:v>document and rehearse scoped rollback before state-changing acceptance</x:v>
      </x:c>
      <x:c r="V133" s="56" t="str">
        <x:v>SEPARATE_APPROVAL_REQUIRED</x:v>
      </x:c>
      <x:c r="W13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33" s="56" t="str">
        <x:v>NOT_CHECKED</x:v>
      </x:c>
    </x:row>
    <x:row r="134" ht="104" hidden="0" customHeight="1">
      <x:c r="A134" s="56" t="str">
        <x:v>EXPAND-10</x:v>
      </x:c>
      <x:c r="B134" s="56" t="str">
        <x:v>E</x:v>
      </x:c>
      <x:c r="C134" s="56" t="str">
        <x:v>EXPAND</x:v>
      </x:c>
      <x:c r="D134" s="56" t="str">
        <x:v>Mobile value assessment and offline design</x:v>
      </x:c>
      <x:c r="E134" s="56" t="str">
        <x:v>Product + Data + Privacy</x:v>
      </x:c>
      <x:c r="F134" s="57" t="str">
        <x:v>NOT_STARTED</x:v>
      </x:c>
      <x:c r="G134" s="73" t="n">
        <x:v>2</x:v>
      </x:c>
      <x:c r="H134" s="73" t="n">
        <x:v>5</x:v>
      </x:c>
      <x:c r="I134" s="56" t="str">
        <x:v>EXPAND-09</x:v>
      </x:c>
      <x:c r="J134" s="56" t="str">
        <x:v>G03;G04;G05;G08</x:v>
      </x:c>
      <x:c r="K134" s="56" t="str">
        <x:v>evidence/EXPAND-10/receipt.json + diff/spec/test logs</x:v>
      </x:c>
      <x:c r="L134" s="57" t="str">
        <x:v>Shared API/core, devicevault and syncconflicts</x:v>
      </x:c>
      <x:c r="M134" s="69" t="str">
        <x:v>CHƯA PHÂN CÔNG</x:v>
      </x:c>
      <x:c r="N134" s="56" t="str">
        <x:v>apps/web/**
packages/product/**
packages/policy/**
tests/expand/**
docs/**</x:v>
      </x:c>
      <x:c r="O134" s="56" t="str">
        <x:v>EXPAND-10:product_contract
EXPAND-10:consent_scope
EXPAND-10:privacy_boundary
EXPAND-10:reidentification
EXPAND-10:offline_design</x:v>
      </x:c>
      <x:c r="P134" s="56" t="str">
        <x:v>evidence/tasks/EXPAND-10/&lt;sha&gt;/receipt.json</x:v>
      </x:c>
      <x:c r="Q134" s="56" t="str">
        <x:v>Independent QA/Security/Legal as applicable</x:v>
      </x:c>
      <x:c r="R134" s="56" t="str">
        <x:v>Q8
Q9
Q17
Q18
Q20</x:v>
      </x:c>
      <x:c r="S134" s="56" t="str">
        <x:v>EXPAND-10:minor_without_policy
EXPAND-10:health_without_gate
EXPAND-10:work_profile_leak</x:v>
      </x:c>
      <x:c r="T134" s="56" t="str">
        <x:v>production deploy or mutation
production/real-customer data access
secret value read or output
scope outside allowed paths
approval/status invention
history rewrite</x:v>
      </x:c>
      <x:c r="U134" s="56" t="str">
        <x:v>document and rehearse scoped rollback before state-changing acceptance</x:v>
      </x:c>
      <x:c r="V134" s="56" t="str">
        <x:v>SEPARATE_APPROVAL_REQUIRED</x:v>
      </x:c>
      <x:c r="W13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34" s="56" t="str">
        <x:v>NOT_CHECKED</x:v>
      </x:c>
    </x:row>
    <x:row r="135" ht="104" hidden="0" customHeight="1">
      <x:c r="A135" s="56" t="str">
        <x:v>GLOBAL-01</x:v>
      </x:c>
      <x:c r="B135" s="56" t="str">
        <x:v>F</x:v>
      </x:c>
      <x:c r="C135" s="56" t="str">
        <x:v>GLOBAL</x:v>
      </x:c>
      <x:c r="D135" s="56" t="str">
        <x:v>Country packs VN/EU/US/AU/SG</x:v>
      </x:c>
      <x:c r="E135" s="56" t="str">
        <x:v>Partnerships + Legal + Platform</x:v>
      </x:c>
      <x:c r="F135" s="57" t="str">
        <x:v>NOT_STARTED</x:v>
      </x:c>
      <x:c r="G135" s="73" t="n">
        <x:v>2</x:v>
      </x:c>
      <x:c r="H135" s="73" t="n">
        <x:v>5</x:v>
      </x:c>
      <x:c r="I135" s="56" t="str">
        <x:v>OPS-10;GOV-03</x:v>
      </x:c>
      <x:c r="J135" s="56" t="str">
        <x:v>G03;G04;G06;G12</x:v>
      </x:c>
      <x:c r="K135" s="56" t="str">
        <x:v>evidence/GLOBAL-01/receipt.json + diff/spec/test logs</x:v>
      </x:c>
      <x:c r="L135" s="57" t="str">
        <x:v>No launch without legal/locale/vendor approval</x:v>
      </x:c>
      <x:c r="M135" s="69" t="str">
        <x:v>CHƯA PHÂN CÔNG</x:v>
      </x:c>
      <x:c r="N135" s="56" t="str">
        <x:v>packages/country-policy/**
packages/partners/**
content/locales/**
tests/global/**
docs/**</x:v>
      </x:c>
      <x:c r="O135" s="56" t="str">
        <x:v>GLOBAL-01:country_pack
GLOBAL-01:policy_intersection
GLOBAL-01:rights_translation
GLOBAL-01:partner_scope
GLOBAL-01:exit_continuity</x:v>
      </x:c>
      <x:c r="P135" s="56" t="str">
        <x:v>evidence/tasks/GLOBAL-01/&lt;sha&gt;/receipt.json</x:v>
      </x:c>
      <x:c r="Q135" s="56" t="str">
        <x:v>Independent QA/Security/Legal as applicable</x:v>
      </x:c>
      <x:c r="R135" s="56" t="str">
        <x:v>Q3
Q9
Q14
Q17
Q18
Q19
Q20</x:v>
      </x:c>
      <x:c r="S135" s="56" t="str">
        <x:v>GLOBAL-01:unapproved_country
GLOBAL-01:deny_wins
GLOBAL-01:revoked_partner
GLOBAL-01:residency_mismatch</x:v>
      </x:c>
      <x:c r="T135" s="56" t="str">
        <x:v>production deploy or mutation
production/real-customer data access
secret value read or output
scope outside allowed paths
approval/status invention
history rewrite</x:v>
      </x:c>
      <x:c r="U135" s="56" t="str">
        <x:v>document and rehearse scoped rollback before state-changing acceptance</x:v>
      </x:c>
      <x:c r="V135" s="56" t="str">
        <x:v>SEPARATE_APPROVAL_REQUIRED</x:v>
      </x:c>
      <x:c r="W13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35" s="56" t="str">
        <x:v>NOT_CHECKED</x:v>
      </x:c>
    </x:row>
    <x:row r="136" ht="104" hidden="0" customHeight="1">
      <x:c r="A136" s="56" t="str">
        <x:v>GLOBAL-02</x:v>
      </x:c>
      <x:c r="B136" s="56" t="str">
        <x:v>F</x:v>
      </x:c>
      <x:c r="C136" s="56" t="str">
        <x:v>GLOBAL</x:v>
      </x:c>
      <x:c r="D136" s="56" t="str">
        <x:v>License-vs-franchise classification</x:v>
      </x:c>
      <x:c r="E136" s="56" t="str">
        <x:v>Partnerships + Legal + Platform</x:v>
      </x:c>
      <x:c r="F136" s="57" t="str">
        <x:v>NOT_STARTED</x:v>
      </x:c>
      <x:c r="G136" s="73" t="n">
        <x:v>2</x:v>
      </x:c>
      <x:c r="H136" s="73" t="n">
        <x:v>5</x:v>
      </x:c>
      <x:c r="I136" s="56" t="str">
        <x:v>GLOBAL-01</x:v>
      </x:c>
      <x:c r="J136" s="56" t="str">
        <x:v>G03;G04;G06;G12</x:v>
      </x:c>
      <x:c r="K136" s="56" t="str">
        <x:v>evidence/GLOBAL-02/receipt.json + diff/spec/test logs</x:v>
      </x:c>
      <x:c r="L136" s="57" t="str">
        <x:v>Substance notlabel; jurisdiction opinion</x:v>
      </x:c>
      <x:c r="M136" s="69" t="str">
        <x:v>CHƯA PHÂN CÔNG</x:v>
      </x:c>
      <x:c r="N136" s="56" t="str">
        <x:v>packages/country-policy/**
packages/partners/**
content/locales/**
tests/global/**
docs/**</x:v>
      </x:c>
      <x:c r="O136" s="56" t="str">
        <x:v>GLOBAL-02:country_pack
GLOBAL-02:policy_intersection
GLOBAL-02:rights_translation
GLOBAL-02:partner_scope
GLOBAL-02:exit_continuity</x:v>
      </x:c>
      <x:c r="P136" s="56" t="str">
        <x:v>evidence/tasks/GLOBAL-02/&lt;sha&gt;/receipt.json</x:v>
      </x:c>
      <x:c r="Q136" s="56" t="str">
        <x:v>Independent QA/Security/Legal as applicable</x:v>
      </x:c>
      <x:c r="R136" s="56" t="str">
        <x:v>Q3
Q9
Q14
Q17
Q18
Q19
Q20</x:v>
      </x:c>
      <x:c r="S136" s="56" t="str">
        <x:v>GLOBAL-02:unapproved_country
GLOBAL-02:deny_wins
GLOBAL-02:revoked_partner
GLOBAL-02:residency_mismatch</x:v>
      </x:c>
      <x:c r="T136" s="56" t="str">
        <x:v>production deploy or mutation
production/real-customer data access
secret value read or output
scope outside allowed paths
approval/status invention
history rewrite</x:v>
      </x:c>
      <x:c r="U136" s="56" t="str">
        <x:v>document and rehearse scoped rollback before state-changing acceptance</x:v>
      </x:c>
      <x:c r="V136" s="56" t="str">
        <x:v>SEPARATE_APPROVAL_REQUIRED</x:v>
      </x:c>
      <x:c r="W13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36" s="56" t="str">
        <x:v>NOT_CHECKED</x:v>
      </x:c>
    </x:row>
    <x:row r="137" ht="104" hidden="0" customHeight="1">
      <x:c r="A137" s="56" t="str">
        <x:v>GLOBAL-03</x:v>
      </x:c>
      <x:c r="B137" s="56" t="str">
        <x:v>F</x:v>
      </x:c>
      <x:c r="C137" s="56" t="str">
        <x:v>GLOBAL</x:v>
      </x:c>
      <x:c r="D137" s="56" t="str">
        <x:v>Trademark/translation/source rights clearance</x:v>
      </x:c>
      <x:c r="E137" s="56" t="str">
        <x:v>Partnerships + Legal + Platform</x:v>
      </x:c>
      <x:c r="F137" s="57" t="str">
        <x:v>NOT_STARTED</x:v>
      </x:c>
      <x:c r="G137" s="73" t="n">
        <x:v>3</x:v>
      </x:c>
      <x:c r="H137" s="73" t="n">
        <x:v>7</x:v>
      </x:c>
      <x:c r="I137" s="56" t="str">
        <x:v>GLOBAL-02</x:v>
      </x:c>
      <x:c r="J137" s="56" t="str">
        <x:v>G03;G04;G06;G12</x:v>
      </x:c>
      <x:c r="K137" s="56" t="str">
        <x:v>evidence/GLOBAL-03/receipt.json + diff/spec/test logs</x:v>
      </x:c>
      <x:c r="L137" s="57" t="str">
        <x:v>Madridfiling notglobalgrant; scope documented</x:v>
      </x:c>
      <x:c r="M137" s="69" t="str">
        <x:v>CHƯA PHÂN CÔNG</x:v>
      </x:c>
      <x:c r="N137" s="56" t="str">
        <x:v>packages/country-policy/**
packages/partners/**
content/locales/**
tests/global/**
docs/**</x:v>
      </x:c>
      <x:c r="O137" s="56" t="str">
        <x:v>GLOBAL-03:country_pack
GLOBAL-03:policy_intersection
GLOBAL-03:rights_translation
GLOBAL-03:partner_scope
GLOBAL-03:exit_continuity</x:v>
      </x:c>
      <x:c r="P137" s="56" t="str">
        <x:v>evidence/tasks/GLOBAL-03/&lt;sha&gt;/receipt.json</x:v>
      </x:c>
      <x:c r="Q137" s="56" t="str">
        <x:v>Independent QA/Security/Legal as applicable</x:v>
      </x:c>
      <x:c r="R137" s="56" t="str">
        <x:v>Q3
Q9
Q14
Q17
Q18
Q19
Q20</x:v>
      </x:c>
      <x:c r="S137" s="56" t="str">
        <x:v>GLOBAL-03:unapproved_country
GLOBAL-03:deny_wins
GLOBAL-03:revoked_partner
GLOBAL-03:residency_mismatch</x:v>
      </x:c>
      <x:c r="T137" s="56" t="str">
        <x:v>production deploy or mutation
production/real-customer data access
secret value read or output
scope outside allowed paths
approval/status invention
history rewrite</x:v>
      </x:c>
      <x:c r="U137" s="56" t="str">
        <x:v>document and rehearse scoped rollback before state-changing acceptance</x:v>
      </x:c>
      <x:c r="V137" s="56" t="str">
        <x:v>SEPARATE_APPROVAL_REQUIRED</x:v>
      </x:c>
      <x:c r="W13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37" s="56" t="str">
        <x:v>NOT_CHECKED</x:v>
      </x:c>
    </x:row>
    <x:row r="138" ht="104" hidden="0" customHeight="1">
      <x:c r="A138" s="56" t="str">
        <x:v>GLOBAL-04</x:v>
      </x:c>
      <x:c r="B138" s="56" t="str">
        <x:v>F</x:v>
      </x:c>
      <x:c r="C138" s="56" t="str">
        <x:v>GLOBAL</x:v>
      </x:c>
      <x:c r="D138" s="56" t="str">
        <x:v>Regional partner term sheet and economics</x:v>
      </x:c>
      <x:c r="E138" s="56" t="str">
        <x:v>Partnerships + Legal + Platform</x:v>
      </x:c>
      <x:c r="F138" s="57" t="str">
        <x:v>NOT_STARTED</x:v>
      </x:c>
      <x:c r="G138" s="73" t="n">
        <x:v>3</x:v>
      </x:c>
      <x:c r="H138" s="73" t="n">
        <x:v>7</x:v>
      </x:c>
      <x:c r="I138" s="56" t="str">
        <x:v>GLOBAL-03</x:v>
      </x:c>
      <x:c r="J138" s="56" t="str">
        <x:v>G03;G04;G06;G12</x:v>
      </x:c>
      <x:c r="K138" s="56" t="str">
        <x:v>evidence/GLOBAL-04/receipt.json + diff/spec/test logs</x:v>
      </x:c>
      <x:c r="L138" s="57" t="str">
        <x:v>No guaranteed ROI; territory/fees conditional</x:v>
      </x:c>
      <x:c r="M138" s="69" t="str">
        <x:v>CHƯA PHÂN CÔNG</x:v>
      </x:c>
      <x:c r="N138" s="56" t="str">
        <x:v>packages/country-policy/**
packages/partners/**
content/locales/**
tests/global/**
docs/**</x:v>
      </x:c>
      <x:c r="O138" s="56" t="str">
        <x:v>GLOBAL-04:country_pack
GLOBAL-04:policy_intersection
GLOBAL-04:rights_translation
GLOBAL-04:partner_scope
GLOBAL-04:exit_continuity</x:v>
      </x:c>
      <x:c r="P138" s="56" t="str">
        <x:v>evidence/tasks/GLOBAL-04/&lt;sha&gt;/receipt.json</x:v>
      </x:c>
      <x:c r="Q138" s="56" t="str">
        <x:v>Independent QA/Security/Legal as applicable</x:v>
      </x:c>
      <x:c r="R138" s="56" t="str">
        <x:v>Q3
Q9
Q14
Q17
Q18
Q19
Q20</x:v>
      </x:c>
      <x:c r="S138" s="56" t="str">
        <x:v>GLOBAL-04:unapproved_country
GLOBAL-04:deny_wins
GLOBAL-04:revoked_partner
GLOBAL-04:residency_mismatch</x:v>
      </x:c>
      <x:c r="T138" s="56" t="str">
        <x:v>production deploy or mutation
production/real-customer data access
secret value read or output
scope outside allowed paths
approval/status invention
history rewrite</x:v>
      </x:c>
      <x:c r="U138" s="56" t="str">
        <x:v>document and rehearse scoped rollback before state-changing acceptance</x:v>
      </x:c>
      <x:c r="V138" s="56" t="str">
        <x:v>SEPARATE_APPROVAL_REQUIRED</x:v>
      </x:c>
      <x:c r="W13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38" s="56" t="str">
        <x:v>NOT_CHECKED</x:v>
      </x:c>
    </x:row>
    <x:row r="139" ht="104" hidden="0" customHeight="1">
      <x:c r="A139" s="56" t="str">
        <x:v>GLOBAL-05</x:v>
      </x:c>
      <x:c r="B139" s="56" t="str">
        <x:v>F</x:v>
      </x:c>
      <x:c r="C139" s="56" t="str">
        <x:v>GLOBAL</x:v>
      </x:c>
      <x:c r="D139" s="56" t="str">
        <x:v>Tenantbrand policy intersection</x:v>
      </x:c>
      <x:c r="E139" s="56" t="str">
        <x:v>Partnerships + Legal + Platform</x:v>
      </x:c>
      <x:c r="F139" s="57" t="str">
        <x:v>NOT_STARTED</x:v>
      </x:c>
      <x:c r="G139" s="73" t="n">
        <x:v>3</x:v>
      </x:c>
      <x:c r="H139" s="73" t="n">
        <x:v>7</x:v>
      </x:c>
      <x:c r="I139" s="56" t="str">
        <x:v>GLOBAL-04</x:v>
      </x:c>
      <x:c r="J139" s="56" t="str">
        <x:v>G03;G04;G06;G12</x:v>
      </x:c>
      <x:c r="K139" s="56" t="str">
        <x:v>evidence/GLOBAL-05/receipt.json + diff/spec/test logs</x:v>
      </x:c>
      <x:c r="L139" s="57" t="str">
        <x:v>Denywins, cannot override method/safety</x:v>
      </x:c>
      <x:c r="M139" s="69" t="str">
        <x:v>CHƯA PHÂN CÔNG</x:v>
      </x:c>
      <x:c r="N139" s="56" t="str">
        <x:v>packages/country-policy/**
packages/partners/**
content/locales/**
tests/global/**
docs/**</x:v>
      </x:c>
      <x:c r="O139" s="56" t="str">
        <x:v>GLOBAL-05:country_pack
GLOBAL-05:policy_intersection
GLOBAL-05:rights_translation
GLOBAL-05:partner_scope
GLOBAL-05:exit_continuity</x:v>
      </x:c>
      <x:c r="P139" s="56" t="str">
        <x:v>evidence/tasks/GLOBAL-05/&lt;sha&gt;/receipt.json</x:v>
      </x:c>
      <x:c r="Q139" s="56" t="str">
        <x:v>Independent QA/Security/Legal as applicable</x:v>
      </x:c>
      <x:c r="R139" s="56" t="str">
        <x:v>Q3
Q9
Q14
Q17
Q18
Q19
Q20</x:v>
      </x:c>
      <x:c r="S139" s="56" t="str">
        <x:v>GLOBAL-05:unapproved_country
GLOBAL-05:deny_wins
GLOBAL-05:revoked_partner
GLOBAL-05:residency_mismatch</x:v>
      </x:c>
      <x:c r="T139" s="56" t="str">
        <x:v>production deploy or mutation
production/real-customer data access
secret value read or output
scope outside allowed paths
approval/status invention
history rewrite</x:v>
      </x:c>
      <x:c r="U139" s="56" t="str">
        <x:v>document and rehearse scoped rollback before state-changing acceptance</x:v>
      </x:c>
      <x:c r="V139" s="56" t="str">
        <x:v>SEPARATE_APPROVAL_REQUIRED</x:v>
      </x:c>
      <x:c r="W13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39" s="56" t="str">
        <x:v>NOT_CHECKED</x:v>
      </x:c>
    </x:row>
    <x:row r="140" ht="104" hidden="0" customHeight="1">
      <x:c r="A140" s="56" t="str">
        <x:v>GLOBAL-06</x:v>
      </x:c>
      <x:c r="B140" s="56" t="str">
        <x:v>F</x:v>
      </x:c>
      <x:c r="C140" s="56" t="str">
        <x:v>GLOBAL</x:v>
      </x:c>
      <x:c r="D140" s="56" t="str">
        <x:v>Trainer country qualification and audits</x:v>
      </x:c>
      <x:c r="E140" s="56" t="str">
        <x:v>Partnerships + Legal + Platform</x:v>
      </x:c>
      <x:c r="F140" s="57" t="str">
        <x:v>NOT_STARTED</x:v>
      </x:c>
      <x:c r="G140" s="73" t="n">
        <x:v>3</x:v>
      </x:c>
      <x:c r="H140" s="73" t="n">
        <x:v>7</x:v>
      </x:c>
      <x:c r="I140" s="56" t="str">
        <x:v>GLOBAL-05</x:v>
      </x:c>
      <x:c r="J140" s="56" t="str">
        <x:v>G03;G04;G06;G12</x:v>
      </x:c>
      <x:c r="K140" s="56" t="str">
        <x:v>evidence/GLOBAL-06/receipt.json + diff/spec/test logs</x:v>
      </x:c>
      <x:c r="L140" s="57" t="str">
        <x:v>Language/content/expertise scope verified</x:v>
      </x:c>
      <x:c r="M140" s="69" t="str">
        <x:v>CHƯA PHÂN CÔNG</x:v>
      </x:c>
      <x:c r="N140" s="56" t="str">
        <x:v>packages/country-policy/**
packages/partners/**
content/locales/**
tests/global/**
docs/**</x:v>
      </x:c>
      <x:c r="O140" s="56" t="str">
        <x:v>GLOBAL-06:country_pack
GLOBAL-06:policy_intersection
GLOBAL-06:rights_translation
GLOBAL-06:partner_scope
GLOBAL-06:exit_continuity</x:v>
      </x:c>
      <x:c r="P140" s="56" t="str">
        <x:v>evidence/tasks/GLOBAL-06/&lt;sha&gt;/receipt.json</x:v>
      </x:c>
      <x:c r="Q140" s="56" t="str">
        <x:v>Independent QA/Security/Legal as applicable</x:v>
      </x:c>
      <x:c r="R140" s="56" t="str">
        <x:v>Q3
Q9
Q14
Q17
Q18
Q19
Q20</x:v>
      </x:c>
      <x:c r="S140" s="56" t="str">
        <x:v>GLOBAL-06:unapproved_country
GLOBAL-06:deny_wins
GLOBAL-06:revoked_partner
GLOBAL-06:residency_mismatch</x:v>
      </x:c>
      <x:c r="T140" s="56" t="str">
        <x:v>production deploy or mutation
production/real-customer data access
secret value read or output
scope outside allowed paths
approval/status invention
history rewrite</x:v>
      </x:c>
      <x:c r="U140" s="56" t="str">
        <x:v>document and rehearse scoped rollback before state-changing acceptance</x:v>
      </x:c>
      <x:c r="V140" s="56" t="str">
        <x:v>SEPARATE_APPROVAL_REQUIRED</x:v>
      </x:c>
      <x:c r="W14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40" s="56" t="str">
        <x:v>NOT_CHECKED</x:v>
      </x:c>
    </x:row>
    <x:row r="141" ht="104" hidden="0" customHeight="1">
      <x:c r="A141" s="56" t="str">
        <x:v>GLOBAL-07</x:v>
      </x:c>
      <x:c r="B141" s="56" t="str">
        <x:v>F</x:v>
      </x:c>
      <x:c r="C141" s="56" t="str">
        <x:v>GLOBAL</x:v>
      </x:c>
      <x:c r="D141" s="56" t="str">
        <x:v>Partner API OAuth/scopes/quota</x:v>
      </x:c>
      <x:c r="E141" s="56" t="str">
        <x:v>Partnerships + Legal + Platform</x:v>
      </x:c>
      <x:c r="F141" s="57" t="str">
        <x:v>NOT_STARTED</x:v>
      </x:c>
      <x:c r="G141" s="73" t="n">
        <x:v>3</x:v>
      </x:c>
      <x:c r="H141" s="73" t="n">
        <x:v>7</x:v>
      </x:c>
      <x:c r="I141" s="56" t="str">
        <x:v>GLOBAL-06</x:v>
      </x:c>
      <x:c r="J141" s="56" t="str">
        <x:v>G03;G04;G06;G12</x:v>
      </x:c>
      <x:c r="K141" s="56" t="str">
        <x:v>evidence/GLOBAL-07/receipt.json + diff/spec/test logs</x:v>
      </x:c>
      <x:c r="L141" s="57" t="str">
        <x:v>No master cross-tenant token</x:v>
      </x:c>
      <x:c r="M141" s="69" t="str">
        <x:v>CHƯA PHÂN CÔNG</x:v>
      </x:c>
      <x:c r="N141" s="56" t="str">
        <x:v>packages/country-policy/**
packages/partners/**
content/locales/**
tests/global/**
docs/**</x:v>
      </x:c>
      <x:c r="O141" s="56" t="str">
        <x:v>GLOBAL-07:country_pack
GLOBAL-07:policy_intersection
GLOBAL-07:rights_translation
GLOBAL-07:partner_scope
GLOBAL-07:exit_continuity</x:v>
      </x:c>
      <x:c r="P141" s="56" t="str">
        <x:v>evidence/tasks/GLOBAL-07/&lt;sha&gt;/receipt.json</x:v>
      </x:c>
      <x:c r="Q141" s="56" t="str">
        <x:v>Independent QA/Security/Legal as applicable</x:v>
      </x:c>
      <x:c r="R141" s="56" t="str">
        <x:v>Q3
Q9
Q14
Q17
Q18
Q19
Q20</x:v>
      </x:c>
      <x:c r="S141" s="56" t="str">
        <x:v>GLOBAL-07:unapproved_country
GLOBAL-07:deny_wins
GLOBAL-07:revoked_partner
GLOBAL-07:residency_mismatch</x:v>
      </x:c>
      <x:c r="T141" s="56" t="str">
        <x:v>production deploy or mutation
production/real-customer data access
secret value read or output
scope outside allowed paths
approval/status invention
history rewrite</x:v>
      </x:c>
      <x:c r="U141" s="56" t="str">
        <x:v>document and rehearse scoped rollback before state-changing acceptance</x:v>
      </x:c>
      <x:c r="V141" s="56" t="str">
        <x:v>SEPARATE_APPROVAL_REQUIRED</x:v>
      </x:c>
      <x:c r="W14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41" s="56" t="str">
        <x:v>NOT_CHECKED</x:v>
      </x:c>
    </x:row>
    <x:row r="142" ht="104" hidden="0" customHeight="1">
      <x:c r="A142" s="56" t="str">
        <x:v>GLOBAL-08</x:v>
      </x:c>
      <x:c r="B142" s="56" t="str">
        <x:v>F</x:v>
      </x:c>
      <x:c r="C142" s="56" t="str">
        <x:v>GLOBAL</x:v>
      </x:c>
      <x:c r="D142" s="56" t="str">
        <x:v>Data residency/subprocessor routing</x:v>
      </x:c>
      <x:c r="E142" s="56" t="str">
        <x:v>Partnerships + Legal + Platform</x:v>
      </x:c>
      <x:c r="F142" s="57" t="str">
        <x:v>NOT_STARTED</x:v>
      </x:c>
      <x:c r="G142" s="73" t="n">
        <x:v>3</x:v>
      </x:c>
      <x:c r="H142" s="73" t="n">
        <x:v>7</x:v>
      </x:c>
      <x:c r="I142" s="56" t="str">
        <x:v>GLOBAL-07</x:v>
      </x:c>
      <x:c r="J142" s="56" t="str">
        <x:v>G03;G04;G06;G12</x:v>
      </x:c>
      <x:c r="K142" s="56" t="str">
        <x:v>evidence/GLOBAL-08/receipt.json + diff/spec/test logs</x:v>
      </x:c>
      <x:c r="L142" s="57" t="str">
        <x:v>Country purpose provider approved, failclosed</x:v>
      </x:c>
      <x:c r="M142" s="69" t="str">
        <x:v>CHƯA PHÂN CÔNG</x:v>
      </x:c>
      <x:c r="N142" s="56" t="str">
        <x:v>packages/country-policy/**
packages/partners/**
content/locales/**
tests/global/**
docs/**</x:v>
      </x:c>
      <x:c r="O142" s="56" t="str">
        <x:v>GLOBAL-08:country_pack
GLOBAL-08:policy_intersection
GLOBAL-08:rights_translation
GLOBAL-08:partner_scope
GLOBAL-08:exit_continuity</x:v>
      </x:c>
      <x:c r="P142" s="56" t="str">
        <x:v>evidence/tasks/GLOBAL-08/&lt;sha&gt;/receipt.json</x:v>
      </x:c>
      <x:c r="Q142" s="56" t="str">
        <x:v>Independent QA/Security/Legal as applicable</x:v>
      </x:c>
      <x:c r="R142" s="56" t="str">
        <x:v>Q3
Q9
Q14
Q17
Q18
Q19
Q20</x:v>
      </x:c>
      <x:c r="S142" s="56" t="str">
        <x:v>GLOBAL-08:unapproved_country
GLOBAL-08:deny_wins
GLOBAL-08:revoked_partner
GLOBAL-08:residency_mismatch</x:v>
      </x:c>
      <x:c r="T142" s="56" t="str">
        <x:v>production deploy or mutation
production/real-customer data access
secret value read or output
scope outside allowed paths
approval/status invention
history rewrite</x:v>
      </x:c>
      <x:c r="U142" s="56" t="str">
        <x:v>document and rehearse scoped rollback before state-changing acceptance</x:v>
      </x:c>
      <x:c r="V142" s="56" t="str">
        <x:v>SEPARATE_APPROVAL_REQUIRED</x:v>
      </x:c>
      <x:c r="W14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42" s="56" t="str">
        <x:v>NOT_CHECKED</x:v>
      </x:c>
    </x:row>
    <x:row r="143" ht="104" hidden="0" customHeight="1">
      <x:c r="A143" s="56" t="str">
        <x:v>GLOBAL-09</x:v>
      </x:c>
      <x:c r="B143" s="56" t="str">
        <x:v>F</x:v>
      </x:c>
      <x:c r="C143" s="56" t="str">
        <x:v>GLOBAL</x:v>
      </x:c>
      <x:c r="D143" s="56" t="str">
        <x:v>Partner exit/revocation/client continuity</x:v>
      </x:c>
      <x:c r="E143" s="56" t="str">
        <x:v>Partnerships + Legal + Platform</x:v>
      </x:c>
      <x:c r="F143" s="57" t="str">
        <x:v>NOT_STARTED</x:v>
      </x:c>
      <x:c r="G143" s="73" t="n">
        <x:v>3</x:v>
      </x:c>
      <x:c r="H143" s="73" t="n">
        <x:v>7</x:v>
      </x:c>
      <x:c r="I143" s="56" t="str">
        <x:v>GLOBAL-08</x:v>
      </x:c>
      <x:c r="J143" s="56" t="str">
        <x:v>G03;G04;G06;G12</x:v>
      </x:c>
      <x:c r="K143" s="56" t="str">
        <x:v>evidence/GLOBAL-09/receipt.json + diff/spec/test logs</x:v>
      </x:c>
      <x:c r="L143" s="57" t="str">
        <x:v>Exports/deletion/support continue under policy</x:v>
      </x:c>
      <x:c r="M143" s="69" t="str">
        <x:v>CHƯA PHÂN CÔNG</x:v>
      </x:c>
      <x:c r="N143" s="56" t="str">
        <x:v>packages/country-policy/**
packages/partners/**
content/locales/**
tests/global/**
docs/**</x:v>
      </x:c>
      <x:c r="O143" s="56" t="str">
        <x:v>GLOBAL-09:country_pack
GLOBAL-09:policy_intersection
GLOBAL-09:rights_translation
GLOBAL-09:partner_scope
GLOBAL-09:exit_continuity</x:v>
      </x:c>
      <x:c r="P143" s="56" t="str">
        <x:v>evidence/tasks/GLOBAL-09/&lt;sha&gt;/receipt.json</x:v>
      </x:c>
      <x:c r="Q143" s="56" t="str">
        <x:v>Independent QA/Security/Legal as applicable</x:v>
      </x:c>
      <x:c r="R143" s="56" t="str">
        <x:v>Q3
Q9
Q14
Q17
Q18
Q19
Q20</x:v>
      </x:c>
      <x:c r="S143" s="56" t="str">
        <x:v>GLOBAL-09:unapproved_country
GLOBAL-09:deny_wins
GLOBAL-09:revoked_partner
GLOBAL-09:residency_mismatch</x:v>
      </x:c>
      <x:c r="T143" s="56" t="str">
        <x:v>production deploy or mutation
production/real-customer data access
secret value read or output
scope outside allowed paths
approval/status invention
history rewrite</x:v>
      </x:c>
      <x:c r="U143" s="56" t="str">
        <x:v>document and rehearse scoped rollback before state-changing acceptance</x:v>
      </x:c>
      <x:c r="V143" s="56" t="str">
        <x:v>SEPARATE_APPROVAL_REQUIRED</x:v>
      </x:c>
      <x:c r="W14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43" s="56" t="str">
        <x:v>NOT_CHECKED</x:v>
      </x:c>
    </x:row>
    <x:row r="144" ht="104" hidden="0" customHeight="1">
      <x:c r="A144" s="56" t="str">
        <x:v>GLOBAL-10</x:v>
      </x:c>
      <x:c r="B144" s="56" t="str">
        <x:v>F</x:v>
      </x:c>
      <x:c r="C144" s="56" t="str">
        <x:v>GLOBAL</x:v>
      </x:c>
      <x:c r="D144" s="56" t="str">
        <x:v>International pilot release decision</x:v>
      </x:c>
      <x:c r="E144" s="56" t="str">
        <x:v>Partnerships + Legal + Platform</x:v>
      </x:c>
      <x:c r="F144" s="57" t="str">
        <x:v>NOT_STARTED</x:v>
      </x:c>
      <x:c r="G144" s="73" t="n">
        <x:v>2</x:v>
      </x:c>
      <x:c r="H144" s="73" t="n">
        <x:v>5</x:v>
      </x:c>
      <x:c r="I144" s="56" t="str">
        <x:v>GLOBAL-09</x:v>
      </x:c>
      <x:c r="J144" s="56" t="str">
        <x:v>G03;G04;G06;G12</x:v>
      </x:c>
      <x:c r="K144" s="56" t="str">
        <x:v>evidence/GLOBAL-10/receipt.json + diff/spec/test logs</x:v>
      </x:c>
      <x:c r="L144" s="57" t="str">
        <x:v>Real unit economics, support coverage, legal signoff</x:v>
      </x:c>
      <x:c r="M144" s="69" t="str">
        <x:v>CHƯA PHÂN CÔNG</x:v>
      </x:c>
      <x:c r="N144" s="56" t="str">
        <x:v>packages/country-policy/**
packages/partners/**
content/locales/**
tests/global/**
docs/**</x:v>
      </x:c>
      <x:c r="O144" s="56" t="str">
        <x:v>GLOBAL-10:country_pack
GLOBAL-10:policy_intersection
GLOBAL-10:rights_translation
GLOBAL-10:partner_scope
GLOBAL-10:exit_continuity</x:v>
      </x:c>
      <x:c r="P144" s="56" t="str">
        <x:v>evidence/tasks/GLOBAL-10/&lt;sha&gt;/receipt.json</x:v>
      </x:c>
      <x:c r="Q144" s="56" t="str">
        <x:v>Independent QA/Security/Legal as applicable</x:v>
      </x:c>
      <x:c r="R144" s="56" t="str">
        <x:v>Q3
Q9
Q14
Q17
Q18
Q19
Q20</x:v>
      </x:c>
      <x:c r="S144" s="56" t="str">
        <x:v>GLOBAL-10:unapproved_country
GLOBAL-10:deny_wins
GLOBAL-10:revoked_partner
GLOBAL-10:residency_mismatch</x:v>
      </x:c>
      <x:c r="T144" s="56" t="str">
        <x:v>production deploy or mutation
production/real-customer data access
secret value read or output
scope outside allowed paths
approval/status invention
history rewrite</x:v>
      </x:c>
      <x:c r="U144" s="56" t="str">
        <x:v>document and rehearse scoped rollback before state-changing acceptance</x:v>
      </x:c>
      <x:c r="V144" s="56" t="str">
        <x:v>SEPARATE_APPROVAL_REQUIRED</x:v>
      </x:c>
      <x:c r="W14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44" s="56" t="str">
        <x:v>NOT_CHECKED</x:v>
      </x:c>
    </x:row>
    <x:row r="145" ht="104" hidden="0" customHeight="1">
      <x:c r="A145" s="56" t="str">
        <x:v>UPG-PRD-001</x:v>
      </x:c>
      <x:c r="B145" s="56" t="str">
        <x:v>A</x:v>
      </x:c>
      <x:c r="C145" s="56" t="str">
        <x:v>GOV</x:v>
      </x:c>
      <x:c r="D145" s="56" t="str">
        <x:v>Chốt product execution charter và metric success/kill</x:v>
      </x:c>
      <x:c r="E145" s="56" t="str">
        <x:v>Product Lead</x:v>
      </x:c>
      <x:c r="F145" s="56" t="str">
        <x:v>NOT_STARTED</x:v>
      </x:c>
      <x:c r="G145" s="74" t="n">
        <x:v>3</x:v>
      </x:c>
      <x:c r="H145" s="74" t="n">
        <x:v>6</x:v>
      </x:c>
      <x:c r="I145" s="56" t="str">
        <x:v>GOV-01</x:v>
      </x:c>
      <x:c r="J145" s="56" t="str">
        <x:v>G04;G06;G12</x:v>
      </x:c>
      <x:c r="K145" s="56" t="str">
        <x:v>01_Chien_luoc_San_pham/07_PRODUCT_EXECUTION_CHARTER_2026-10-20.md + decision receipt</x:v>
      </x:c>
      <x:c r="L145" s="56" t="str">
        <x:v>23 products retained; targets/kill rules/authority are explicit and reviewed</x:v>
      </x:c>
      <x:c r="M145" s="69" t="str">
        <x:v>CHƯA PHÂN CÔNG</x:v>
      </x:c>
      <x:c r="N145" s="56" t="str">
        <x:v>docs/**
governance/**
evidence/governance/**</x:v>
      </x:c>
      <x:c r="O145" s="56" t="str">
        <x:v>UPG-PRD-001:schema_validation
UPG-PRD-001:decision_dependency_review
UPG-PRD-001:source_rights_review
UPG-PRD-001:json_csv_parity</x:v>
      </x:c>
      <x:c r="P145" s="56" t="str">
        <x:v>evidence/tasks/UPG-PRD-001/&lt;sha&gt;/receipt.json</x:v>
      </x:c>
      <x:c r="Q145" s="56" t="str">
        <x:v>Independent QA/Security/Legal/Accessibility/Finance as applicable</x:v>
      </x:c>
      <x:c r="R145" s="56" t="str">
        <x:v>Q1
Q8
Q20</x:v>
      </x:c>
      <x:c r="S145" s="56" t="str">
        <x:v>UPG-PRD-001:missing_approver_not_promoted
UPG-PRD-001:pending_decision_not_encoded_as_approved</x:v>
      </x:c>
      <x:c r="T145" s="56" t="str">
        <x:v>production deploy or mutation
production/real-customer data access
secret value read or output
scope outside allowed paths
approval/status invention
history rewrite</x:v>
      </x:c>
      <x:c r="U145" s="56" t="str">
        <x:v>revert document/decision version with audit trail</x:v>
      </x:c>
      <x:c r="V145" s="56" t="str">
        <x:v>SEPARATE_APPROVAL_REQUIRED</x:v>
      </x:c>
      <x:c r="W14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45" s="56" t="str">
        <x:v>NOT_CHECKED</x:v>
      </x:c>
    </x:row>
    <x:row r="146" ht="104" hidden="0" customHeight="1">
      <x:c r="A146" s="56" t="str">
        <x:v>UPG-PRD-002</x:v>
      </x:c>
      <x:c r="B146" s="56" t="str">
        <x:v>A</x:v>
      </x:c>
      <x:c r="C146" s="56" t="str">
        <x:v>GOV</x:v>
      </x:c>
      <x:c r="D146" s="56" t="str">
        <x:v>Đóng contract stage và evidence cho đủ 23 sản phẩm</x:v>
      </x:c>
      <x:c r="E146" s="56" t="str">
        <x:v>Product Lead</x:v>
      </x:c>
      <x:c r="F146" s="56" t="str">
        <x:v>NOT_STARTED</x:v>
      </x:c>
      <x:c r="G146" s="74" t="n">
        <x:v>3</x:v>
      </x:c>
      <x:c r="H146" s="74" t="n">
        <x:v>7</x:v>
      </x:c>
      <x:c r="I146" s="56" t="str">
        <x:v>UPG-PRD-001</x:v>
      </x:c>
      <x:c r="J146" s="56" t="str">
        <x:v>G04;G06;G12</x:v>
      </x:c>
      <x:c r="K146" s="56" t="str">
        <x:v>PRODUCT_EXECUTION_EXTENSION.json/csv + parity receipt</x:v>
      </x:c>
      <x:c r="L146" s="56" t="str">
        <x:v>23/23 product IDs resolve; no launch implied; non-additive estimates labeled</x:v>
      </x:c>
      <x:c r="M146" s="69" t="str">
        <x:v>CHƯA PHÂN CÔNG</x:v>
      </x:c>
      <x:c r="N146" s="56" t="str">
        <x:v>docs/**
governance/**
evidence/governance/**</x:v>
      </x:c>
      <x:c r="O146" s="56" t="str">
        <x:v>UPG-PRD-002:schema_validation
UPG-PRD-002:decision_dependency_review
UPG-PRD-002:source_rights_review
UPG-PRD-002:json_csv_parity</x:v>
      </x:c>
      <x:c r="P146" s="56" t="str">
        <x:v>evidence/tasks/UPG-PRD-002/&lt;sha&gt;/receipt.json</x:v>
      </x:c>
      <x:c r="Q146" s="56" t="str">
        <x:v>Independent QA/Security/Legal/Accessibility/Finance as applicable</x:v>
      </x:c>
      <x:c r="R146" s="56" t="str">
        <x:v>Q1
Q2
Q8
Q20</x:v>
      </x:c>
      <x:c r="S146" s="56" t="str">
        <x:v>UPG-PRD-002:missing_approver_not_promoted
UPG-PRD-002:pending_decision_not_encoded_as_approved</x:v>
      </x:c>
      <x:c r="T146" s="56" t="str">
        <x:v>production deploy or mutation
production/real-customer data access
secret value read or output
scope outside allowed paths
approval/status invention
history rewrite</x:v>
      </x:c>
      <x:c r="U146" s="56" t="str">
        <x:v>revert document/decision version with audit trail</x:v>
      </x:c>
      <x:c r="V146" s="56" t="str">
        <x:v>SEPARATE_APPROVAL_REQUIRED</x:v>
      </x:c>
      <x:c r="W14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46" s="56" t="str">
        <x:v>NOT_CHECKED</x:v>
      </x:c>
    </x:row>
    <x:row r="147" ht="104" hidden="0" customHeight="1">
      <x:c r="A147" s="56" t="str">
        <x:v>UPG-UX-001</x:v>
      </x:c>
      <x:c r="B147" s="56" t="str">
        <x:v>C</x:v>
      </x:c>
      <x:c r="C147" s="56" t="str">
        <x:v>WEB</x:v>
      </x:c>
      <x:c r="D147" s="56" t="str">
        <x:v>Triển khai contract responsive/PWA và trạng thái đủ 45 màn hình</x:v>
      </x:c>
      <x:c r="E147" s="56" t="str">
        <x:v>Frontend/UX Lead</x:v>
      </x:c>
      <x:c r="F147" s="56" t="str">
        <x:v>NOT_STARTED</x:v>
      </x:c>
      <x:c r="G147" s="74" t="n">
        <x:v>8</x:v>
      </x:c>
      <x:c r="H147" s="74" t="n">
        <x:v>16</x:v>
      </x:c>
      <x:c r="I147" s="56" t="str">
        <x:v>WEB-09;UPG-BE-006</x:v>
      </x:c>
      <x:c r="J147" s="56" t="str">
        <x:v>G03;G08;G12</x:v>
      </x:c>
      <x:c r="K147" s="56" t="str">
        <x:v>SCREEN_EXECUTION_EXTENSION.json/csv + component and browser traces</x:v>
      </x:c>
      <x:c r="L147" s="56" t="str">
        <x:v>45/45 screen contracts pass phone/desktop/state/offline parity</x:v>
      </x:c>
      <x:c r="M147" s="69" t="str">
        <x:v>CHƯA PHÂN CÔNG</x:v>
      </x:c>
      <x:c r="N147" s="56" t="str">
        <x:v>apps/web/**
packages/ui/**
tests/ui/**
docs/**</x:v>
      </x:c>
      <x:c r="O147" s="56" t="str">
        <x:v>UPG-UX-001:component_state
UPG-UX-001:phone_desktop_parity
UPG-UX-001:browser_e2e
UPG-UX-001:wcag_manual_automated
UPG-UX-001:pwa_lifecycle</x:v>
      </x:c>
      <x:c r="P147" s="56" t="str">
        <x:v>evidence/tasks/UPG-UX-001/&lt;sha&gt;/receipt.json</x:v>
      </x:c>
      <x:c r="Q147" s="56" t="str">
        <x:v>Independent QA/Security/Legal/Accessibility/Finance as applicable</x:v>
      </x:c>
      <x:c r="R147" s="56" t="str">
        <x:v>Q9
Q15
Q20</x:v>
      </x:c>
      <x:c r="S147" s="56" t="str">
        <x:v>UPG-UX-001:offline_mutation_truth
UPG-UX-001:unauthorized_route
UPG-UX-001:stale_conflict
UPG-UX-001:private_cache</x:v>
      </x:c>
      <x:c r="T147" s="56" t="str">
        <x:v>production deploy or mutation
production/real-customer data access
secret value read or output
scope outside allowed paths
approval/status invention
history rewrite</x:v>
      </x:c>
      <x:c r="U147" s="56" t="str">
        <x:v>document and rehearse scoped rollback before state-changing acceptance</x:v>
      </x:c>
      <x:c r="V147" s="56" t="str">
        <x:v>SEPARATE_APPROVAL_REQUIRED</x:v>
      </x:c>
      <x:c r="W14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47" s="56" t="str">
        <x:v>NOT_CHECKED</x:v>
      </x:c>
    </x:row>
    <x:row r="148" ht="104" hidden="0" customHeight="1">
      <x:c r="A148" s="56" t="str">
        <x:v>UPG-UX-002</x:v>
      </x:c>
      <x:c r="B148" s="56" t="str">
        <x:v>C</x:v>
      </x:c>
      <x:c r="C148" s="56" t="str">
        <x:v>WEB</x:v>
      </x:c>
      <x:c r="D148" s="56" t="str">
        <x:v>Chạy demo usability tổng hợp bằng dữ liệu synthetic</x:v>
      </x:c>
      <x:c r="E148" s="56" t="str">
        <x:v>UX Research + QA</x:v>
      </x:c>
      <x:c r="F148" s="56" t="str">
        <x:v>NOT_STARTED</x:v>
      </x:c>
      <x:c r="G148" s="74" t="n">
        <x:v>5</x:v>
      </x:c>
      <x:c r="H148" s="74" t="n">
        <x:v>10</x:v>
      </x:c>
      <x:c r="I148" s="56" t="str">
        <x:v>UPG-UX-001;UPG-AI-001</x:v>
      </x:c>
      <x:c r="J148" s="56" t="str">
        <x:v>G03;G08;G10</x:v>
      </x:c>
      <x:c r="K148" s="56" t="str">
        <x:v>demo receipts DEMO-01..12 with fixture/build/device metadata</x:v>
      </x:c>
      <x:c r="L148" s="56" t="str">
        <x:v>All in-scope golden and adverse paths recorded without real customer data</x:v>
      </x:c>
      <x:c r="M148" s="69" t="str">
        <x:v>CHƯA PHÂN CÔNG</x:v>
      </x:c>
      <x:c r="N148" s="56" t="str">
        <x:v>apps/web/**
packages/ui/**
tests/ui/**
docs/**</x:v>
      </x:c>
      <x:c r="O148" s="56" t="str">
        <x:v>UPG-UX-002:component_state
UPG-UX-002:phone_desktop_parity
UPG-UX-002:browser_e2e
UPG-UX-002:wcag_manual_automated
UPG-UX-002:pwa_lifecycle</x:v>
      </x:c>
      <x:c r="P148" s="56" t="str">
        <x:v>evidence/tasks/UPG-UX-002/&lt;sha&gt;/receipt.json</x:v>
      </x:c>
      <x:c r="Q148" s="56" t="str">
        <x:v>Independent QA/Security/Legal/Accessibility/Finance as applicable</x:v>
      </x:c>
      <x:c r="R148" s="56" t="str">
        <x:v>Q1
Q9
Q20</x:v>
      </x:c>
      <x:c r="S148" s="56" t="str">
        <x:v>UPG-UX-002:offline_mutation_truth
UPG-UX-002:unauthorized_route
UPG-UX-002:stale_conflict
UPG-UX-002:private_cache</x:v>
      </x:c>
      <x:c r="T148" s="56" t="str">
        <x:v>production deploy or mutation
production/real-customer data access
secret value read or output
scope outside allowed paths
approval/status invention
history rewrite</x:v>
      </x:c>
      <x:c r="U148" s="56" t="str">
        <x:v>document and rehearse scoped rollback before state-changing acceptance</x:v>
      </x:c>
      <x:c r="V148" s="56" t="str">
        <x:v>SEPARATE_APPROVAL_REQUIRED</x:v>
      </x:c>
      <x:c r="W14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48" s="56" t="str">
        <x:v>NOT_CHECKED</x:v>
      </x:c>
    </x:row>
    <x:row r="149" ht="104" hidden="0" customHeight="1">
      <x:c r="A149" s="56" t="str">
        <x:v>UPG-UX-003</x:v>
      </x:c>
      <x:c r="B149" s="56" t="str">
        <x:v>C</x:v>
      </x:c>
      <x:c r="C149" s="56" t="str">
        <x:v>WEB</x:v>
      </x:c>
      <x:c r="D149" s="56" t="str">
        <x:v>Xác minh WCAG 2.2 AA cho critical flows và PWA lifecycle</x:v>
      </x:c>
      <x:c r="E149" s="56" t="str">
        <x:v>Accessibility QA</x:v>
      </x:c>
      <x:c r="F149" s="56" t="str">
        <x:v>NOT_STARTED</x:v>
      </x:c>
      <x:c r="G149" s="74" t="n">
        <x:v>5</x:v>
      </x:c>
      <x:c r="H149" s="74" t="n">
        <x:v>10</x:v>
      </x:c>
      <x:c r="I149" s="56" t="str">
        <x:v>UPG-UX-001;WEB-10</x:v>
      </x:c>
      <x:c r="J149" s="56" t="str">
        <x:v>G03;G08;G10</x:v>
      </x:c>
      <x:c r="K149" s="56" t="str">
        <x:v>automated and manual keyboard/AT/reflow receipts</x:v>
      </x:c>
      <x:c r="L149" s="56" t="str">
        <x:v>No critical accessibility blocker; failures and skips enumerated</x:v>
      </x:c>
      <x:c r="M149" s="69" t="str">
        <x:v>CHƯA PHÂN CÔNG</x:v>
      </x:c>
      <x:c r="N149" s="56" t="str">
        <x:v>apps/web/**
packages/ui/**
tests/ui/**
docs/**</x:v>
      </x:c>
      <x:c r="O149" s="56" t="str">
        <x:v>UPG-UX-003:component_state
UPG-UX-003:phone_desktop_parity
UPG-UX-003:browser_e2e
UPG-UX-003:wcag_manual_automated
UPG-UX-003:pwa_lifecycle</x:v>
      </x:c>
      <x:c r="P149" s="56" t="str">
        <x:v>evidence/tasks/UPG-UX-003/&lt;sha&gt;/receipt.json</x:v>
      </x:c>
      <x:c r="Q149" s="56" t="str">
        <x:v>Independent QA/Security/Legal/Accessibility/Finance as applicable</x:v>
      </x:c>
      <x:c r="R149" s="56" t="str">
        <x:v>Q9
Q20</x:v>
      </x:c>
      <x:c r="S149" s="56" t="str">
        <x:v>UPG-UX-003:offline_mutation_truth
UPG-UX-003:unauthorized_route
UPG-UX-003:stale_conflict
UPG-UX-003:private_cache</x:v>
      </x:c>
      <x:c r="T149" s="56" t="str">
        <x:v>production deploy or mutation
production/real-customer data access
secret value read or output
scope outside allowed paths
approval/status invention
history rewrite</x:v>
      </x:c>
      <x:c r="U149" s="56" t="str">
        <x:v>document and rehearse scoped rollback before state-changing acceptance</x:v>
      </x:c>
      <x:c r="V149" s="56" t="str">
        <x:v>SEPARATE_APPROVAL_REQUIRED</x:v>
      </x:c>
      <x:c r="W14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49" s="56" t="str">
        <x:v>NOT_CHECKED</x:v>
      </x:c>
    </x:row>
    <x:row r="150" ht="104" hidden="0" customHeight="1">
      <x:c r="A150" s="56" t="str">
        <x:v>UPG-AI-001</x:v>
      </x:c>
      <x:c r="B150" s="56" t="str">
        <x:v>C</x:v>
      </x:c>
      <x:c r="C150" s="56" t="str">
        <x:v>AI</x:v>
      </x:c>
      <x:c r="D150" s="56" t="str">
        <x:v>Đóng 9 hợp đồng AI/report khác biệt theo cấp</x:v>
      </x:c>
      <x:c r="E150" s="56" t="str">
        <x:v>AI + Editorial Lead</x:v>
      </x:c>
      <x:c r="F150" s="56" t="str">
        <x:v>NOT_STARTED</x:v>
      </x:c>
      <x:c r="G150" s="74" t="n">
        <x:v>8</x:v>
      </x:c>
      <x:c r="H150" s="74" t="n">
        <x:v>18</x:v>
      </x:c>
      <x:c r="I150" s="56" t="str">
        <x:v>AI-06;REPORT-01;METHOD-10</x:v>
      </x:c>
      <x:c r="J150" s="56" t="str">
        <x:v>G06;G08</x:v>
      </x:c>
      <x:c r="K150" s="56" t="str">
        <x:v>NINE_LEVEL_REPORT_CONTRACTS.json/csv + review receipt</x:v>
      </x:c>
      <x:c r="L150" s="56" t="str">
        <x:v>9/9 levels have typed inputs, AI boundary, reviewer, rejects and fixtures</x:v>
      </x:c>
      <x:c r="M150" s="69" t="str">
        <x:v>CHƯA PHÂN CÔNG</x:v>
      </x:c>
      <x:c r="N150" s="56" t="str">
        <x:v>packages/ai/**
packages/policy/**
evals/**
tests/ai/**
docs/**</x:v>
      </x:c>
      <x:c r="O150" s="56" t="str">
        <x:v>UPG-AI-001:claim_lineage
UPG-AI-001:prohibition
UPG-AI-001:retrieval_acl
UPG-AI-001:prompt_injection
UPG-AI-001:provider_failure
UPG-AI-001:cost_budget</x:v>
      </x:c>
      <x:c r="P150" s="56" t="str">
        <x:v>evidence/tasks/UPG-AI-001/&lt;sha&gt;/receipt.json</x:v>
      </x:c>
      <x:c r="Q150" s="56" t="str">
        <x:v>Independent QA/Security/Legal/Accessibility/Finance as applicable</x:v>
      </x:c>
      <x:c r="R150" s="56" t="str">
        <x:v>Q2
Q3
Q5
Q7
Q12
Q20</x:v>
      </x:c>
      <x:c r="S150" s="56" t="str">
        <x:v>UPG-AI-001:unauthorized_context
UPG-AI-001:invented_source
UPG-AI-001:unsafe_claim
UPG-AI-001:budget_exhaustion</x:v>
      </x:c>
      <x:c r="T150" s="56" t="str">
        <x:v>production deploy or mutation
production/real-customer data access
secret value read or output
scope outside allowed paths
approval/status invention
history rewrite</x:v>
      </x:c>
      <x:c r="U150" s="56" t="str">
        <x:v>document and rehearse scoped rollback before state-changing acceptance</x:v>
      </x:c>
      <x:c r="V150" s="56" t="str">
        <x:v>SEPARATE_APPROVAL_REQUIRED</x:v>
      </x:c>
      <x:c r="W15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50" s="56" t="str">
        <x:v>NOT_CHECKED</x:v>
      </x:c>
    </x:row>
    <x:row r="151" ht="104" hidden="0" customHeight="1">
      <x:c r="A151" s="56" t="str">
        <x:v>UPG-AI-002</x:v>
      </x:c>
      <x:c r="B151" s="56" t="str">
        <x:v>C</x:v>
      </x:c>
      <x:c r="C151" s="56" t="str">
        <x:v>AI</x:v>
      </x:c>
      <x:c r="D151" s="56" t="str">
        <x:v>Xây evaluation, injection, lineage, cost và failure suite cho 9 cấp</x:v>
      </x:c>
      <x:c r="E151" s="56" t="str">
        <x:v>AI QA + Security</x:v>
      </x:c>
      <x:c r="F151" s="56" t="str">
        <x:v>NOT_STARTED</x:v>
      </x:c>
      <x:c r="G151" s="74" t="n">
        <x:v>8</x:v>
      </x:c>
      <x:c r="H151" s="74" t="n">
        <x:v>20</x:v>
      </x:c>
      <x:c r="I151" s="56" t="str">
        <x:v>UPG-AI-001;AI-07;AI-08</x:v>
      </x:c>
      <x:c r="J151" s="56" t="str">
        <x:v>G06;G08;G10</x:v>
      </x:c>
      <x:c r="K151" s="56" t="str">
        <x:v>versioned eval set, counts, skips, cost/latency and redacted traces</x:v>
      </x:c>
      <x:c r="L151" s="56" t="str">
        <x:v>Hard-stop cases zero for exact candidate; no aggregate masks a critical failure</x:v>
      </x:c>
      <x:c r="M151" s="69" t="str">
        <x:v>CHƯA PHÂN CÔNG</x:v>
      </x:c>
      <x:c r="N151" s="56" t="str">
        <x:v>packages/ai/**
packages/policy/**
evals/**
tests/ai/**
docs/**</x:v>
      </x:c>
      <x:c r="O151" s="56" t="str">
        <x:v>UPG-AI-002:claim_lineage
UPG-AI-002:prohibition
UPG-AI-002:retrieval_acl
UPG-AI-002:prompt_injection
UPG-AI-002:provider_failure
UPG-AI-002:cost_budget</x:v>
      </x:c>
      <x:c r="P151" s="56" t="str">
        <x:v>evidence/tasks/UPG-AI-002/&lt;sha&gt;/receipt.json</x:v>
      </x:c>
      <x:c r="Q151" s="56" t="str">
        <x:v>Independent QA/Security/Legal/Accessibility/Finance as applicable</x:v>
      </x:c>
      <x:c r="R151" s="56" t="str">
        <x:v>Q9
Q15
Q16
Q20</x:v>
      </x:c>
      <x:c r="S151" s="56" t="str">
        <x:v>UPG-AI-002:unauthorized_context
UPG-AI-002:invented_source
UPG-AI-002:unsafe_claim
UPG-AI-002:budget_exhaustion</x:v>
      </x:c>
      <x:c r="T151" s="56" t="str">
        <x:v>production deploy or mutation
production/real-customer data access
secret value read or output
scope outside allowed paths
approval/status invention
history rewrite</x:v>
      </x:c>
      <x:c r="U151" s="56" t="str">
        <x:v>document and rehearse scoped rollback before state-changing acceptance</x:v>
      </x:c>
      <x:c r="V151" s="56" t="str">
        <x:v>SEPARATE_APPROVAL_REQUIRED</x:v>
      </x:c>
      <x:c r="W151"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51" s="56" t="str">
        <x:v>NOT_CHECKED</x:v>
      </x:c>
    </x:row>
    <x:row r="152" ht="104" hidden="0" customHeight="1">
      <x:c r="A152" s="56" t="str">
        <x:v>UPG-PM-001</x:v>
      </x:c>
      <x:c r="B152" s="56" t="str">
        <x:v>A</x:v>
      </x:c>
      <x:c r="C152" s="56" t="str">
        <x:v>GOV</x:v>
      </x:c>
      <x:c r="D152" s="56" t="str">
        <x:v>Duy trì requirement-to-screen-API-task-test-evidence trace</x:v>
      </x:c>
      <x:c r="E152" s="56" t="str">
        <x:v>Program Lead + QA</x:v>
      </x:c>
      <x:c r="F152" s="56" t="str">
        <x:v>NOT_STARTED</x:v>
      </x:c>
      <x:c r="G152" s="74" t="n">
        <x:v>4</x:v>
      </x:c>
      <x:c r="H152" s="74" t="n">
        <x:v>8</x:v>
      </x:c>
      <x:c r="I152" s="56" t="str">
        <x:v>UPG-PRD-002;UPG-UX-001;UPG-AI-001;UPG-BE-006</x:v>
      </x:c>
      <x:c r="J152" s="56" t="str">
        <x:v>G01;G04;G06;G12</x:v>
      </x:c>
      <x:c r="K152" s="56" t="str">
        <x:v>REQUIREMENT_TRACE_MATRIX.json/csv + referential validation receipt</x:v>
      </x:c>
      <x:c r="L152" s="56" t="str">
        <x:v>23 products, 45 screens, 9 levels and cross-cutting requirements resolve</x:v>
      </x:c>
      <x:c r="M152" s="69" t="str">
        <x:v>CHƯA PHÂN CÔNG</x:v>
      </x:c>
      <x:c r="N152" s="56" t="str">
        <x:v>docs/**
governance/**
evidence/governance/**</x:v>
      </x:c>
      <x:c r="O152" s="56" t="str">
        <x:v>UPG-PM-001:schema_validation
UPG-PM-001:decision_dependency_review
UPG-PM-001:source_rights_review
UPG-PM-001:json_csv_parity</x:v>
      </x:c>
      <x:c r="P152" s="56" t="str">
        <x:v>evidence/tasks/UPG-PM-001/&lt;sha&gt;/receipt.json</x:v>
      </x:c>
      <x:c r="Q152" s="56" t="str">
        <x:v>Independent QA/Security/Legal/Accessibility/Finance as applicable</x:v>
      </x:c>
      <x:c r="R152" s="56" t="str">
        <x:v>Q1
Q2
Q20</x:v>
      </x:c>
      <x:c r="S152" s="56" t="str">
        <x:v>UPG-PM-001:missing_approver_not_promoted
UPG-PM-001:pending_decision_not_encoded_as_approved</x:v>
      </x:c>
      <x:c r="T152" s="56" t="str">
        <x:v>production deploy or mutation
production/real-customer data access
secret value read or output
scope outside allowed paths
approval/status invention
history rewrite</x:v>
      </x:c>
      <x:c r="U152" s="56" t="str">
        <x:v>revert document/decision version with audit trail</x:v>
      </x:c>
      <x:c r="V152" s="56" t="str">
        <x:v>SEPARATE_APPROVAL_REQUIRED</x:v>
      </x:c>
      <x:c r="W152"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52" s="56" t="str">
        <x:v>NOT_CHECKED</x:v>
      </x:c>
    </x:row>
    <x:row r="153" ht="104" hidden="0" customHeight="1">
      <x:c r="A153" s="56" t="str">
        <x:v>UPG-PM-002</x:v>
      </x:c>
      <x:c r="B153" s="56" t="str">
        <x:v>A</x:v>
      </x:c>
      <x:c r="C153" s="56" t="str">
        <x:v>GOV</x:v>
      </x:c>
      <x:c r="D153" s="56" t="str">
        <x:v>Chốt capacity, rate inputs, cost scenarios và estimate variance</x:v>
      </x:c>
      <x:c r="E153" s="56" t="str">
        <x:v>Program Lead + Finance</x:v>
      </x:c>
      <x:c r="F153" s="56" t="str">
        <x:v>NOT_STARTED</x:v>
      </x:c>
      <x:c r="G153" s="74" t="n">
        <x:v>2</x:v>
      </x:c>
      <x:c r="H153" s="74" t="n">
        <x:v>4</x:v>
      </x:c>
      <x:c r="I153" s="56" t="str">
        <x:v>UPG-PM-001</x:v>
      </x:c>
      <x:c r="J153" s="56" t="str">
        <x:v>G04;G12</x:v>
      </x:c>
      <x:c r="K153" s="56" t="str">
        <x:v>approved COST_INPUTS and low/base/high scenario receipt</x:v>
      </x:c>
      <x:c r="L153" s="56" t="str">
        <x:v>No missing cost input treated as zero; currency/date/owner/contingency explicit</x:v>
      </x:c>
      <x:c r="M153" s="69" t="str">
        <x:v>CHƯA PHÂN CÔNG</x:v>
      </x:c>
      <x:c r="N153" s="56" t="str">
        <x:v>docs/**
governance/**
evidence/governance/**</x:v>
      </x:c>
      <x:c r="O153" s="56" t="str">
        <x:v>UPG-PM-002:schema_validation
UPG-PM-002:decision_dependency_review
UPG-PM-002:source_rights_review
UPG-PM-002:json_csv_parity</x:v>
      </x:c>
      <x:c r="P153" s="56" t="str">
        <x:v>evidence/tasks/UPG-PM-002/&lt;sha&gt;/receipt.json</x:v>
      </x:c>
      <x:c r="Q153" s="56" t="str">
        <x:v>Independent QA/Security/Legal/Accessibility/Finance as applicable</x:v>
      </x:c>
      <x:c r="R153" s="56" t="str">
        <x:v>Q14
Q15
Q20</x:v>
      </x:c>
      <x:c r="S153" s="56" t="str">
        <x:v>UPG-PM-002:missing_approver_not_promoted
UPG-PM-002:pending_decision_not_encoded_as_approved</x:v>
      </x:c>
      <x:c r="T153" s="56" t="str">
        <x:v>production deploy or mutation
production/real-customer data access
secret value read or output
scope outside allowed paths
approval/status invention
history rewrite</x:v>
      </x:c>
      <x:c r="U153" s="56" t="str">
        <x:v>revert document/decision version with audit trail</x:v>
      </x:c>
      <x:c r="V153" s="56" t="str">
        <x:v>SEPARATE_APPROVAL_REQUIRED</x:v>
      </x:c>
      <x:c r="W153"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53" s="56" t="str">
        <x:v>NOT_CHECKED</x:v>
      </x:c>
    </x:row>
    <x:row r="154" ht="104" hidden="0" customHeight="1">
      <x:c r="A154" s="56" t="str">
        <x:v>UPG-BE-001</x:v>
      </x:c>
      <x:c r="B154" s="56" t="str">
        <x:v>C</x:v>
      </x:c>
      <x:c r="C154" s="56" t="str">
        <x:v>METHOD</x:v>
      </x:c>
      <x:c r="D154" s="56" t="str">
        <x:v>Triển khai method/source/rights release registry</x:v>
      </x:c>
      <x:c r="E154" s="56" t="str">
        <x:v>Backend + Method</x:v>
      </x:c>
      <x:c r="F154" s="56" t="str">
        <x:v>NOT_STARTED</x:v>
      </x:c>
      <x:c r="G154" s="74" t="n">
        <x:v>5</x:v>
      </x:c>
      <x:c r="H154" s="74" t="n">
        <x:v>10</x:v>
      </x:c>
      <x:c r="I154" s="56" t="str">
        <x:v>METHOD-10;GOV-07</x:v>
      </x:c>
      <x:c r="J154" s="56" t="str">
        <x:v>G04;G06</x:v>
      </x:c>
      <x:c r="K154" s="56" t="str">
        <x:v>versioned registry schema, revoke impact and rights negative tests</x:v>
      </x:c>
      <x:c r="L154" s="56" t="str">
        <x:v>Unreleased/revoked/missing-right method cannot execute or publish</x:v>
      </x:c>
      <x:c r="M154" s="69" t="str">
        <x:v>CHƯA PHÂN CÔNG</x:v>
      </x:c>
      <x:c r="N154" s="56" t="str">
        <x:v>packages/methods/**
packages/registry/**
tests/methods/**
docs/**</x:v>
      </x:c>
      <x:c r="O154" s="56" t="str">
        <x:v>UPG-BE-001:golden_fixture
UPG-BE-001:property_boundary
UPG-BE-001:source_right_release
UPG-BE-001:revoke_impact</x:v>
      </x:c>
      <x:c r="P154" s="56" t="str">
        <x:v>evidence/tasks/UPG-BE-001/&lt;sha&gt;/receipt.json</x:v>
      </x:c>
      <x:c r="Q154" s="56" t="str">
        <x:v>Independent QA/Security/Legal/Accessibility/Finance as applicable</x:v>
      </x:c>
      <x:c r="R154" s="56" t="str">
        <x:v>Q3
Q12</x:v>
      </x:c>
      <x:c r="S154" s="56" t="str">
        <x:v>UPG-BE-001:unknown_rule
UPG-BE-001:revoked_release
UPG-BE-001:missing_right
UPG-BE-001:null_zero_confusion</x:v>
      </x:c>
      <x:c r="T154" s="56" t="str">
        <x:v>production deploy or mutation
production/real-customer data access
secret value read or output
scope outside allowed paths
approval/status invention
history rewrite</x:v>
      </x:c>
      <x:c r="U154" s="56" t="str">
        <x:v>document and rehearse scoped rollback before state-changing acceptance</x:v>
      </x:c>
      <x:c r="V154" s="56" t="str">
        <x:v>SEPARATE_APPROVAL_REQUIRED</x:v>
      </x:c>
      <x:c r="W154"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54" s="56" t="str">
        <x:v>NOT_CHECKED</x:v>
      </x:c>
    </x:row>
    <x:row r="155" ht="104" hidden="0" customHeight="1">
      <x:c r="A155" s="56" t="str">
        <x:v>UPG-BE-002</x:v>
      </x:c>
      <x:c r="B155" s="56" t="str">
        <x:v>C</x:v>
      </x:c>
      <x:c r="C155" s="56" t="str">
        <x:v>API</x:v>
      </x:c>
      <x:c r="D155" s="56" t="str">
        <x:v>Triển khai typed formula/result/null-decimal-time contract</x:v>
      </x:c>
      <x:c r="E155" s="56" t="str">
        <x:v>Backend + Data</x:v>
      </x:c>
      <x:c r="F155" s="56" t="str">
        <x:v>NOT_STARTED</x:v>
      </x:c>
      <x:c r="G155" s="74" t="n">
        <x:v>5</x:v>
      </x:c>
      <x:c r="H155" s="74" t="n">
        <x:v>10</x:v>
      </x:c>
      <x:c r="I155" s="56" t="str">
        <x:v>API-01;METHOD-07</x:v>
      </x:c>
      <x:c r="J155" s="56" t="str">
        <x:v>G05;G06;G09</x:v>
      </x:c>
      <x:c r="K155" s="56" t="str">
        <x:v>schema, golden/property/boundary fixtures and compatibility receipt</x:v>
      </x:c>
      <x:c r="L155" s="56" t="str">
        <x:v>Unknown/null/withheld distinct; decimal/timezone rules reproducible</x:v>
      </x:c>
      <x:c r="M155" s="69" t="str">
        <x:v>CHƯA PHÂN CÔNG</x:v>
      </x:c>
      <x:c r="N155" s="56" t="str">
        <x:v>apps/api/**
packages/contracts/**
openapi/**
tests/contract/**
docs/**</x:v>
      </x:c>
      <x:c r="O155" s="56" t="str">
        <x:v>UPG-BE-002:openapi_schema
UPG-BE-002:operation_contract
UPG-BE-002:error_envelope
UPG-BE-002:auth_negative
UPG-BE-002:compatibility</x:v>
      </x:c>
      <x:c r="P155" s="56" t="str">
        <x:v>evidence/tasks/UPG-BE-002/&lt;sha&gt;/receipt.json</x:v>
      </x:c>
      <x:c r="Q155" s="56" t="str">
        <x:v>Independent QA/Security/Legal/Accessibility/Finance as applicable</x:v>
      </x:c>
      <x:c r="R155" s="56" t="str">
        <x:v>Q3
Q5
Q12</x:v>
      </x:c>
      <x:c r="S155" s="56" t="str">
        <x:v>UPG-BE-002:invalid_type
UPG-BE-002:missing_scope
UPG-BE-002:idempotency_replay
UPG-BE-002:oversized_payload</x:v>
      </x:c>
      <x:c r="T155" s="56" t="str">
        <x:v>production deploy or mutation
production/real-customer data access
secret value read or output
scope outside allowed paths
approval/status invention
history rewrite</x:v>
      </x:c>
      <x:c r="U155" s="56" t="str">
        <x:v>document and rehearse scoped rollback before state-changing acceptance</x:v>
      </x:c>
      <x:c r="V155" s="56" t="str">
        <x:v>SEPARATE_APPROVAL_REQUIRED</x:v>
      </x:c>
      <x:c r="W155"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55" s="56" t="str">
        <x:v>NOT_CHECKED</x:v>
      </x:c>
    </x:row>
    <x:row r="156" ht="104" hidden="0" customHeight="1">
      <x:c r="A156" s="56" t="str">
        <x:v>UPG-BE-003</x:v>
      </x:c>
      <x:c r="B156" s="56" t="str">
        <x:v>B</x:v>
      </x:c>
      <x:c r="C156" s="56" t="str">
        <x:v>TRUST</x:v>
      </x:c>
      <x:c r="D156" s="56" t="str">
        <x:v>Triển khai object/tenant/subject authorization và RLS design</x:v>
      </x:c>
      <x:c r="E156" s="56" t="str">
        <x:v>Backend + Security</x:v>
      </x:c>
      <x:c r="F156" s="56" t="str">
        <x:v>NOT_STARTED</x:v>
      </x:c>
      <x:c r="G156" s="74" t="n">
        <x:v>8</x:v>
      </x:c>
      <x:c r="H156" s="74" t="n">
        <x:v>16</x:v>
      </x:c>
      <x:c r="I156" s="56" t="str">
        <x:v>TRUST-05;API-01</x:v>
      </x:c>
      <x:c r="J156" s="56" t="str">
        <x:v>G02;G03;G05;G09</x:v>
      </x:c>
      <x:c r="K156" s="56" t="str">
        <x:v>auth matrix, RLS policy tests and cross-object/tenant negative traces</x:v>
      </x:c>
      <x:c r="L156" s="56" t="str">
        <x:v>Client IDs never authorize; enumeration and tenant/subject swaps denied</x:v>
      </x:c>
      <x:c r="M156" s="69" t="str">
        <x:v>CHƯA PHÂN CÔNG</x:v>
      </x:c>
      <x:c r="N156" s="56" t="str">
        <x:v>apps/api/auth/**
packages/auth/**
packages/policy/**
db/policies/**
tests/security/**
docs/**</x:v>
      </x:c>
      <x:c r="O156" s="56" t="str">
        <x:v>UPG-BE-003:auth_contract
UPG-BE-003:object_subject_tenant_matrix
UPG-BE-003:rls_integration
UPG-BE-003:session_csrf_origin</x:v>
      </x:c>
      <x:c r="P156" s="56" t="str">
        <x:v>evidence/tasks/UPG-BE-003/&lt;sha&gt;/receipt.json</x:v>
      </x:c>
      <x:c r="Q156" s="56" t="str">
        <x:v>Independent QA/Security/Legal/Accessibility/Finance as applicable</x:v>
      </x:c>
      <x:c r="R156" s="56" t="str">
        <x:v>Q4
Q9
Q18</x:v>
      </x:c>
      <x:c r="S156" s="56" t="str">
        <x:v>UPG-BE-003:idor
UPG-BE-003:tenant_swap
UPG-BE-003:subject_swap
UPG-BE-003:revoked_grant
UPG-BE-003:enumeration</x:v>
      </x:c>
      <x:c r="T156" s="56" t="str">
        <x:v>production deploy or mutation
production/real-customer data access
secret value read or output
scope outside allowed paths
approval/status invention
history rewrite</x:v>
      </x:c>
      <x:c r="U156" s="56" t="str">
        <x:v>document and rehearse scoped rollback before state-changing acceptance</x:v>
      </x:c>
      <x:c r="V156" s="56" t="str">
        <x:v>SEPARATE_APPROVAL_REQUIRED</x:v>
      </x:c>
      <x:c r="W156"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56" s="56" t="str">
        <x:v>NOT_CHECKED</x:v>
      </x:c>
    </x:row>
    <x:row r="157" ht="104" hidden="0" customHeight="1">
      <x:c r="A157" s="56" t="str">
        <x:v>UPG-BE-004</x:v>
      </x:c>
      <x:c r="B157" s="56" t="str">
        <x:v>B</x:v>
      </x:c>
      <x:c r="C157" s="56" t="str">
        <x:v>DATA</x:v>
      </x:c>
      <x:c r="D157" s="56" t="str">
        <x:v>Triển khai jobs/outbox/idempotency/payment consistency</x:v>
      </x:c>
      <x:c r="E157" s="56" t="str">
        <x:v>Backend + Commerce</x:v>
      </x:c>
      <x:c r="F157" s="56" t="str">
        <x:v>NOT_STARTED</x:v>
      </x:c>
      <x:c r="G157" s="74" t="n">
        <x:v>8</x:v>
      </x:c>
      <x:c r="H157" s="74" t="n">
        <x:v>16</x:v>
      </x:c>
      <x:c r="I157" s="56" t="str">
        <x:v>DATA-06;COMMERCE-04;API-01</x:v>
      </x:c>
      <x:c r="J157" s="56" t="str">
        <x:v>G05;G07;G09;G10</x:v>
      </x:c>
      <x:c r="K157" s="56" t="str">
        <x:v>state-machine/property/replay/reconciliation and recovery receipts</x:v>
      </x:c>
      <x:c r="L157" s="56" t="str">
        <x:v>No duplicate fulfillment; terminal and ambiguous states recoverable</x:v>
      </x:c>
      <x:c r="M157" s="69" t="str">
        <x:v>CHƯA PHÂN CÔNG</x:v>
      </x:c>
      <x:c r="N157" s="56" t="str">
        <x:v>packages/data/**
db/migrations/**
apps/worker/jobs/**
tests/data/**
docs/**</x:v>
      </x:c>
      <x:c r="O157" s="56" t="str">
        <x:v>UPG-BE-004:schema_contract
UPG-BE-004:migration_dry_run
UPG-BE-004:reconciliation
UPG-BE-004:outbox_idempotency
UPG-BE-004:export_delete</x:v>
      </x:c>
      <x:c r="P157" s="56" t="str">
        <x:v>evidence/tasks/UPG-BE-004/&lt;sha&gt;/receipt.json</x:v>
      </x:c>
      <x:c r="Q157" s="56" t="str">
        <x:v>Independent QA/Security/Legal/Accessibility/Finance as applicable</x:v>
      </x:c>
      <x:c r="R157" s="56" t="str">
        <x:v>Q4
Q14
Q15</x:v>
      </x:c>
      <x:c r="S157" s="56" t="str">
        <x:v>UPG-BE-004:partial_failure
UPG-BE-004:replay
UPG-BE-004:rollback
UPG-BE-004:legal_hold</x:v>
      </x:c>
      <x:c r="T157" s="56" t="str">
        <x:v>production deploy or mutation
production/real-customer data access
secret value read or output
scope outside allowed paths
approval/status invention
history rewrite</x:v>
      </x:c>
      <x:c r="U157" s="56" t="str">
        <x:v>document and rehearse scoped rollback before state-changing acceptance</x:v>
      </x:c>
      <x:c r="V157" s="56" t="str">
        <x:v>SEPARATE_APPROVAL_REQUIRED</x:v>
      </x:c>
      <x:c r="W157"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57" s="56" t="str">
        <x:v>NOT_CHECKED</x:v>
      </x:c>
    </x:row>
    <x:row r="158" ht="104" hidden="0" customHeight="1">
      <x:c r="A158" s="56" t="str">
        <x:v>UPG-BE-005</x:v>
      </x:c>
      <x:c r="B158" s="56" t="str">
        <x:v>B</x:v>
      </x:c>
      <x:c r="C158" s="56" t="str">
        <x:v>DATA</x:v>
      </x:c>
      <x:c r="D158" s="56" t="str">
        <x:v>Chạy D1→Postgres dry-run, reconcile và rollback bằng synthetic</x:v>
      </x:c>
      <x:c r="E158" s="56" t="str">
        <x:v>Data Lead</x:v>
      </x:c>
      <x:c r="F158" s="56" t="str">
        <x:v>NOT_STARTED</x:v>
      </x:c>
      <x:c r="G158" s="74" t="n">
        <x:v>5</x:v>
      </x:c>
      <x:c r="H158" s="74" t="n">
        <x:v>10</x:v>
      </x:c>
      <x:c r="I158" s="56" t="str">
        <x:v>DATA-03;UPG-BE-002;UPG-BE-003</x:v>
      </x:c>
      <x:c r="J158" s="56" t="str">
        <x:v>G05;G07;G10</x:v>
      </x:c>
      <x:c r="K158" s="56" t="str">
        <x:v>dry-run manifest, row/hash reconciliation, reject set and rollback rehearsal</x:v>
      </x:c>
      <x:c r="L158" s="56" t="str">
        <x:v>No production data; counts/hashes/rejects exact; rollback restores baseline</x:v>
      </x:c>
      <x:c r="M158" s="69" t="str">
        <x:v>CHƯA PHÂN CÔNG</x:v>
      </x:c>
      <x:c r="N158" s="56" t="str">
        <x:v>packages/data/**
db/migrations/**
apps/worker/jobs/**
tests/data/**
docs/**</x:v>
      </x:c>
      <x:c r="O158" s="56" t="str">
        <x:v>UPG-BE-005:schema_contract
UPG-BE-005:migration_dry_run
UPG-BE-005:reconciliation
UPG-BE-005:outbox_idempotency
UPG-BE-005:export_delete</x:v>
      </x:c>
      <x:c r="P158" s="56" t="str">
        <x:v>evidence/tasks/UPG-BE-005/&lt;sha&gt;/receipt.json</x:v>
      </x:c>
      <x:c r="Q158" s="56" t="str">
        <x:v>Independent QA/Security/Legal/Accessibility/Finance as applicable</x:v>
      </x:c>
      <x:c r="R158" s="56" t="str">
        <x:v>Q9
Q15
Q20</x:v>
      </x:c>
      <x:c r="S158" s="56" t="str">
        <x:v>UPG-BE-005:partial_failure
UPG-BE-005:replay
UPG-BE-005:rollback
UPG-BE-005:legal_hold</x:v>
      </x:c>
      <x:c r="T158" s="56" t="str">
        <x:v>production deploy or mutation
production/real-customer data access
secret value read or output
scope outside allowed paths
approval/status invention
history rewrite</x:v>
      </x:c>
      <x:c r="U158" s="56" t="str">
        <x:v>document and rehearse scoped rollback before state-changing acceptance</x:v>
      </x:c>
      <x:c r="V158" s="56" t="str">
        <x:v>SEPARATE_APPROVAL_REQUIRED</x:v>
      </x:c>
      <x:c r="W158"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58" s="56" t="str">
        <x:v>NOT_CHECKED</x:v>
      </x:c>
    </x:row>
    <x:row r="159" ht="104" hidden="0" customHeight="1">
      <x:c r="A159" s="56" t="str">
        <x:v>UPG-BE-006</x:v>
      </x:c>
      <x:c r="B159" s="56" t="str">
        <x:v>C</x:v>
      </x:c>
      <x:c r="C159" s="56" t="str">
        <x:v>API</x:v>
      </x:c>
      <x:c r="D159" s="56" t="str">
        <x:v>Tạo OpenAPI overlay và contract/negative tests cho 64 operation</x:v>
      </x:c>
      <x:c r="E159" s="56" t="str">
        <x:v>API Lead + QA</x:v>
      </x:c>
      <x:c r="F159" s="56" t="str">
        <x:v>NOT_STARTED</x:v>
      </x:c>
      <x:c r="G159" s="74" t="n">
        <x:v>8</x:v>
      </x:c>
      <x:c r="H159" s="74" t="n">
        <x:v>14</x:v>
      </x:c>
      <x:c r="I159" s="56" t="str">
        <x:v>API-01;UPG-BE-002;UPG-BE-003</x:v>
      </x:c>
      <x:c r="J159" s="56" t="str">
        <x:v>G02;G03;G06;G09</x:v>
      </x:c>
      <x:c r="K159" s="56" t="str">
        <x:v>64-operation overlay, generated checks and negative-test receipt</x:v>
      </x:c>
      <x:c r="L159" s="56" t="str">
        <x:v>64/64 operation IDs retained; auth/error/idempotency schemas covered</x:v>
      </x:c>
      <x:c r="M159" s="69" t="str">
        <x:v>CHƯA PHÂN CÔNG</x:v>
      </x:c>
      <x:c r="N159" s="56" t="str">
        <x:v>apps/api/**
packages/contracts/**
openapi/**
tests/contract/**
docs/**</x:v>
      </x:c>
      <x:c r="O159" s="56" t="str">
        <x:v>UPG-BE-006:openapi_schema
UPG-BE-006:operation_contract
UPG-BE-006:error_envelope
UPG-BE-006:auth_negative
UPG-BE-006:compatibility</x:v>
      </x:c>
      <x:c r="P159" s="56" t="str">
        <x:v>evidence/tasks/UPG-BE-006/&lt;sha&gt;/receipt.json</x:v>
      </x:c>
      <x:c r="Q159" s="56" t="str">
        <x:v>Independent QA/Security/Legal/Accessibility/Finance as applicable</x:v>
      </x:c>
      <x:c r="R159" s="56" t="str">
        <x:v>Q4
Q9
Q15</x:v>
      </x:c>
      <x:c r="S159" s="56" t="str">
        <x:v>UPG-BE-006:invalid_type
UPG-BE-006:missing_scope
UPG-BE-006:idempotency_replay
UPG-BE-006:oversized_payload</x:v>
      </x:c>
      <x:c r="T159" s="56" t="str">
        <x:v>production deploy or mutation
production/real-customer data access
secret value read or output
scope outside allowed paths
approval/status invention
history rewrite</x:v>
      </x:c>
      <x:c r="U159" s="56" t="str">
        <x:v>document and rehearse scoped rollback before state-changing acceptance</x:v>
      </x:c>
      <x:c r="V159" s="56" t="str">
        <x:v>SEPARATE_APPROVAL_REQUIRED</x:v>
      </x:c>
      <x:c r="W159"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59" s="56" t="str">
        <x:v>NOT_CHECKED</x:v>
      </x:c>
    </x:row>
    <x:row r="160" ht="104" hidden="0" customHeight="1">
      <x:c r="A160" s="56" t="str">
        <x:v>UPG-BE-007</x:v>
      </x:c>
      <x:c r="B160" s="56" t="str">
        <x:v>C</x:v>
      </x:c>
      <x:c r="C160" s="56" t="str">
        <x:v>API</x:v>
      </x:c>
      <x:c r="D160" s="56" t="str">
        <x:v>Xây synthetic demo suite và offline trace explorer</x:v>
      </x:c>
      <x:c r="E160" s="56" t="str">
        <x:v>Backend + AI QA</x:v>
      </x:c>
      <x:c r="F160" s="56" t="str">
        <x:v>NOT_STARTED</x:v>
      </x:c>
      <x:c r="G160" s="74" t="n">
        <x:v>6</x:v>
      </x:c>
      <x:c r="H160" s="74" t="n">
        <x:v>12</x:v>
      </x:c>
      <x:c r="I160" s="56" t="str">
        <x:v>UPG-BE-002;UPG-BE-006;UPG-UX-002;UPG-AI-002</x:v>
      </x:c>
      <x:c r="J160" s="56" t="str">
        <x:v>G03;G06;G08;G10</x:v>
      </x:c>
      <x:c r="K160" s="56" t="str">
        <x:v>synthetic end-to-end traces and local offline explorer artifact</x:v>
      </x:c>
      <x:c r="L160" s="56" t="str">
        <x:v>No provider/production dependency; every claim trace shows typed lineage</x:v>
      </x:c>
      <x:c r="M160" s="69" t="str">
        <x:v>CHƯA PHÂN CÔNG</x:v>
      </x:c>
      <x:c r="N160" s="56" t="str">
        <x:v>apps/api/**
packages/contracts/**
openapi/**
tests/contract/**
docs/**</x:v>
      </x:c>
      <x:c r="O160" s="56" t="str">
        <x:v>UPG-BE-007:openapi_schema
UPG-BE-007:operation_contract
UPG-BE-007:error_envelope
UPG-BE-007:auth_negative
UPG-BE-007:compatibility</x:v>
      </x:c>
      <x:c r="P160" s="56" t="str">
        <x:v>evidence/tasks/UPG-BE-007/&lt;sha&gt;/receipt.json</x:v>
      </x:c>
      <x:c r="Q160" s="56" t="str">
        <x:v>Independent QA/Security/Legal/Accessibility/Finance as applicable</x:v>
      </x:c>
      <x:c r="R160" s="56" t="str">
        <x:v>Q3
Q5
Q7
Q9
Q15
Q20</x:v>
      </x:c>
      <x:c r="S160" s="56" t="str">
        <x:v>UPG-BE-007:invalid_type
UPG-BE-007:missing_scope
UPG-BE-007:idempotency_replay
UPG-BE-007:oversized_payload</x:v>
      </x:c>
      <x:c r="T160" s="56" t="str">
        <x:v>production deploy or mutation
production/real-customer data access
secret value read or output
scope outside allowed paths
approval/status invention
history rewrite</x:v>
      </x:c>
      <x:c r="U160" s="56" t="str">
        <x:v>document and rehearse scoped rollback before state-changing acceptance</x:v>
      </x:c>
      <x:c r="V160" s="56" t="str">
        <x:v>SEPARATE_APPROVAL_REQUIRED</x:v>
      </x:c>
      <x:c r="W160" s="56" t="str">
        <x:v>repo/path/branch/full SHA/worktree
input and decision versions
changed-file manifest/diff
commands with exit codes and exact pass/fail/skip/TODO counts
artifact hashes
environment and synthetic fixture IDs
reviewer and unresolved risks
rollback result when state-changing</x:v>
      </x:c>
      <x:c r="X160" s="56" t="str">
        <x:v>NOT_CHECKED</x:v>
      </x:c>
    </x:row>
    <x:row r="161" ht="15" hidden="0" customHeight="1">
      <x:c r="A161" s="70"/>
      <x:c r="B161" s="70"/>
      <x:c r="C161" s="70"/>
      <x:c r="D161" s="70"/>
      <x:c r="E161" s="70"/>
      <x:c r="F161" s="70"/>
      <x:c r="G161" s="70"/>
      <x:c r="H161" s="70"/>
      <x:c r="I161" s="70"/>
      <x:c r="J161" s="70"/>
      <x:c r="K161" s="70"/>
      <x:c r="L161" s="70"/>
      <x:c r="M161" s="71"/>
      <x:c r="N161" s="70"/>
      <x:c r="O161" s="70"/>
      <x:c r="P161" s="70"/>
      <x:c r="Q161" s="70"/>
      <x:c r="R161" s="70"/>
      <x:c r="S161" s="70"/>
      <x:c r="T161" s="70"/>
      <x:c r="U161" s="70"/>
      <x:c r="V161" s="70"/>
      <x:c r="W161" s="70"/>
      <x:c r="X161" s="70"/>
    </x:row>
    <x:row r="162" ht="15" hidden="0" customHeight="1">
      <x:c r="A162" s="70"/>
      <x:c r="B162" s="70"/>
      <x:c r="C162" s="70"/>
      <x:c r="D162" s="70"/>
      <x:c r="E162" s="70"/>
      <x:c r="F162" s="70"/>
      <x:c r="G162" s="70"/>
      <x:c r="H162" s="70"/>
      <x:c r="I162" s="70"/>
      <x:c r="J162" s="70"/>
      <x:c r="K162" s="70"/>
      <x:c r="L162" s="70"/>
      <x:c r="M162" s="71"/>
      <x:c r="N162" s="70"/>
      <x:c r="O162" s="70"/>
      <x:c r="P162" s="70"/>
      <x:c r="Q162" s="70"/>
      <x:c r="R162" s="70"/>
      <x:c r="S162" s="70"/>
      <x:c r="T162" s="70"/>
      <x:c r="U162" s="70"/>
      <x:c r="V162" s="70"/>
      <x:c r="W162" s="70"/>
      <x:c r="X162" s="70"/>
    </x:row>
    <x:row r="163" ht="15" hidden="0" customHeight="1">
      <x:c r="A163" s="70"/>
      <x:c r="B163" s="70"/>
      <x:c r="C163" s="70"/>
      <x:c r="D163" s="70"/>
      <x:c r="E163" s="70"/>
      <x:c r="F163" s="70"/>
      <x:c r="G163" s="70"/>
      <x:c r="H163" s="70"/>
      <x:c r="I163" s="70"/>
      <x:c r="J163" s="70"/>
      <x:c r="K163" s="70"/>
      <x:c r="L163" s="70"/>
      <x:c r="M163" s="71"/>
      <x:c r="N163" s="70"/>
      <x:c r="O163" s="70"/>
      <x:c r="P163" s="70"/>
      <x:c r="Q163" s="70"/>
      <x:c r="R163" s="70"/>
      <x:c r="S163" s="70"/>
      <x:c r="T163" s="70"/>
      <x:c r="U163" s="70"/>
      <x:c r="V163" s="70"/>
      <x:c r="W163" s="70"/>
      <x:c r="X163" s="70"/>
    </x:row>
    <x:row r="164" ht="15" hidden="0" customHeight="1">
      <x:c r="A164" s="70"/>
      <x:c r="B164" s="70"/>
      <x:c r="C164" s="70"/>
      <x:c r="D164" s="70"/>
      <x:c r="E164" s="70"/>
      <x:c r="F164" s="70"/>
      <x:c r="G164" s="70"/>
      <x:c r="H164" s="70"/>
      <x:c r="I164" s="70"/>
      <x:c r="J164" s="70"/>
      <x:c r="K164" s="70"/>
      <x:c r="L164" s="70"/>
      <x:c r="M164" s="71"/>
      <x:c r="N164" s="70"/>
      <x:c r="O164" s="70"/>
      <x:c r="P164" s="70"/>
      <x:c r="Q164" s="70"/>
      <x:c r="R164" s="70"/>
      <x:c r="S164" s="70"/>
      <x:c r="T164" s="70"/>
      <x:c r="U164" s="70"/>
      <x:c r="V164" s="70"/>
      <x:c r="W164" s="70"/>
      <x:c r="X164" s="70"/>
    </x:row>
    <x:row r="165" ht="15" hidden="0" customHeight="1">
      <x:c r="A165" s="70"/>
      <x:c r="B165" s="70"/>
      <x:c r="C165" s="70"/>
      <x:c r="D165" s="70"/>
      <x:c r="E165" s="70"/>
      <x:c r="F165" s="70"/>
      <x:c r="G165" s="70"/>
      <x:c r="H165" s="70"/>
      <x:c r="I165" s="70"/>
      <x:c r="J165" s="70"/>
      <x:c r="K165" s="70"/>
      <x:c r="L165" s="70"/>
      <x:c r="M165" s="71"/>
      <x:c r="N165" s="70"/>
      <x:c r="O165" s="70"/>
      <x:c r="P165" s="70"/>
      <x:c r="Q165" s="70"/>
      <x:c r="R165" s="70"/>
      <x:c r="S165" s="70"/>
      <x:c r="T165" s="70"/>
      <x:c r="U165" s="70"/>
      <x:c r="V165" s="70"/>
      <x:c r="W165" s="70"/>
      <x:c r="X165" s="70"/>
    </x:row>
    <x:row r="166" ht="15" hidden="0" customHeight="1">
      <x:c r="A166" s="70"/>
      <x:c r="B166" s="70"/>
      <x:c r="C166" s="70"/>
      <x:c r="D166" s="70"/>
      <x:c r="E166" s="70"/>
      <x:c r="F166" s="70"/>
      <x:c r="G166" s="70"/>
      <x:c r="H166" s="70"/>
      <x:c r="I166" s="70"/>
      <x:c r="J166" s="70"/>
      <x:c r="K166" s="70"/>
      <x:c r="L166" s="70"/>
      <x:c r="M166" s="71"/>
      <x:c r="N166" s="70"/>
      <x:c r="O166" s="70"/>
      <x:c r="P166" s="70"/>
      <x:c r="Q166" s="70"/>
      <x:c r="R166" s="70"/>
      <x:c r="S166" s="70"/>
      <x:c r="T166" s="70"/>
      <x:c r="U166" s="70"/>
      <x:c r="V166" s="70"/>
      <x:c r="W166" s="70"/>
      <x:c r="X166" s="70"/>
    </x:row>
    <x:row r="167" ht="15" hidden="0" customHeight="1">
      <x:c r="A167" s="70"/>
      <x:c r="B167" s="70"/>
      <x:c r="C167" s="70"/>
      <x:c r="D167" s="70"/>
      <x:c r="E167" s="70"/>
      <x:c r="F167" s="70"/>
      <x:c r="G167" s="70"/>
      <x:c r="H167" s="70"/>
      <x:c r="I167" s="70"/>
      <x:c r="J167" s="70"/>
      <x:c r="K167" s="70"/>
      <x:c r="L167" s="70"/>
      <x:c r="M167" s="71"/>
      <x:c r="N167" s="70"/>
      <x:c r="O167" s="70"/>
      <x:c r="P167" s="70"/>
      <x:c r="Q167" s="70"/>
      <x:c r="R167" s="70"/>
      <x:c r="S167" s="70"/>
      <x:c r="T167" s="70"/>
      <x:c r="U167" s="70"/>
      <x:c r="V167" s="70"/>
      <x:c r="W167" s="70"/>
      <x:c r="X167" s="70"/>
    </x:row>
    <x:row r="168" ht="15" hidden="0" customHeight="1">
      <x:c r="A168" s="70"/>
      <x:c r="B168" s="70"/>
      <x:c r="C168" s="70"/>
      <x:c r="D168" s="70"/>
      <x:c r="E168" s="70"/>
      <x:c r="F168" s="70"/>
      <x:c r="G168" s="70"/>
      <x:c r="H168" s="70"/>
      <x:c r="I168" s="70"/>
      <x:c r="J168" s="70"/>
      <x:c r="K168" s="70"/>
      <x:c r="L168" s="70"/>
      <x:c r="M168" s="71"/>
      <x:c r="N168" s="70"/>
      <x:c r="O168" s="70"/>
      <x:c r="P168" s="70"/>
      <x:c r="Q168" s="70"/>
      <x:c r="R168" s="70"/>
      <x:c r="S168" s="70"/>
      <x:c r="T168" s="70"/>
      <x:c r="U168" s="70"/>
      <x:c r="V168" s="70"/>
      <x:c r="W168" s="70"/>
      <x:c r="X168" s="70"/>
    </x:row>
    <x:row r="169" ht="15" hidden="0" customHeight="1">
      <x:c r="A169" s="70"/>
      <x:c r="B169" s="70"/>
      <x:c r="C169" s="70"/>
      <x:c r="D169" s="70"/>
      <x:c r="E169" s="70"/>
      <x:c r="F169" s="70"/>
      <x:c r="G169" s="70"/>
      <x:c r="H169" s="70"/>
      <x:c r="I169" s="70"/>
      <x:c r="J169" s="70"/>
      <x:c r="K169" s="70"/>
      <x:c r="L169" s="70"/>
      <x:c r="M169" s="71"/>
      <x:c r="N169" s="70"/>
      <x:c r="O169" s="70"/>
      <x:c r="P169" s="70"/>
      <x:c r="Q169" s="70"/>
      <x:c r="R169" s="70"/>
      <x:c r="S169" s="70"/>
      <x:c r="T169" s="70"/>
      <x:c r="U169" s="70"/>
      <x:c r="V169" s="70"/>
      <x:c r="W169" s="70"/>
      <x:c r="X169" s="70"/>
    </x:row>
    <x:row r="170" ht="15" hidden="0" customHeight="1">
      <x:c r="A170" s="70"/>
      <x:c r="B170" s="70"/>
      <x:c r="C170" s="70"/>
      <x:c r="D170" s="70"/>
      <x:c r="E170" s="70"/>
      <x:c r="F170" s="70"/>
      <x:c r="G170" s="70"/>
      <x:c r="H170" s="70"/>
      <x:c r="I170" s="70"/>
      <x:c r="J170" s="70"/>
      <x:c r="K170" s="70"/>
      <x:c r="L170" s="70"/>
      <x:c r="M170" s="71"/>
      <x:c r="N170" s="70"/>
      <x:c r="O170" s="70"/>
      <x:c r="P170" s="70"/>
      <x:c r="Q170" s="70"/>
      <x:c r="R170" s="70"/>
      <x:c r="S170" s="70"/>
      <x:c r="T170" s="70"/>
      <x:c r="U170" s="70"/>
      <x:c r="V170" s="70"/>
      <x:c r="W170" s="70"/>
      <x:c r="X170" s="70"/>
    </x:row>
    <x:row r="171" ht="15" hidden="0" customHeight="1">
      <x:c r="A171" s="70"/>
      <x:c r="B171" s="70"/>
      <x:c r="C171" s="70"/>
      <x:c r="D171" s="70"/>
      <x:c r="E171" s="70"/>
      <x:c r="F171" s="70"/>
      <x:c r="G171" s="70"/>
      <x:c r="H171" s="70"/>
      <x:c r="I171" s="70"/>
      <x:c r="J171" s="70"/>
      <x:c r="K171" s="70"/>
      <x:c r="L171" s="70"/>
      <x:c r="M171" s="71"/>
      <x:c r="N171" s="70"/>
      <x:c r="O171" s="70"/>
      <x:c r="P171" s="70"/>
      <x:c r="Q171" s="70"/>
      <x:c r="R171" s="70"/>
      <x:c r="S171" s="70"/>
      <x:c r="T171" s="70"/>
      <x:c r="U171" s="70"/>
      <x:c r="V171" s="70"/>
      <x:c r="W171" s="70"/>
      <x:c r="X171" s="70"/>
    </x:row>
    <x:row r="172" ht="15" hidden="0" customHeight="1">
      <x:c r="A172" s="70"/>
      <x:c r="B172" s="70"/>
      <x:c r="C172" s="70"/>
      <x:c r="D172" s="70"/>
      <x:c r="E172" s="70"/>
      <x:c r="F172" s="70"/>
      <x:c r="G172" s="70"/>
      <x:c r="H172" s="70"/>
      <x:c r="I172" s="70"/>
      <x:c r="J172" s="70"/>
      <x:c r="K172" s="70"/>
      <x:c r="L172" s="70"/>
      <x:c r="M172" s="71"/>
      <x:c r="N172" s="70"/>
      <x:c r="O172" s="70"/>
      <x:c r="P172" s="70"/>
      <x:c r="Q172" s="70"/>
      <x:c r="R172" s="70"/>
      <x:c r="S172" s="70"/>
      <x:c r="T172" s="70"/>
      <x:c r="U172" s="70"/>
      <x:c r="V172" s="70"/>
      <x:c r="W172" s="70"/>
      <x:c r="X172" s="70"/>
    </x:row>
    <x:row r="173" ht="15" hidden="0" customHeight="1">
      <x:c r="A173" s="70"/>
      <x:c r="B173" s="70"/>
      <x:c r="C173" s="70"/>
      <x:c r="D173" s="70"/>
      <x:c r="E173" s="70"/>
      <x:c r="F173" s="70"/>
      <x:c r="G173" s="70"/>
      <x:c r="H173" s="70"/>
      <x:c r="I173" s="70"/>
      <x:c r="J173" s="70"/>
      <x:c r="K173" s="70"/>
      <x:c r="L173" s="70"/>
      <x:c r="M173" s="71"/>
      <x:c r="N173" s="70"/>
      <x:c r="O173" s="70"/>
      <x:c r="P173" s="70"/>
      <x:c r="Q173" s="70"/>
      <x:c r="R173" s="70"/>
      <x:c r="S173" s="70"/>
      <x:c r="T173" s="70"/>
      <x:c r="U173" s="70"/>
      <x:c r="V173" s="70"/>
      <x:c r="W173" s="70"/>
      <x:c r="X173" s="70"/>
    </x:row>
    <x:row r="174" ht="15" hidden="0" customHeight="1">
      <x:c r="A174" s="70"/>
      <x:c r="B174" s="70"/>
      <x:c r="C174" s="70"/>
      <x:c r="D174" s="70"/>
      <x:c r="E174" s="70"/>
      <x:c r="F174" s="70"/>
      <x:c r="G174" s="70"/>
      <x:c r="H174" s="70"/>
      <x:c r="I174" s="70"/>
      <x:c r="J174" s="70"/>
      <x:c r="K174" s="70"/>
      <x:c r="L174" s="70"/>
      <x:c r="M174" s="71"/>
      <x:c r="N174" s="70"/>
      <x:c r="O174" s="70"/>
      <x:c r="P174" s="70"/>
      <x:c r="Q174" s="70"/>
      <x:c r="R174" s="70"/>
      <x:c r="S174" s="70"/>
      <x:c r="T174" s="70"/>
      <x:c r="U174" s="70"/>
      <x:c r="V174" s="70"/>
      <x:c r="W174" s="70"/>
      <x:c r="X174" s="70"/>
    </x:row>
    <x:row r="175" ht="15" hidden="0" customHeight="1">
      <x:c r="A175" s="70"/>
      <x:c r="B175" s="70"/>
      <x:c r="C175" s="70"/>
      <x:c r="D175" s="70"/>
      <x:c r="E175" s="70"/>
      <x:c r="F175" s="70"/>
      <x:c r="G175" s="70"/>
      <x:c r="H175" s="70"/>
      <x:c r="I175" s="70"/>
      <x:c r="J175" s="70"/>
      <x:c r="K175" s="70"/>
      <x:c r="L175" s="70"/>
      <x:c r="M175" s="71"/>
      <x:c r="N175" s="70"/>
      <x:c r="O175" s="70"/>
      <x:c r="P175" s="70"/>
      <x:c r="Q175" s="70"/>
      <x:c r="R175" s="70"/>
      <x:c r="S175" s="70"/>
      <x:c r="T175" s="70"/>
      <x:c r="U175" s="70"/>
      <x:c r="V175" s="70"/>
      <x:c r="W175" s="70"/>
      <x:c r="X175" s="70"/>
    </x:row>
    <x:row r="176" ht="15" hidden="0" customHeight="1">
      <x:c r="A176" s="70"/>
      <x:c r="B176" s="70"/>
      <x:c r="C176" s="70"/>
      <x:c r="D176" s="70"/>
      <x:c r="E176" s="70"/>
      <x:c r="F176" s="70"/>
      <x:c r="G176" s="70"/>
      <x:c r="H176" s="70"/>
      <x:c r="I176" s="70"/>
      <x:c r="J176" s="70"/>
      <x:c r="K176" s="70"/>
      <x:c r="L176" s="70"/>
      <x:c r="M176" s="71"/>
      <x:c r="N176" s="70"/>
      <x:c r="O176" s="70"/>
      <x:c r="P176" s="70"/>
      <x:c r="Q176" s="70"/>
      <x:c r="R176" s="70"/>
      <x:c r="S176" s="70"/>
      <x:c r="T176" s="70"/>
      <x:c r="U176" s="70"/>
      <x:c r="V176" s="70"/>
      <x:c r="W176" s="70"/>
      <x:c r="X176" s="70"/>
    </x:row>
    <x:row r="177" ht="15" hidden="0" customHeight="1">
      <x:c r="A177" s="70"/>
      <x:c r="B177" s="70"/>
      <x:c r="C177" s="70"/>
      <x:c r="D177" s="70"/>
      <x:c r="E177" s="70"/>
      <x:c r="F177" s="70"/>
      <x:c r="G177" s="70"/>
      <x:c r="H177" s="70"/>
      <x:c r="I177" s="70"/>
      <x:c r="J177" s="70"/>
      <x:c r="K177" s="70"/>
      <x:c r="L177" s="70"/>
      <x:c r="M177" s="71"/>
      <x:c r="N177" s="70"/>
      <x:c r="O177" s="70"/>
      <x:c r="P177" s="70"/>
      <x:c r="Q177" s="70"/>
      <x:c r="R177" s="70"/>
      <x:c r="S177" s="70"/>
      <x:c r="T177" s="70"/>
      <x:c r="U177" s="70"/>
      <x:c r="V177" s="70"/>
      <x:c r="W177" s="70"/>
      <x:c r="X177" s="70"/>
    </x:row>
    <x:row r="178" ht="15" hidden="0" customHeight="1">
      <x:c r="A178" s="70"/>
      <x:c r="B178" s="70"/>
      <x:c r="C178" s="70"/>
      <x:c r="D178" s="70"/>
      <x:c r="E178" s="70"/>
      <x:c r="F178" s="70"/>
      <x:c r="G178" s="70"/>
      <x:c r="H178" s="70"/>
      <x:c r="I178" s="70"/>
      <x:c r="J178" s="70"/>
      <x:c r="K178" s="70"/>
      <x:c r="L178" s="70"/>
      <x:c r="M178" s="71"/>
      <x:c r="N178" s="70"/>
      <x:c r="O178" s="70"/>
      <x:c r="P178" s="70"/>
      <x:c r="Q178" s="70"/>
      <x:c r="R178" s="70"/>
      <x:c r="S178" s="70"/>
      <x:c r="T178" s="70"/>
      <x:c r="U178" s="70"/>
      <x:c r="V178" s="70"/>
      <x:c r="W178" s="70"/>
      <x:c r="X178" s="70"/>
    </x:row>
    <x:row r="179" ht="15" hidden="0" customHeight="1">
      <x:c r="A179" s="70"/>
      <x:c r="B179" s="70"/>
      <x:c r="C179" s="70"/>
      <x:c r="D179" s="70"/>
      <x:c r="E179" s="70"/>
      <x:c r="F179" s="70"/>
      <x:c r="G179" s="70"/>
      <x:c r="H179" s="70"/>
      <x:c r="I179" s="70"/>
      <x:c r="J179" s="70"/>
      <x:c r="K179" s="70"/>
      <x:c r="L179" s="70"/>
      <x:c r="M179" s="71"/>
      <x:c r="N179" s="70"/>
      <x:c r="O179" s="70"/>
      <x:c r="P179" s="70"/>
      <x:c r="Q179" s="70"/>
      <x:c r="R179" s="70"/>
      <x:c r="S179" s="70"/>
      <x:c r="T179" s="70"/>
      <x:c r="U179" s="70"/>
      <x:c r="V179" s="70"/>
      <x:c r="W179" s="70"/>
      <x:c r="X179" s="70"/>
    </x:row>
    <x:row r="180" ht="15" hidden="0" customHeight="1">
      <x:c r="A180" s="70"/>
      <x:c r="B180" s="70"/>
      <x:c r="C180" s="70"/>
      <x:c r="D180" s="70"/>
      <x:c r="E180" s="70"/>
      <x:c r="F180" s="70"/>
      <x:c r="G180" s="70"/>
      <x:c r="H180" s="70"/>
      <x:c r="I180" s="70"/>
      <x:c r="J180" s="70"/>
      <x:c r="K180" s="70"/>
      <x:c r="L180" s="70"/>
      <x:c r="M180" s="71"/>
      <x:c r="N180" s="70"/>
      <x:c r="O180" s="70"/>
      <x:c r="P180" s="70"/>
      <x:c r="Q180" s="70"/>
      <x:c r="R180" s="70"/>
      <x:c r="S180" s="70"/>
      <x:c r="T180" s="70"/>
      <x:c r="U180" s="70"/>
      <x:c r="V180" s="70"/>
      <x:c r="W180" s="70"/>
      <x:c r="X180" s="70"/>
    </x:row>
    <x:row r="181" ht="15" hidden="0" customHeight="1">
      <x:c r="A181" s="70"/>
      <x:c r="B181" s="70"/>
      <x:c r="C181" s="70"/>
      <x:c r="D181" s="70"/>
      <x:c r="E181" s="70"/>
      <x:c r="F181" s="70"/>
      <x:c r="G181" s="70"/>
      <x:c r="H181" s="70"/>
      <x:c r="I181" s="70"/>
      <x:c r="J181" s="70"/>
      <x:c r="K181" s="70"/>
      <x:c r="L181" s="70"/>
      <x:c r="M181" s="71"/>
      <x:c r="N181" s="70"/>
      <x:c r="O181" s="70"/>
      <x:c r="P181" s="70"/>
      <x:c r="Q181" s="70"/>
      <x:c r="R181" s="70"/>
      <x:c r="S181" s="70"/>
      <x:c r="T181" s="70"/>
      <x:c r="U181" s="70"/>
      <x:c r="V181" s="70"/>
      <x:c r="W181" s="70"/>
      <x:c r="X181" s="70"/>
    </x:row>
    <x:row r="182" ht="15" hidden="0" customHeight="1">
      <x:c r="A182" s="70"/>
      <x:c r="B182" s="70"/>
      <x:c r="C182" s="70"/>
      <x:c r="D182" s="70"/>
      <x:c r="E182" s="70"/>
      <x:c r="F182" s="70"/>
      <x:c r="G182" s="70"/>
      <x:c r="H182" s="70"/>
      <x:c r="I182" s="70"/>
      <x:c r="J182" s="70"/>
      <x:c r="K182" s="70"/>
      <x:c r="L182" s="70"/>
      <x:c r="M182" s="71"/>
      <x:c r="N182" s="70"/>
      <x:c r="O182" s="70"/>
      <x:c r="P182" s="70"/>
      <x:c r="Q182" s="70"/>
      <x:c r="R182" s="70"/>
      <x:c r="S182" s="70"/>
      <x:c r="T182" s="70"/>
      <x:c r="U182" s="70"/>
      <x:c r="V182" s="70"/>
      <x:c r="W182" s="70"/>
      <x:c r="X182" s="70"/>
    </x:row>
    <x:row r="183" ht="15" hidden="0" customHeight="1">
      <x:c r="A183" s="70"/>
      <x:c r="B183" s="70"/>
      <x:c r="C183" s="70"/>
      <x:c r="D183" s="70"/>
      <x:c r="E183" s="70"/>
      <x:c r="F183" s="70"/>
      <x:c r="G183" s="70"/>
      <x:c r="H183" s="70"/>
      <x:c r="I183" s="70"/>
      <x:c r="J183" s="70"/>
      <x:c r="K183" s="70"/>
      <x:c r="L183" s="70"/>
      <x:c r="M183" s="71"/>
      <x:c r="N183" s="70"/>
      <x:c r="O183" s="70"/>
      <x:c r="P183" s="70"/>
      <x:c r="Q183" s="70"/>
      <x:c r="R183" s="70"/>
      <x:c r="S183" s="70"/>
      <x:c r="T183" s="70"/>
      <x:c r="U183" s="70"/>
      <x:c r="V183" s="70"/>
      <x:c r="W183" s="70"/>
      <x:c r="X183" s="70"/>
    </x:row>
    <x:row r="184" ht="15" hidden="0" customHeight="1">
      <x:c r="A184" s="70"/>
      <x:c r="B184" s="70"/>
      <x:c r="C184" s="70"/>
      <x:c r="D184" s="70"/>
      <x:c r="E184" s="70"/>
      <x:c r="F184" s="70"/>
      <x:c r="G184" s="70"/>
      <x:c r="H184" s="70"/>
      <x:c r="I184" s="70"/>
      <x:c r="J184" s="70"/>
      <x:c r="K184" s="70"/>
      <x:c r="L184" s="70"/>
      <x:c r="M184" s="71"/>
      <x:c r="N184" s="70"/>
      <x:c r="O184" s="70"/>
      <x:c r="P184" s="70"/>
      <x:c r="Q184" s="70"/>
      <x:c r="R184" s="70"/>
      <x:c r="S184" s="70"/>
      <x:c r="T184" s="70"/>
      <x:c r="U184" s="70"/>
      <x:c r="V184" s="70"/>
      <x:c r="W184" s="70"/>
      <x:c r="X184" s="70"/>
    </x:row>
    <x:row r="185" ht="15" hidden="0" customHeight="1">
      <x:c r="A185" s="70"/>
      <x:c r="B185" s="70"/>
      <x:c r="C185" s="70"/>
      <x:c r="D185" s="70"/>
      <x:c r="E185" s="70"/>
      <x:c r="F185" s="70"/>
      <x:c r="G185" s="70"/>
      <x:c r="H185" s="70"/>
      <x:c r="I185" s="70"/>
      <x:c r="J185" s="70"/>
      <x:c r="K185" s="70"/>
      <x:c r="L185" s="70"/>
      <x:c r="M185" s="71"/>
      <x:c r="N185" s="70"/>
      <x:c r="O185" s="70"/>
      <x:c r="P185" s="70"/>
      <x:c r="Q185" s="70"/>
      <x:c r="R185" s="70"/>
      <x:c r="S185" s="70"/>
      <x:c r="T185" s="70"/>
      <x:c r="U185" s="70"/>
      <x:c r="V185" s="70"/>
      <x:c r="W185" s="70"/>
      <x:c r="X185" s="70"/>
    </x:row>
    <x:row r="186" ht="15" hidden="0" customHeight="1">
      <x:c r="A186" s="70"/>
      <x:c r="B186" s="70"/>
      <x:c r="C186" s="70"/>
      <x:c r="D186" s="70"/>
      <x:c r="E186" s="70"/>
      <x:c r="F186" s="70"/>
      <x:c r="G186" s="70"/>
      <x:c r="H186" s="70"/>
      <x:c r="I186" s="70"/>
      <x:c r="J186" s="70"/>
      <x:c r="K186" s="70"/>
      <x:c r="L186" s="70"/>
      <x:c r="M186" s="71"/>
      <x:c r="N186" s="70"/>
      <x:c r="O186" s="70"/>
      <x:c r="P186" s="70"/>
      <x:c r="Q186" s="70"/>
      <x:c r="R186" s="70"/>
      <x:c r="S186" s="70"/>
      <x:c r="T186" s="70"/>
      <x:c r="U186" s="70"/>
      <x:c r="V186" s="70"/>
      <x:c r="W186" s="70"/>
      <x:c r="X186" s="70"/>
    </x:row>
    <x:row r="187" ht="15" hidden="0" customHeight="1">
      <x:c r="A187" s="70"/>
      <x:c r="B187" s="70"/>
      <x:c r="C187" s="70"/>
      <x:c r="D187" s="70"/>
      <x:c r="E187" s="70"/>
      <x:c r="F187" s="70"/>
      <x:c r="G187" s="70"/>
      <x:c r="H187" s="70"/>
      <x:c r="I187" s="70"/>
      <x:c r="J187" s="70"/>
      <x:c r="K187" s="70"/>
      <x:c r="L187" s="70"/>
      <x:c r="M187" s="71"/>
      <x:c r="N187" s="70"/>
      <x:c r="O187" s="70"/>
      <x:c r="P187" s="70"/>
      <x:c r="Q187" s="70"/>
      <x:c r="R187" s="70"/>
      <x:c r="S187" s="70"/>
      <x:c r="T187" s="70"/>
      <x:c r="U187" s="70"/>
      <x:c r="V187" s="70"/>
      <x:c r="W187" s="70"/>
      <x:c r="X187" s="70"/>
    </x:row>
    <x:row r="188" ht="15" hidden="0" customHeight="1">
      <x:c r="A188" s="70"/>
      <x:c r="B188" s="70"/>
      <x:c r="C188" s="70"/>
      <x:c r="D188" s="70"/>
      <x:c r="E188" s="70"/>
      <x:c r="F188" s="70"/>
      <x:c r="G188" s="70"/>
      <x:c r="H188" s="70"/>
      <x:c r="I188" s="70"/>
      <x:c r="J188" s="70"/>
      <x:c r="K188" s="70"/>
      <x:c r="L188" s="70"/>
      <x:c r="M188" s="71"/>
      <x:c r="N188" s="70"/>
      <x:c r="O188" s="70"/>
      <x:c r="P188" s="70"/>
      <x:c r="Q188" s="70"/>
      <x:c r="R188" s="70"/>
      <x:c r="S188" s="70"/>
      <x:c r="T188" s="70"/>
      <x:c r="U188" s="70"/>
      <x:c r="V188" s="70"/>
      <x:c r="W188" s="70"/>
      <x:c r="X188" s="70"/>
    </x:row>
    <x:row r="189" ht="15" hidden="0" customHeight="1">
      <x:c r="A189" s="70"/>
      <x:c r="B189" s="70"/>
      <x:c r="C189" s="70"/>
      <x:c r="D189" s="70"/>
      <x:c r="E189" s="70"/>
      <x:c r="F189" s="70"/>
      <x:c r="G189" s="70"/>
      <x:c r="H189" s="70"/>
      <x:c r="I189" s="70"/>
      <x:c r="J189" s="70"/>
      <x:c r="K189" s="70"/>
      <x:c r="L189" s="70"/>
      <x:c r="M189" s="71"/>
      <x:c r="N189" s="70"/>
      <x:c r="O189" s="70"/>
      <x:c r="P189" s="70"/>
      <x:c r="Q189" s="70"/>
      <x:c r="R189" s="70"/>
      <x:c r="S189" s="70"/>
      <x:c r="T189" s="70"/>
      <x:c r="U189" s="70"/>
      <x:c r="V189" s="70"/>
      <x:c r="W189" s="70"/>
      <x:c r="X189" s="70"/>
    </x:row>
    <x:row r="190" ht="15" hidden="0" customHeight="1">
      <x:c r="A190" s="70"/>
      <x:c r="B190" s="70"/>
      <x:c r="C190" s="70"/>
      <x:c r="D190" s="70"/>
      <x:c r="E190" s="70"/>
      <x:c r="F190" s="70"/>
      <x:c r="G190" s="70"/>
      <x:c r="H190" s="70"/>
      <x:c r="I190" s="70"/>
      <x:c r="J190" s="70"/>
      <x:c r="K190" s="70"/>
      <x:c r="L190" s="70"/>
      <x:c r="M190" s="71"/>
      <x:c r="N190" s="70"/>
      <x:c r="O190" s="70"/>
      <x:c r="P190" s="70"/>
      <x:c r="Q190" s="70"/>
      <x:c r="R190" s="70"/>
      <x:c r="S190" s="70"/>
      <x:c r="T190" s="70"/>
      <x:c r="U190" s="70"/>
      <x:c r="V190" s="70"/>
      <x:c r="W190" s="70"/>
      <x:c r="X190" s="70"/>
    </x:row>
    <x:row r="191" ht="15" hidden="0" customHeight="1">
      <x:c r="A191" s="70"/>
      <x:c r="B191" s="70"/>
      <x:c r="C191" s="70"/>
      <x:c r="D191" s="70"/>
      <x:c r="E191" s="70"/>
      <x:c r="F191" s="70"/>
      <x:c r="G191" s="70"/>
      <x:c r="H191" s="70"/>
      <x:c r="I191" s="70"/>
      <x:c r="J191" s="70"/>
      <x:c r="K191" s="70"/>
      <x:c r="L191" s="70"/>
      <x:c r="M191" s="71"/>
      <x:c r="N191" s="70"/>
      <x:c r="O191" s="70"/>
      <x:c r="P191" s="70"/>
      <x:c r="Q191" s="70"/>
      <x:c r="R191" s="70"/>
      <x:c r="S191" s="70"/>
      <x:c r="T191" s="70"/>
      <x:c r="U191" s="70"/>
      <x:c r="V191" s="70"/>
      <x:c r="W191" s="70"/>
      <x:c r="X191" s="70"/>
    </x:row>
    <x:row r="192" ht="15" hidden="0" customHeight="1">
      <x:c r="A192" s="70"/>
      <x:c r="B192" s="70"/>
      <x:c r="C192" s="70"/>
      <x:c r="D192" s="70"/>
      <x:c r="E192" s="70"/>
      <x:c r="F192" s="70"/>
      <x:c r="G192" s="70"/>
      <x:c r="H192" s="70"/>
      <x:c r="I192" s="70"/>
      <x:c r="J192" s="70"/>
      <x:c r="K192" s="70"/>
      <x:c r="L192" s="70"/>
      <x:c r="M192" s="71"/>
      <x:c r="N192" s="70"/>
      <x:c r="O192" s="70"/>
      <x:c r="P192" s="70"/>
      <x:c r="Q192" s="70"/>
      <x:c r="R192" s="70"/>
      <x:c r="S192" s="70"/>
      <x:c r="T192" s="70"/>
      <x:c r="U192" s="70"/>
      <x:c r="V192" s="70"/>
      <x:c r="W192" s="70"/>
      <x:c r="X192" s="70"/>
    </x:row>
    <x:row r="193" ht="15" hidden="0" customHeight="1">
      <x:c r="A193" s="70"/>
      <x:c r="B193" s="70"/>
      <x:c r="C193" s="70"/>
      <x:c r="D193" s="70"/>
      <x:c r="E193" s="70"/>
      <x:c r="F193" s="70"/>
      <x:c r="G193" s="70"/>
      <x:c r="H193" s="70"/>
      <x:c r="I193" s="70"/>
      <x:c r="J193" s="70"/>
      <x:c r="K193" s="70"/>
      <x:c r="L193" s="70"/>
      <x:c r="M193" s="71"/>
      <x:c r="N193" s="70"/>
      <x:c r="O193" s="70"/>
      <x:c r="P193" s="70"/>
      <x:c r="Q193" s="70"/>
      <x:c r="R193" s="70"/>
      <x:c r="S193" s="70"/>
      <x:c r="T193" s="70"/>
      <x:c r="U193" s="70"/>
      <x:c r="V193" s="70"/>
      <x:c r="W193" s="70"/>
      <x:c r="X193" s="70"/>
    </x:row>
    <x:row r="194" ht="15" hidden="0" customHeight="1">
      <x:c r="A194" s="70"/>
      <x:c r="B194" s="70"/>
      <x:c r="C194" s="70"/>
      <x:c r="D194" s="70"/>
      <x:c r="E194" s="70"/>
      <x:c r="F194" s="70"/>
      <x:c r="G194" s="70"/>
      <x:c r="H194" s="70"/>
      <x:c r="I194" s="70"/>
      <x:c r="J194" s="70"/>
      <x:c r="K194" s="70"/>
      <x:c r="L194" s="70"/>
      <x:c r="M194" s="71"/>
      <x:c r="N194" s="70"/>
      <x:c r="O194" s="70"/>
      <x:c r="P194" s="70"/>
      <x:c r="Q194" s="70"/>
      <x:c r="R194" s="70"/>
      <x:c r="S194" s="70"/>
      <x:c r="T194" s="70"/>
      <x:c r="U194" s="70"/>
      <x:c r="V194" s="70"/>
      <x:c r="W194" s="70"/>
      <x:c r="X194" s="70"/>
    </x:row>
    <x:row r="195" ht="15" hidden="0" customHeight="1">
      <x:c r="A195" s="70"/>
      <x:c r="B195" s="70"/>
      <x:c r="C195" s="70"/>
      <x:c r="D195" s="70"/>
      <x:c r="E195" s="70"/>
      <x:c r="F195" s="70"/>
      <x:c r="G195" s="70"/>
      <x:c r="H195" s="70"/>
      <x:c r="I195" s="70"/>
      <x:c r="J195" s="70"/>
      <x:c r="K195" s="70"/>
      <x:c r="L195" s="70"/>
      <x:c r="M195" s="71"/>
      <x:c r="N195" s="70"/>
      <x:c r="O195" s="70"/>
      <x:c r="P195" s="70"/>
      <x:c r="Q195" s="70"/>
      <x:c r="R195" s="70"/>
      <x:c r="S195" s="70"/>
      <x:c r="T195" s="70"/>
      <x:c r="U195" s="70"/>
      <x:c r="V195" s="70"/>
      <x:c r="W195" s="70"/>
      <x:c r="X195" s="70"/>
    </x:row>
    <x:row r="196" ht="15" hidden="0" customHeight="1">
      <x:c r="A196" s="70"/>
      <x:c r="B196" s="70"/>
      <x:c r="C196" s="70"/>
      <x:c r="D196" s="70"/>
      <x:c r="E196" s="70"/>
      <x:c r="F196" s="70"/>
      <x:c r="G196" s="70"/>
      <x:c r="H196" s="70"/>
      <x:c r="I196" s="70"/>
      <x:c r="J196" s="70"/>
      <x:c r="K196" s="70"/>
      <x:c r="L196" s="70"/>
      <x:c r="M196" s="71"/>
      <x:c r="N196" s="70"/>
      <x:c r="O196" s="70"/>
      <x:c r="P196" s="70"/>
      <x:c r="Q196" s="70"/>
      <x:c r="R196" s="70"/>
      <x:c r="S196" s="70"/>
      <x:c r="T196" s="70"/>
      <x:c r="U196" s="70"/>
      <x:c r="V196" s="70"/>
      <x:c r="W196" s="70"/>
      <x:c r="X196" s="70"/>
    </x:row>
    <x:row r="197" ht="15" hidden="0" customHeight="1">
      <x:c r="A197" s="70"/>
      <x:c r="B197" s="70"/>
      <x:c r="C197" s="70"/>
      <x:c r="D197" s="70"/>
      <x:c r="E197" s="70"/>
      <x:c r="F197" s="70"/>
      <x:c r="G197" s="70"/>
      <x:c r="H197" s="70"/>
      <x:c r="I197" s="70"/>
      <x:c r="J197" s="70"/>
      <x:c r="K197" s="70"/>
      <x:c r="L197" s="70"/>
      <x:c r="M197" s="71"/>
      <x:c r="N197" s="70"/>
      <x:c r="O197" s="70"/>
      <x:c r="P197" s="70"/>
      <x:c r="Q197" s="70"/>
      <x:c r="R197" s="70"/>
      <x:c r="S197" s="70"/>
      <x:c r="T197" s="70"/>
      <x:c r="U197" s="70"/>
      <x:c r="V197" s="70"/>
      <x:c r="W197" s="70"/>
      <x:c r="X197" s="70"/>
    </x:row>
    <x:row r="198" ht="15" hidden="0" customHeight="1">
      <x:c r="A198" s="70"/>
      <x:c r="B198" s="70"/>
      <x:c r="C198" s="70"/>
      <x:c r="D198" s="70"/>
      <x:c r="E198" s="70"/>
      <x:c r="F198" s="70"/>
      <x:c r="G198" s="70"/>
      <x:c r="H198" s="70"/>
      <x:c r="I198" s="70"/>
      <x:c r="J198" s="70"/>
      <x:c r="K198" s="70"/>
      <x:c r="L198" s="70"/>
      <x:c r="M198" s="71"/>
      <x:c r="N198" s="70"/>
      <x:c r="O198" s="70"/>
      <x:c r="P198" s="70"/>
      <x:c r="Q198" s="70"/>
      <x:c r="R198" s="70"/>
      <x:c r="S198" s="70"/>
      <x:c r="T198" s="70"/>
      <x:c r="U198" s="70"/>
      <x:c r="V198" s="70"/>
      <x:c r="W198" s="70"/>
      <x:c r="X198" s="70"/>
    </x:row>
    <x:row r="199" ht="15" hidden="0" customHeight="1">
      <x:c r="A199" s="70"/>
      <x:c r="B199" s="70"/>
      <x:c r="C199" s="70"/>
      <x:c r="D199" s="70"/>
      <x:c r="E199" s="70"/>
      <x:c r="F199" s="70"/>
      <x:c r="G199" s="70"/>
      <x:c r="H199" s="70"/>
      <x:c r="I199" s="70"/>
      <x:c r="J199" s="70"/>
      <x:c r="K199" s="70"/>
      <x:c r="L199" s="70"/>
      <x:c r="M199" s="71"/>
      <x:c r="N199" s="70"/>
      <x:c r="O199" s="70"/>
      <x:c r="P199" s="70"/>
      <x:c r="Q199" s="70"/>
      <x:c r="R199" s="70"/>
      <x:c r="S199" s="70"/>
      <x:c r="T199" s="70"/>
      <x:c r="U199" s="70"/>
      <x:c r="V199" s="70"/>
      <x:c r="W199" s="70"/>
      <x:c r="X199" s="70"/>
    </x:row>
    <x:row r="200" ht="15" hidden="0" customHeight="1">
      <x:c r="A200" s="70"/>
      <x:c r="B200" s="70"/>
      <x:c r="C200" s="70"/>
      <x:c r="D200" s="70"/>
      <x:c r="E200" s="70"/>
      <x:c r="F200" s="70"/>
      <x:c r="G200" s="70"/>
      <x:c r="H200" s="70"/>
      <x:c r="I200" s="70"/>
      <x:c r="J200" s="70"/>
      <x:c r="K200" s="70"/>
      <x:c r="L200" s="70"/>
      <x:c r="M200" s="71"/>
      <x:c r="N200" s="70"/>
      <x:c r="O200" s="70"/>
      <x:c r="P200" s="70"/>
      <x:c r="Q200" s="70"/>
      <x:c r="R200" s="70"/>
      <x:c r="S200" s="70"/>
      <x:c r="T200" s="70"/>
      <x:c r="U200" s="70"/>
      <x:c r="V200" s="70"/>
      <x:c r="W200" s="70"/>
      <x:c r="X200" s="70"/>
    </x:row>
    <x:row r="201" ht="15" hidden="0" customHeight="1">
      <x:c r="A201" s="70"/>
      <x:c r="B201" s="70"/>
      <x:c r="C201" s="70"/>
      <x:c r="D201" s="70"/>
      <x:c r="E201" s="70"/>
      <x:c r="F201" s="70"/>
      <x:c r="G201" s="70"/>
      <x:c r="H201" s="70"/>
      <x:c r="I201" s="70"/>
      <x:c r="J201" s="70"/>
      <x:c r="K201" s="70"/>
      <x:c r="L201" s="70"/>
      <x:c r="M201" s="71"/>
      <x:c r="N201" s="70"/>
      <x:c r="O201" s="70"/>
      <x:c r="P201" s="70"/>
      <x:c r="Q201" s="70"/>
      <x:c r="R201" s="70"/>
      <x:c r="S201" s="70"/>
      <x:c r="T201" s="70"/>
      <x:c r="U201" s="70"/>
      <x:c r="V201" s="70"/>
      <x:c r="W201" s="70"/>
      <x:c r="X201" s="70"/>
    </x:row>
    <x:row r="202" ht="15" hidden="0" customHeight="1">
      <x:c r="A202" s="70"/>
      <x:c r="B202" s="70"/>
      <x:c r="C202" s="70"/>
      <x:c r="D202" s="70"/>
      <x:c r="E202" s="70"/>
      <x:c r="F202" s="70"/>
      <x:c r="G202" s="70"/>
      <x:c r="H202" s="70"/>
      <x:c r="I202" s="70"/>
      <x:c r="J202" s="70"/>
      <x:c r="K202" s="70"/>
      <x:c r="L202" s="70"/>
      <x:c r="M202" s="71"/>
      <x:c r="N202" s="70"/>
      <x:c r="O202" s="70"/>
      <x:c r="P202" s="70"/>
      <x:c r="Q202" s="70"/>
      <x:c r="R202" s="70"/>
      <x:c r="S202" s="70"/>
      <x:c r="T202" s="70"/>
      <x:c r="U202" s="70"/>
      <x:c r="V202" s="70"/>
      <x:c r="W202" s="70"/>
      <x:c r="X202" s="70"/>
    </x:row>
    <x:row r="203" ht="15" hidden="0" customHeight="1">
      <x:c r="A203" s="70"/>
      <x:c r="B203" s="70"/>
      <x:c r="C203" s="70"/>
      <x:c r="D203" s="70"/>
      <x:c r="E203" s="70"/>
      <x:c r="F203" s="70"/>
      <x:c r="G203" s="70"/>
      <x:c r="H203" s="70"/>
      <x:c r="I203" s="70"/>
      <x:c r="J203" s="70"/>
      <x:c r="K203" s="70"/>
      <x:c r="L203" s="70"/>
      <x:c r="M203" s="71"/>
      <x:c r="N203" s="70"/>
      <x:c r="O203" s="70"/>
      <x:c r="P203" s="70"/>
      <x:c r="Q203" s="70"/>
      <x:c r="R203" s="70"/>
      <x:c r="S203" s="70"/>
      <x:c r="T203" s="70"/>
      <x:c r="U203" s="70"/>
      <x:c r="V203" s="70"/>
      <x:c r="W203" s="70"/>
      <x:c r="X203" s="70"/>
    </x:row>
    <x:row r="204" ht="15" hidden="0" customHeight="1">
      <x:c r="A204" s="70"/>
      <x:c r="B204" s="70"/>
      <x:c r="C204" s="70"/>
      <x:c r="D204" s="70"/>
      <x:c r="E204" s="70"/>
      <x:c r="F204" s="70"/>
      <x:c r="G204" s="70"/>
      <x:c r="H204" s="70"/>
      <x:c r="I204" s="70"/>
      <x:c r="J204" s="70"/>
      <x:c r="K204" s="70"/>
      <x:c r="L204" s="70"/>
      <x:c r="M204" s="71"/>
      <x:c r="N204" s="70"/>
      <x:c r="O204" s="70"/>
      <x:c r="P204" s="70"/>
      <x:c r="Q204" s="70"/>
      <x:c r="R204" s="70"/>
      <x:c r="S204" s="70"/>
      <x:c r="T204" s="70"/>
      <x:c r="U204" s="70"/>
      <x:c r="V204" s="70"/>
      <x:c r="W204" s="70"/>
      <x:c r="X204" s="70"/>
    </x:row>
    <x:row r="205" ht="15" hidden="0" customHeight="1">
      <x:c r="A205" s="70"/>
      <x:c r="B205" s="70"/>
      <x:c r="C205" s="70"/>
      <x:c r="D205" s="70"/>
      <x:c r="E205" s="70"/>
      <x:c r="F205" s="70"/>
      <x:c r="G205" s="70"/>
      <x:c r="H205" s="70"/>
      <x:c r="I205" s="70"/>
      <x:c r="J205" s="70"/>
      <x:c r="K205" s="70"/>
      <x:c r="L205" s="70"/>
      <x:c r="M205" s="71"/>
      <x:c r="N205" s="70"/>
      <x:c r="O205" s="70"/>
      <x:c r="P205" s="70"/>
      <x:c r="Q205" s="70"/>
      <x:c r="R205" s="70"/>
      <x:c r="S205" s="70"/>
      <x:c r="T205" s="70"/>
      <x:c r="U205" s="70"/>
      <x:c r="V205" s="70"/>
      <x:c r="W205" s="70"/>
      <x:c r="X205" s="70"/>
    </x:row>
    <x:row r="206" ht="15" hidden="0" customHeight="1">
      <x:c r="A206" s="70"/>
      <x:c r="B206" s="70"/>
      <x:c r="C206" s="70"/>
      <x:c r="D206" s="70"/>
      <x:c r="E206" s="70"/>
      <x:c r="F206" s="70"/>
      <x:c r="G206" s="70"/>
      <x:c r="H206" s="70"/>
      <x:c r="I206" s="70"/>
      <x:c r="J206" s="70"/>
      <x:c r="K206" s="70"/>
      <x:c r="L206" s="70"/>
      <x:c r="M206" s="71"/>
      <x:c r="N206" s="70"/>
      <x:c r="O206" s="70"/>
      <x:c r="P206" s="70"/>
      <x:c r="Q206" s="70"/>
      <x:c r="R206" s="70"/>
      <x:c r="S206" s="70"/>
      <x:c r="T206" s="70"/>
      <x:c r="U206" s="70"/>
      <x:c r="V206" s="70"/>
      <x:c r="W206" s="70"/>
      <x:c r="X206" s="70"/>
    </x:row>
    <x:row r="207" ht="15" hidden="0" customHeight="1">
      <x:c r="A207" s="70"/>
      <x:c r="B207" s="70"/>
      <x:c r="C207" s="70"/>
      <x:c r="D207" s="70"/>
      <x:c r="E207" s="70"/>
      <x:c r="F207" s="70"/>
      <x:c r="G207" s="70"/>
      <x:c r="H207" s="70"/>
      <x:c r="I207" s="70"/>
      <x:c r="J207" s="70"/>
      <x:c r="K207" s="70"/>
      <x:c r="L207" s="70"/>
      <x:c r="M207" s="71"/>
      <x:c r="N207" s="70"/>
      <x:c r="O207" s="70"/>
      <x:c r="P207" s="70"/>
      <x:c r="Q207" s="70"/>
      <x:c r="R207" s="70"/>
      <x:c r="S207" s="70"/>
      <x:c r="T207" s="70"/>
      <x:c r="U207" s="70"/>
      <x:c r="V207" s="70"/>
      <x:c r="W207" s="70"/>
      <x:c r="X207" s="70"/>
    </x:row>
    <x:row r="208" ht="15" hidden="0" customHeight="1">
      <x:c r="A208" s="70"/>
      <x:c r="B208" s="70"/>
      <x:c r="C208" s="70"/>
      <x:c r="D208" s="70"/>
      <x:c r="E208" s="70"/>
      <x:c r="F208" s="70"/>
      <x:c r="G208" s="70"/>
      <x:c r="H208" s="70"/>
      <x:c r="I208" s="70"/>
      <x:c r="J208" s="70"/>
      <x:c r="K208" s="70"/>
      <x:c r="L208" s="70"/>
      <x:c r="M208" s="71"/>
      <x:c r="N208" s="70"/>
      <x:c r="O208" s="70"/>
      <x:c r="P208" s="70"/>
      <x:c r="Q208" s="70"/>
      <x:c r="R208" s="70"/>
      <x:c r="S208" s="70"/>
      <x:c r="T208" s="70"/>
      <x:c r="U208" s="70"/>
      <x:c r="V208" s="70"/>
      <x:c r="W208" s="70"/>
      <x:c r="X208" s="70"/>
    </x:row>
    <x:row r="209" ht="15" hidden="0" customHeight="1">
      <x:c r="A209" s="70"/>
      <x:c r="B209" s="70"/>
      <x:c r="C209" s="70"/>
      <x:c r="D209" s="70"/>
      <x:c r="E209" s="70"/>
      <x:c r="F209" s="70"/>
      <x:c r="G209" s="70"/>
      <x:c r="H209" s="70"/>
      <x:c r="I209" s="70"/>
      <x:c r="J209" s="70"/>
      <x:c r="K209" s="70"/>
      <x:c r="L209" s="70"/>
      <x:c r="M209" s="71"/>
      <x:c r="N209" s="70"/>
      <x:c r="O209" s="70"/>
      <x:c r="P209" s="70"/>
      <x:c r="Q209" s="70"/>
      <x:c r="R209" s="70"/>
      <x:c r="S209" s="70"/>
      <x:c r="T209" s="70"/>
      <x:c r="U209" s="70"/>
      <x:c r="V209" s="70"/>
      <x:c r="W209" s="70"/>
      <x:c r="X209" s="70"/>
    </x:row>
    <x:row r="210" ht="15" hidden="0" customHeight="1">
      <x:c r="A210" s="70"/>
      <x:c r="B210" s="70"/>
      <x:c r="C210" s="70"/>
      <x:c r="D210" s="70"/>
      <x:c r="E210" s="70"/>
      <x:c r="F210" s="70"/>
      <x:c r="G210" s="70"/>
      <x:c r="H210" s="70"/>
      <x:c r="I210" s="70"/>
      <x:c r="J210" s="70"/>
      <x:c r="K210" s="70"/>
      <x:c r="L210" s="70"/>
      <x:c r="M210" s="71"/>
      <x:c r="N210" s="70"/>
      <x:c r="O210" s="70"/>
      <x:c r="P210" s="70"/>
      <x:c r="Q210" s="70"/>
      <x:c r="R210" s="70"/>
      <x:c r="S210" s="70"/>
      <x:c r="T210" s="70"/>
      <x:c r="U210" s="70"/>
      <x:c r="V210" s="70"/>
      <x:c r="W210" s="70"/>
      <x:c r="X210" s="70"/>
    </x:row>
    <x:row r="211" ht="15" hidden="0" customHeight="1">
      <x:c r="A211" s="70"/>
      <x:c r="B211" s="70"/>
      <x:c r="C211" s="70"/>
      <x:c r="D211" s="70"/>
      <x:c r="E211" s="70"/>
      <x:c r="F211" s="70"/>
      <x:c r="G211" s="70"/>
      <x:c r="H211" s="70"/>
      <x:c r="I211" s="70"/>
      <x:c r="J211" s="70"/>
      <x:c r="K211" s="70"/>
      <x:c r="L211" s="70"/>
      <x:c r="M211" s="71"/>
      <x:c r="N211" s="70"/>
      <x:c r="O211" s="70"/>
      <x:c r="P211" s="70"/>
      <x:c r="Q211" s="70"/>
      <x:c r="R211" s="70"/>
      <x:c r="S211" s="70"/>
      <x:c r="T211" s="70"/>
      <x:c r="U211" s="70"/>
      <x:c r="V211" s="70"/>
      <x:c r="W211" s="70"/>
      <x:c r="X211" s="70"/>
    </x:row>
    <x:row r="212" ht="15" hidden="0" customHeight="1">
      <x:c r="A212" s="70"/>
      <x:c r="B212" s="70"/>
      <x:c r="C212" s="70"/>
      <x:c r="D212" s="70"/>
      <x:c r="E212" s="70"/>
      <x:c r="F212" s="70"/>
      <x:c r="G212" s="70"/>
      <x:c r="H212" s="70"/>
      <x:c r="I212" s="70"/>
      <x:c r="J212" s="70"/>
      <x:c r="K212" s="70"/>
      <x:c r="L212" s="70"/>
      <x:c r="M212" s="71"/>
      <x:c r="N212" s="70"/>
      <x:c r="O212" s="70"/>
      <x:c r="P212" s="70"/>
      <x:c r="Q212" s="70"/>
      <x:c r="R212" s="70"/>
      <x:c r="S212" s="70"/>
      <x:c r="T212" s="70"/>
      <x:c r="U212" s="70"/>
      <x:c r="V212" s="70"/>
      <x:c r="W212" s="70"/>
      <x:c r="X212" s="70"/>
    </x:row>
    <x:row r="213" ht="15" hidden="0" customHeight="1">
      <x:c r="A213" s="70"/>
      <x:c r="B213" s="70"/>
      <x:c r="C213" s="70"/>
      <x:c r="D213" s="70"/>
      <x:c r="E213" s="70"/>
      <x:c r="F213" s="70"/>
      <x:c r="G213" s="70"/>
      <x:c r="H213" s="70"/>
      <x:c r="I213" s="70"/>
      <x:c r="J213" s="70"/>
      <x:c r="K213" s="70"/>
      <x:c r="L213" s="70"/>
      <x:c r="M213" s="71"/>
      <x:c r="N213" s="70"/>
      <x:c r="O213" s="70"/>
      <x:c r="P213" s="70"/>
      <x:c r="Q213" s="70"/>
      <x:c r="R213" s="70"/>
      <x:c r="S213" s="70"/>
      <x:c r="T213" s="70"/>
      <x:c r="U213" s="70"/>
      <x:c r="V213" s="70"/>
      <x:c r="W213" s="70"/>
      <x:c r="X213" s="70"/>
    </x:row>
    <x:row r="214" ht="15" hidden="0" customHeight="1">
      <x:c r="A214" s="70"/>
      <x:c r="B214" s="70"/>
      <x:c r="C214" s="70"/>
      <x:c r="D214" s="70"/>
      <x:c r="E214" s="70"/>
      <x:c r="F214" s="70"/>
      <x:c r="G214" s="70"/>
      <x:c r="H214" s="70"/>
      <x:c r="I214" s="70"/>
      <x:c r="J214" s="70"/>
      <x:c r="K214" s="70"/>
      <x:c r="L214" s="70"/>
      <x:c r="M214" s="71"/>
      <x:c r="N214" s="70"/>
      <x:c r="O214" s="70"/>
      <x:c r="P214" s="70"/>
      <x:c r="Q214" s="70"/>
      <x:c r="R214" s="70"/>
      <x:c r="S214" s="70"/>
      <x:c r="T214" s="70"/>
      <x:c r="U214" s="70"/>
      <x:c r="V214" s="70"/>
      <x:c r="W214" s="70"/>
      <x:c r="X214" s="70"/>
    </x:row>
    <x:row r="215" ht="15" hidden="0" customHeight="1">
      <x:c r="A215" s="70"/>
      <x:c r="B215" s="70"/>
      <x:c r="C215" s="70"/>
      <x:c r="D215" s="70"/>
      <x:c r="E215" s="70"/>
      <x:c r="F215" s="70"/>
      <x:c r="G215" s="70"/>
      <x:c r="H215" s="70"/>
      <x:c r="I215" s="70"/>
      <x:c r="J215" s="70"/>
      <x:c r="K215" s="70"/>
      <x:c r="L215" s="70"/>
      <x:c r="M215" s="71"/>
      <x:c r="N215" s="70"/>
      <x:c r="O215" s="70"/>
      <x:c r="P215" s="70"/>
      <x:c r="Q215" s="70"/>
      <x:c r="R215" s="70"/>
      <x:c r="S215" s="70"/>
      <x:c r="T215" s="70"/>
      <x:c r="U215" s="70"/>
      <x:c r="V215" s="70"/>
      <x:c r="W215" s="70"/>
      <x:c r="X215" s="70"/>
    </x:row>
    <x:row r="216" ht="15" hidden="0" customHeight="1">
      <x:c r="A216" s="70"/>
      <x:c r="B216" s="70"/>
      <x:c r="C216" s="70"/>
      <x:c r="D216" s="70"/>
      <x:c r="E216" s="70"/>
      <x:c r="F216" s="70"/>
      <x:c r="G216" s="70"/>
      <x:c r="H216" s="70"/>
      <x:c r="I216" s="70"/>
      <x:c r="J216" s="70"/>
      <x:c r="K216" s="70"/>
      <x:c r="L216" s="70"/>
      <x:c r="M216" s="71"/>
      <x:c r="N216" s="70"/>
      <x:c r="O216" s="70"/>
      <x:c r="P216" s="70"/>
      <x:c r="Q216" s="70"/>
      <x:c r="R216" s="70"/>
      <x:c r="S216" s="70"/>
      <x:c r="T216" s="70"/>
      <x:c r="U216" s="70"/>
      <x:c r="V216" s="70"/>
      <x:c r="W216" s="70"/>
      <x:c r="X216" s="70"/>
    </x:row>
    <x:row r="217" ht="15" hidden="0" customHeight="1">
      <x:c r="A217" s="70"/>
      <x:c r="B217" s="70"/>
      <x:c r="C217" s="70"/>
      <x:c r="D217" s="70"/>
      <x:c r="E217" s="70"/>
      <x:c r="F217" s="70"/>
      <x:c r="G217" s="70"/>
      <x:c r="H217" s="70"/>
      <x:c r="I217" s="70"/>
      <x:c r="J217" s="70"/>
      <x:c r="K217" s="70"/>
      <x:c r="L217" s="70"/>
      <x:c r="M217" s="71"/>
      <x:c r="N217" s="70"/>
      <x:c r="O217" s="70"/>
      <x:c r="P217" s="70"/>
      <x:c r="Q217" s="70"/>
      <x:c r="R217" s="70"/>
      <x:c r="S217" s="70"/>
      <x:c r="T217" s="70"/>
      <x:c r="U217" s="70"/>
      <x:c r="V217" s="70"/>
      <x:c r="W217" s="70"/>
      <x:c r="X217" s="70"/>
    </x:row>
    <x:row r="218" ht="15" hidden="0" customHeight="1">
      <x:c r="A218" s="70"/>
      <x:c r="B218" s="70"/>
      <x:c r="C218" s="70"/>
      <x:c r="D218" s="70"/>
      <x:c r="E218" s="70"/>
      <x:c r="F218" s="70"/>
      <x:c r="G218" s="70"/>
      <x:c r="H218" s="70"/>
      <x:c r="I218" s="70"/>
      <x:c r="J218" s="70"/>
      <x:c r="K218" s="70"/>
      <x:c r="L218" s="70"/>
      <x:c r="M218" s="71"/>
      <x:c r="N218" s="70"/>
      <x:c r="O218" s="70"/>
      <x:c r="P218" s="70"/>
      <x:c r="Q218" s="70"/>
      <x:c r="R218" s="70"/>
      <x:c r="S218" s="70"/>
      <x:c r="T218" s="70"/>
      <x:c r="U218" s="70"/>
      <x:c r="V218" s="70"/>
      <x:c r="W218" s="70"/>
      <x:c r="X218" s="70"/>
    </x:row>
    <x:row r="219" ht="15" hidden="0" customHeight="1">
      <x:c r="A219" s="70"/>
      <x:c r="B219" s="70"/>
      <x:c r="C219" s="70"/>
      <x:c r="D219" s="70"/>
      <x:c r="E219" s="70"/>
      <x:c r="F219" s="70"/>
      <x:c r="G219" s="70"/>
      <x:c r="H219" s="70"/>
      <x:c r="I219" s="70"/>
      <x:c r="J219" s="70"/>
      <x:c r="K219" s="70"/>
      <x:c r="L219" s="70"/>
      <x:c r="M219" s="71"/>
      <x:c r="N219" s="70"/>
      <x:c r="O219" s="70"/>
      <x:c r="P219" s="70"/>
      <x:c r="Q219" s="70"/>
      <x:c r="R219" s="70"/>
      <x:c r="S219" s="70"/>
      <x:c r="T219" s="70"/>
      <x:c r="U219" s="70"/>
      <x:c r="V219" s="70"/>
      <x:c r="W219" s="70"/>
      <x:c r="X219" s="70"/>
    </x:row>
    <x:row r="220" ht="15" hidden="0" customHeight="1">
      <x:c r="A220" s="70"/>
      <x:c r="B220" s="70"/>
      <x:c r="C220" s="70"/>
      <x:c r="D220" s="70"/>
      <x:c r="E220" s="70"/>
      <x:c r="F220" s="70"/>
      <x:c r="G220" s="70"/>
      <x:c r="H220" s="70"/>
      <x:c r="I220" s="70"/>
      <x:c r="J220" s="70"/>
      <x:c r="K220" s="70"/>
      <x:c r="L220" s="70"/>
      <x:c r="M220" s="71"/>
      <x:c r="N220" s="70"/>
      <x:c r="O220" s="70"/>
      <x:c r="P220" s="70"/>
      <x:c r="Q220" s="70"/>
      <x:c r="R220" s="70"/>
      <x:c r="S220" s="70"/>
      <x:c r="T220" s="70"/>
      <x:c r="U220" s="70"/>
      <x:c r="V220" s="70"/>
      <x:c r="W220" s="70"/>
      <x:c r="X220" s="70"/>
    </x:row>
    <x:row r="221" ht="15" hidden="0" customHeight="1">
      <x:c r="A221" s="70"/>
      <x:c r="B221" s="70"/>
      <x:c r="C221" s="70"/>
      <x:c r="D221" s="70"/>
      <x:c r="E221" s="70"/>
      <x:c r="F221" s="70"/>
      <x:c r="G221" s="70"/>
      <x:c r="H221" s="70"/>
      <x:c r="I221" s="70"/>
      <x:c r="J221" s="70"/>
      <x:c r="K221" s="70"/>
      <x:c r="L221" s="70"/>
      <x:c r="M221" s="71"/>
      <x:c r="N221" s="70"/>
      <x:c r="O221" s="70"/>
      <x:c r="P221" s="70"/>
      <x:c r="Q221" s="70"/>
      <x:c r="R221" s="70"/>
      <x:c r="S221" s="70"/>
      <x:c r="T221" s="70"/>
      <x:c r="U221" s="70"/>
      <x:c r="V221" s="70"/>
      <x:c r="W221" s="70"/>
      <x:c r="X221" s="70"/>
    </x:row>
    <x:row r="222" ht="15" hidden="0" customHeight="1">
      <x:c r="A222" s="70"/>
      <x:c r="B222" s="70"/>
      <x:c r="C222" s="70"/>
      <x:c r="D222" s="70"/>
      <x:c r="E222" s="70"/>
      <x:c r="F222" s="70"/>
      <x:c r="G222" s="70"/>
      <x:c r="H222" s="70"/>
      <x:c r="I222" s="70"/>
      <x:c r="J222" s="70"/>
      <x:c r="K222" s="70"/>
      <x:c r="L222" s="70"/>
      <x:c r="M222" s="71"/>
      <x:c r="N222" s="70"/>
      <x:c r="O222" s="70"/>
      <x:c r="P222" s="70"/>
      <x:c r="Q222" s="70"/>
      <x:c r="R222" s="70"/>
      <x:c r="S222" s="70"/>
      <x:c r="T222" s="70"/>
      <x:c r="U222" s="70"/>
      <x:c r="V222" s="70"/>
      <x:c r="W222" s="70"/>
      <x:c r="X222" s="70"/>
    </x:row>
    <x:row r="223" ht="15" hidden="0" customHeight="1">
      <x:c r="A223" s="70"/>
      <x:c r="B223" s="70"/>
      <x:c r="C223" s="70"/>
      <x:c r="D223" s="70"/>
      <x:c r="E223" s="70"/>
      <x:c r="F223" s="70"/>
      <x:c r="G223" s="70"/>
      <x:c r="H223" s="70"/>
      <x:c r="I223" s="70"/>
      <x:c r="J223" s="70"/>
      <x:c r="K223" s="70"/>
      <x:c r="L223" s="70"/>
      <x:c r="M223" s="71"/>
      <x:c r="N223" s="70"/>
      <x:c r="O223" s="70"/>
      <x:c r="P223" s="70"/>
      <x:c r="Q223" s="70"/>
      <x:c r="R223" s="70"/>
      <x:c r="S223" s="70"/>
      <x:c r="T223" s="70"/>
      <x:c r="U223" s="70"/>
      <x:c r="V223" s="70"/>
      <x:c r="W223" s="70"/>
      <x:c r="X223" s="70"/>
    </x:row>
    <x:row r="224" ht="15" hidden="0" customHeight="1">
      <x:c r="A224" s="70"/>
      <x:c r="B224" s="70"/>
      <x:c r="C224" s="70"/>
      <x:c r="D224" s="70"/>
      <x:c r="E224" s="70"/>
      <x:c r="F224" s="70"/>
      <x:c r="G224" s="70"/>
      <x:c r="H224" s="70"/>
      <x:c r="I224" s="70"/>
      <x:c r="J224" s="70"/>
      <x:c r="K224" s="70"/>
      <x:c r="L224" s="70"/>
      <x:c r="M224" s="71"/>
      <x:c r="N224" s="70"/>
      <x:c r="O224" s="70"/>
      <x:c r="P224" s="70"/>
      <x:c r="Q224" s="70"/>
      <x:c r="R224" s="70"/>
      <x:c r="S224" s="70"/>
      <x:c r="T224" s="70"/>
      <x:c r="U224" s="70"/>
      <x:c r="V224" s="70"/>
      <x:c r="W224" s="70"/>
      <x:c r="X224" s="70"/>
    </x:row>
    <x:row r="225" ht="15" hidden="0" customHeight="1">
      <x:c r="A225" s="70"/>
      <x:c r="B225" s="70"/>
      <x:c r="C225" s="70"/>
      <x:c r="D225" s="70"/>
      <x:c r="E225" s="70"/>
      <x:c r="F225" s="70"/>
      <x:c r="G225" s="70"/>
      <x:c r="H225" s="70"/>
      <x:c r="I225" s="70"/>
      <x:c r="J225" s="70"/>
      <x:c r="K225" s="70"/>
      <x:c r="L225" s="70"/>
      <x:c r="M225" s="71"/>
      <x:c r="N225" s="70"/>
      <x:c r="O225" s="70"/>
      <x:c r="P225" s="70"/>
      <x:c r="Q225" s="70"/>
      <x:c r="R225" s="70"/>
      <x:c r="S225" s="70"/>
      <x:c r="T225" s="70"/>
      <x:c r="U225" s="70"/>
      <x:c r="V225" s="70"/>
      <x:c r="W225" s="70"/>
      <x:c r="X225" s="70"/>
    </x:row>
    <x:row r="226" ht="15" hidden="0" customHeight="1">
      <x:c r="A226" s="70"/>
      <x:c r="B226" s="70"/>
      <x:c r="C226" s="70"/>
      <x:c r="D226" s="70"/>
      <x:c r="E226" s="70"/>
      <x:c r="F226" s="70"/>
      <x:c r="G226" s="70"/>
      <x:c r="H226" s="70"/>
      <x:c r="I226" s="70"/>
      <x:c r="J226" s="70"/>
      <x:c r="K226" s="70"/>
      <x:c r="L226" s="70"/>
      <x:c r="M226" s="71"/>
      <x:c r="N226" s="70"/>
      <x:c r="O226" s="70"/>
      <x:c r="P226" s="70"/>
      <x:c r="Q226" s="70"/>
      <x:c r="R226" s="70"/>
      <x:c r="S226" s="70"/>
      <x:c r="T226" s="70"/>
      <x:c r="U226" s="70"/>
      <x:c r="V226" s="70"/>
      <x:c r="W226" s="70"/>
      <x:c r="X226" s="70"/>
    </x:row>
    <x:row r="227" ht="15" hidden="0" customHeight="1">
      <x:c r="A227" s="70"/>
      <x:c r="B227" s="70"/>
      <x:c r="C227" s="70"/>
      <x:c r="D227" s="70"/>
      <x:c r="E227" s="70"/>
      <x:c r="F227" s="70"/>
      <x:c r="G227" s="70"/>
      <x:c r="H227" s="70"/>
      <x:c r="I227" s="70"/>
      <x:c r="J227" s="70"/>
      <x:c r="K227" s="70"/>
      <x:c r="L227" s="70"/>
      <x:c r="M227" s="71"/>
      <x:c r="N227" s="70"/>
      <x:c r="O227" s="70"/>
      <x:c r="P227" s="70"/>
      <x:c r="Q227" s="70"/>
      <x:c r="R227" s="70"/>
      <x:c r="S227" s="70"/>
      <x:c r="T227" s="70"/>
      <x:c r="U227" s="70"/>
      <x:c r="V227" s="70"/>
      <x:c r="W227" s="70"/>
      <x:c r="X227" s="70"/>
    </x:row>
    <x:row r="228" ht="15" hidden="0" customHeight="1">
      <x:c r="A228" s="70"/>
      <x:c r="B228" s="70"/>
      <x:c r="C228" s="70"/>
      <x:c r="D228" s="70"/>
      <x:c r="E228" s="70"/>
      <x:c r="F228" s="70"/>
      <x:c r="G228" s="70"/>
      <x:c r="H228" s="70"/>
      <x:c r="I228" s="70"/>
      <x:c r="J228" s="70"/>
      <x:c r="K228" s="70"/>
      <x:c r="L228" s="70"/>
      <x:c r="M228" s="71"/>
      <x:c r="N228" s="70"/>
      <x:c r="O228" s="70"/>
      <x:c r="P228" s="70"/>
      <x:c r="Q228" s="70"/>
      <x:c r="R228" s="70"/>
      <x:c r="S228" s="70"/>
      <x:c r="T228" s="70"/>
      <x:c r="U228" s="70"/>
      <x:c r="V228" s="70"/>
      <x:c r="W228" s="70"/>
      <x:c r="X228" s="70"/>
    </x:row>
    <x:row r="229" ht="15" hidden="0" customHeight="1">
      <x:c r="A229" s="70"/>
      <x:c r="B229" s="70"/>
      <x:c r="C229" s="70"/>
      <x:c r="D229" s="70"/>
      <x:c r="E229" s="70"/>
      <x:c r="F229" s="70"/>
      <x:c r="G229" s="70"/>
      <x:c r="H229" s="70"/>
      <x:c r="I229" s="70"/>
      <x:c r="J229" s="70"/>
      <x:c r="K229" s="70"/>
      <x:c r="L229" s="70"/>
      <x:c r="M229" s="71"/>
      <x:c r="N229" s="70"/>
      <x:c r="O229" s="70"/>
      <x:c r="P229" s="70"/>
      <x:c r="Q229" s="70"/>
      <x:c r="R229" s="70"/>
      <x:c r="S229" s="70"/>
      <x:c r="T229" s="70"/>
      <x:c r="U229" s="70"/>
      <x:c r="V229" s="70"/>
      <x:c r="W229" s="70"/>
      <x:c r="X229" s="70"/>
    </x:row>
    <x:row r="230" ht="15" hidden="0" customHeight="1">
      <x:c r="A230" s="70"/>
      <x:c r="B230" s="70"/>
      <x:c r="C230" s="70"/>
      <x:c r="D230" s="70"/>
      <x:c r="E230" s="70"/>
      <x:c r="F230" s="70"/>
      <x:c r="G230" s="70"/>
      <x:c r="H230" s="70"/>
      <x:c r="I230" s="70"/>
      <x:c r="J230" s="70"/>
      <x:c r="K230" s="70"/>
      <x:c r="L230" s="70"/>
      <x:c r="M230" s="71"/>
      <x:c r="N230" s="70"/>
      <x:c r="O230" s="70"/>
      <x:c r="P230" s="70"/>
      <x:c r="Q230" s="70"/>
      <x:c r="R230" s="70"/>
      <x:c r="S230" s="70"/>
      <x:c r="T230" s="70"/>
      <x:c r="U230" s="70"/>
      <x:c r="V230" s="70"/>
      <x:c r="W230" s="70"/>
      <x:c r="X230" s="70"/>
    </x:row>
    <x:row r="231" ht="15" hidden="0" customHeight="1">
      <x:c r="A231" s="70"/>
      <x:c r="B231" s="70"/>
      <x:c r="C231" s="70"/>
      <x:c r="D231" s="70"/>
      <x:c r="E231" s="70"/>
      <x:c r="F231" s="70"/>
      <x:c r="G231" s="70"/>
      <x:c r="H231" s="70"/>
      <x:c r="I231" s="70"/>
      <x:c r="J231" s="70"/>
      <x:c r="K231" s="70"/>
      <x:c r="L231" s="70"/>
      <x:c r="M231" s="71"/>
      <x:c r="N231" s="70"/>
      <x:c r="O231" s="70"/>
      <x:c r="P231" s="70"/>
      <x:c r="Q231" s="70"/>
      <x:c r="R231" s="70"/>
      <x:c r="S231" s="70"/>
      <x:c r="T231" s="70"/>
      <x:c r="U231" s="70"/>
      <x:c r="V231" s="70"/>
      <x:c r="W231" s="70"/>
      <x:c r="X231" s="70"/>
    </x:row>
    <x:row r="232" ht="15" hidden="0" customHeight="1">
      <x:c r="A232" s="70"/>
      <x:c r="B232" s="70"/>
      <x:c r="C232" s="70"/>
      <x:c r="D232" s="70"/>
      <x:c r="E232" s="70"/>
      <x:c r="F232" s="70"/>
      <x:c r="G232" s="70"/>
      <x:c r="H232" s="70"/>
      <x:c r="I232" s="70"/>
      <x:c r="J232" s="70"/>
      <x:c r="K232" s="70"/>
      <x:c r="L232" s="70"/>
      <x:c r="M232" s="71"/>
      <x:c r="N232" s="70"/>
      <x:c r="O232" s="70"/>
      <x:c r="P232" s="70"/>
      <x:c r="Q232" s="70"/>
      <x:c r="R232" s="70"/>
      <x:c r="S232" s="70"/>
      <x:c r="T232" s="70"/>
      <x:c r="U232" s="70"/>
      <x:c r="V232" s="70"/>
      <x:c r="W232" s="70"/>
      <x:c r="X232" s="70"/>
    </x:row>
    <x:row r="233" ht="15" hidden="0" customHeight="1">
      <x:c r="A233" s="70"/>
      <x:c r="B233" s="70"/>
      <x:c r="C233" s="70"/>
      <x:c r="D233" s="70"/>
      <x:c r="E233" s="70"/>
      <x:c r="F233" s="70"/>
      <x:c r="G233" s="70"/>
      <x:c r="H233" s="70"/>
      <x:c r="I233" s="70"/>
      <x:c r="J233" s="70"/>
      <x:c r="K233" s="70"/>
      <x:c r="L233" s="70"/>
      <x:c r="M233" s="71"/>
      <x:c r="N233" s="70"/>
      <x:c r="O233" s="70"/>
      <x:c r="P233" s="70"/>
      <x:c r="Q233" s="70"/>
      <x:c r="R233" s="70"/>
      <x:c r="S233" s="70"/>
      <x:c r="T233" s="70"/>
      <x:c r="U233" s="70"/>
      <x:c r="V233" s="70"/>
      <x:c r="W233" s="70"/>
      <x:c r="X233" s="70"/>
    </x:row>
    <x:row r="234" ht="15" hidden="0" customHeight="1">
      <x:c r="A234" s="70"/>
      <x:c r="B234" s="70"/>
      <x:c r="C234" s="70"/>
      <x:c r="D234" s="70"/>
      <x:c r="E234" s="70"/>
      <x:c r="F234" s="70"/>
      <x:c r="G234" s="70"/>
      <x:c r="H234" s="70"/>
      <x:c r="I234" s="70"/>
      <x:c r="J234" s="70"/>
      <x:c r="K234" s="70"/>
      <x:c r="L234" s="70"/>
      <x:c r="M234" s="71"/>
      <x:c r="N234" s="70"/>
      <x:c r="O234" s="70"/>
      <x:c r="P234" s="70"/>
      <x:c r="Q234" s="70"/>
      <x:c r="R234" s="70"/>
      <x:c r="S234" s="70"/>
      <x:c r="T234" s="70"/>
      <x:c r="U234" s="70"/>
      <x:c r="V234" s="70"/>
      <x:c r="W234" s="70"/>
      <x:c r="X234" s="70"/>
    </x:row>
    <x:row r="235" ht="15" hidden="0" customHeight="1">
      <x:c r="A235" s="70"/>
      <x:c r="B235" s="70"/>
      <x:c r="C235" s="70"/>
      <x:c r="D235" s="70"/>
      <x:c r="E235" s="70"/>
      <x:c r="F235" s="70"/>
      <x:c r="G235" s="70"/>
      <x:c r="H235" s="70"/>
      <x:c r="I235" s="70"/>
      <x:c r="J235" s="70"/>
      <x:c r="K235" s="70"/>
      <x:c r="L235" s="70"/>
      <x:c r="M235" s="71"/>
      <x:c r="N235" s="70"/>
      <x:c r="O235" s="70"/>
      <x:c r="P235" s="70"/>
      <x:c r="Q235" s="70"/>
      <x:c r="R235" s="70"/>
      <x:c r="S235" s="70"/>
      <x:c r="T235" s="70"/>
      <x:c r="U235" s="70"/>
      <x:c r="V235" s="70"/>
      <x:c r="W235" s="70"/>
      <x:c r="X235" s="70"/>
    </x:row>
    <x:row r="236" ht="15" hidden="0" customHeight="1">
      <x:c r="A236" s="70"/>
      <x:c r="B236" s="70"/>
      <x:c r="C236" s="70"/>
      <x:c r="D236" s="70"/>
      <x:c r="E236" s="70"/>
      <x:c r="F236" s="70"/>
      <x:c r="G236" s="70"/>
      <x:c r="H236" s="70"/>
      <x:c r="I236" s="70"/>
      <x:c r="J236" s="70"/>
      <x:c r="K236" s="70"/>
      <x:c r="L236" s="70"/>
      <x:c r="M236" s="71"/>
      <x:c r="N236" s="70"/>
      <x:c r="O236" s="70"/>
      <x:c r="P236" s="70"/>
      <x:c r="Q236" s="70"/>
      <x:c r="R236" s="70"/>
      <x:c r="S236" s="70"/>
      <x:c r="T236" s="70"/>
      <x:c r="U236" s="70"/>
      <x:c r="V236" s="70"/>
      <x:c r="W236" s="70"/>
      <x:c r="X236" s="70"/>
    </x:row>
    <x:row r="237" ht="15" hidden="0" customHeight="1">
      <x:c r="A237" s="70"/>
      <x:c r="B237" s="70"/>
      <x:c r="C237" s="70"/>
      <x:c r="D237" s="70"/>
      <x:c r="E237" s="70"/>
      <x:c r="F237" s="70"/>
      <x:c r="G237" s="70"/>
      <x:c r="H237" s="70"/>
      <x:c r="I237" s="70"/>
      <x:c r="J237" s="70"/>
      <x:c r="K237" s="70"/>
      <x:c r="L237" s="70"/>
      <x:c r="M237" s="71"/>
      <x:c r="N237" s="70"/>
      <x:c r="O237" s="70"/>
      <x:c r="P237" s="70"/>
      <x:c r="Q237" s="70"/>
      <x:c r="R237" s="70"/>
      <x:c r="S237" s="70"/>
      <x:c r="T237" s="70"/>
      <x:c r="U237" s="70"/>
      <x:c r="V237" s="70"/>
      <x:c r="W237" s="70"/>
      <x:c r="X237" s="70"/>
    </x:row>
    <x:row r="238" ht="15" hidden="0" customHeight="1">
      <x:c r="A238" s="70"/>
      <x:c r="B238" s="70"/>
      <x:c r="C238" s="70"/>
      <x:c r="D238" s="70"/>
      <x:c r="E238" s="70"/>
      <x:c r="F238" s="70"/>
      <x:c r="G238" s="70"/>
      <x:c r="H238" s="70"/>
      <x:c r="I238" s="70"/>
      <x:c r="J238" s="70"/>
      <x:c r="K238" s="70"/>
      <x:c r="L238" s="70"/>
      <x:c r="M238" s="71"/>
      <x:c r="N238" s="70"/>
      <x:c r="O238" s="70"/>
      <x:c r="P238" s="70"/>
      <x:c r="Q238" s="70"/>
      <x:c r="R238" s="70"/>
      <x:c r="S238" s="70"/>
      <x:c r="T238" s="70"/>
      <x:c r="U238" s="70"/>
      <x:c r="V238" s="70"/>
      <x:c r="W238" s="70"/>
      <x:c r="X238" s="70"/>
    </x:row>
    <x:row r="239" ht="15" hidden="0" customHeight="1">
      <x:c r="A239" s="70"/>
      <x:c r="B239" s="70"/>
      <x:c r="C239" s="70"/>
      <x:c r="D239" s="70"/>
      <x:c r="E239" s="70"/>
      <x:c r="F239" s="70"/>
      <x:c r="G239" s="70"/>
      <x:c r="H239" s="70"/>
      <x:c r="I239" s="70"/>
      <x:c r="J239" s="70"/>
      <x:c r="K239" s="70"/>
      <x:c r="L239" s="70"/>
      <x:c r="M239" s="71"/>
      <x:c r="N239" s="70"/>
      <x:c r="O239" s="70"/>
      <x:c r="P239" s="70"/>
      <x:c r="Q239" s="70"/>
      <x:c r="R239" s="70"/>
      <x:c r="S239" s="70"/>
      <x:c r="T239" s="70"/>
      <x:c r="U239" s="70"/>
      <x:c r="V239" s="70"/>
      <x:c r="W239" s="70"/>
      <x:c r="X239" s="70"/>
    </x:row>
    <x:row r="240" ht="15" hidden="0" customHeight="1">
      <x:c r="A240" s="70"/>
      <x:c r="B240" s="70"/>
      <x:c r="C240" s="70"/>
      <x:c r="D240" s="70"/>
      <x:c r="E240" s="70"/>
      <x:c r="F240" s="70"/>
      <x:c r="G240" s="70"/>
      <x:c r="H240" s="70"/>
      <x:c r="I240" s="70"/>
      <x:c r="J240" s="70"/>
      <x:c r="K240" s="70"/>
      <x:c r="L240" s="70"/>
      <x:c r="M240" s="71"/>
      <x:c r="N240" s="70"/>
      <x:c r="O240" s="70"/>
      <x:c r="P240" s="70"/>
      <x:c r="Q240" s="70"/>
      <x:c r="R240" s="70"/>
      <x:c r="S240" s="70"/>
      <x:c r="T240" s="70"/>
      <x:c r="U240" s="70"/>
      <x:c r="V240" s="70"/>
      <x:c r="W240" s="70"/>
      <x:c r="X240" s="70"/>
    </x:row>
    <x:row r="241" ht="15" hidden="0" customHeight="1">
      <x:c r="A241" s="70"/>
      <x:c r="B241" s="70"/>
      <x:c r="C241" s="70"/>
      <x:c r="D241" s="70"/>
      <x:c r="E241" s="70"/>
      <x:c r="F241" s="70"/>
      <x:c r="G241" s="70"/>
      <x:c r="H241" s="70"/>
      <x:c r="I241" s="70"/>
      <x:c r="J241" s="70"/>
      <x:c r="K241" s="70"/>
      <x:c r="L241" s="70"/>
      <x:c r="M241" s="71"/>
      <x:c r="N241" s="70"/>
      <x:c r="O241" s="70"/>
      <x:c r="P241" s="70"/>
      <x:c r="Q241" s="70"/>
      <x:c r="R241" s="70"/>
      <x:c r="S241" s="70"/>
      <x:c r="T241" s="70"/>
      <x:c r="U241" s="70"/>
      <x:c r="V241" s="70"/>
      <x:c r="W241" s="70"/>
      <x:c r="X241" s="70"/>
    </x:row>
    <x:row r="242" ht="15" hidden="0" customHeight="1">
      <x:c r="A242" s="70"/>
      <x:c r="B242" s="70"/>
      <x:c r="C242" s="70"/>
      <x:c r="D242" s="70"/>
      <x:c r="E242" s="70"/>
      <x:c r="F242" s="70"/>
      <x:c r="G242" s="70"/>
      <x:c r="H242" s="70"/>
      <x:c r="I242" s="70"/>
      <x:c r="J242" s="70"/>
      <x:c r="K242" s="70"/>
      <x:c r="L242" s="70"/>
      <x:c r="M242" s="71"/>
      <x:c r="N242" s="70"/>
      <x:c r="O242" s="70"/>
      <x:c r="P242" s="70"/>
      <x:c r="Q242" s="70"/>
      <x:c r="R242" s="70"/>
      <x:c r="S242" s="70"/>
      <x:c r="T242" s="70"/>
      <x:c r="U242" s="70"/>
      <x:c r="V242" s="70"/>
      <x:c r="W242" s="70"/>
      <x:c r="X242" s="70"/>
    </x:row>
    <x:row r="243" ht="15" hidden="0" customHeight="1">
      <x:c r="A243" s="70"/>
      <x:c r="B243" s="70"/>
      <x:c r="C243" s="70"/>
      <x:c r="D243" s="70"/>
      <x:c r="E243" s="70"/>
      <x:c r="F243" s="70"/>
      <x:c r="G243" s="70"/>
      <x:c r="H243" s="70"/>
      <x:c r="I243" s="70"/>
      <x:c r="J243" s="70"/>
      <x:c r="K243" s="70"/>
      <x:c r="L243" s="70"/>
      <x:c r="M243" s="71"/>
      <x:c r="N243" s="70"/>
      <x:c r="O243" s="70"/>
      <x:c r="P243" s="70"/>
      <x:c r="Q243" s="70"/>
      <x:c r="R243" s="70"/>
      <x:c r="S243" s="70"/>
      <x:c r="T243" s="70"/>
      <x:c r="U243" s="70"/>
      <x:c r="V243" s="70"/>
      <x:c r="W243" s="70"/>
      <x:c r="X243" s="70"/>
    </x:row>
    <x:row r="244" ht="15" hidden="0" customHeight="1">
      <x:c r="A244" s="70"/>
      <x:c r="B244" s="70"/>
      <x:c r="C244" s="70"/>
      <x:c r="D244" s="70"/>
      <x:c r="E244" s="70"/>
      <x:c r="F244" s="70"/>
      <x:c r="G244" s="70"/>
      <x:c r="H244" s="70"/>
      <x:c r="I244" s="70"/>
      <x:c r="J244" s="70"/>
      <x:c r="K244" s="70"/>
      <x:c r="L244" s="70"/>
      <x:c r="M244" s="71"/>
      <x:c r="N244" s="70"/>
      <x:c r="O244" s="70"/>
      <x:c r="P244" s="70"/>
      <x:c r="Q244" s="70"/>
      <x:c r="R244" s="70"/>
      <x:c r="S244" s="70"/>
      <x:c r="T244" s="70"/>
      <x:c r="U244" s="70"/>
      <x:c r="V244" s="70"/>
      <x:c r="W244" s="70"/>
      <x:c r="X244" s="70"/>
    </x:row>
    <x:row r="245" ht="15" hidden="0" customHeight="1">
      <x:c r="A245" s="70"/>
      <x:c r="B245" s="70"/>
      <x:c r="C245" s="70"/>
      <x:c r="D245" s="70"/>
      <x:c r="E245" s="70"/>
      <x:c r="F245" s="70"/>
      <x:c r="G245" s="70"/>
      <x:c r="H245" s="70"/>
      <x:c r="I245" s="70"/>
      <x:c r="J245" s="70"/>
      <x:c r="K245" s="70"/>
      <x:c r="L245" s="70"/>
      <x:c r="M245" s="71"/>
      <x:c r="N245" s="70"/>
      <x:c r="O245" s="70"/>
      <x:c r="P245" s="70"/>
      <x:c r="Q245" s="70"/>
      <x:c r="R245" s="70"/>
      <x:c r="S245" s="70"/>
      <x:c r="T245" s="70"/>
      <x:c r="U245" s="70"/>
      <x:c r="V245" s="70"/>
      <x:c r="W245" s="70"/>
      <x:c r="X245" s="70"/>
    </x:row>
    <x:row r="246" ht="15" hidden="0" customHeight="1">
      <x:c r="A246" s="70"/>
      <x:c r="B246" s="70"/>
      <x:c r="C246" s="70"/>
      <x:c r="D246" s="70"/>
      <x:c r="E246" s="70"/>
      <x:c r="F246" s="70"/>
      <x:c r="G246" s="70"/>
      <x:c r="H246" s="70"/>
      <x:c r="I246" s="70"/>
      <x:c r="J246" s="70"/>
      <x:c r="K246" s="70"/>
      <x:c r="L246" s="70"/>
      <x:c r="M246" s="71"/>
      <x:c r="N246" s="70"/>
      <x:c r="O246" s="70"/>
      <x:c r="P246" s="70"/>
      <x:c r="Q246" s="70"/>
      <x:c r="R246" s="70"/>
      <x:c r="S246" s="70"/>
      <x:c r="T246" s="70"/>
      <x:c r="U246" s="70"/>
      <x:c r="V246" s="70"/>
      <x:c r="W246" s="70"/>
      <x:c r="X246" s="70"/>
    </x:row>
    <x:row r="247" ht="15" hidden="0" customHeight="1">
      <x:c r="A247" s="70"/>
      <x:c r="B247" s="70"/>
      <x:c r="C247" s="70"/>
      <x:c r="D247" s="70"/>
      <x:c r="E247" s="70"/>
      <x:c r="F247" s="70"/>
      <x:c r="G247" s="70"/>
      <x:c r="H247" s="70"/>
      <x:c r="I247" s="70"/>
      <x:c r="J247" s="70"/>
      <x:c r="K247" s="70"/>
      <x:c r="L247" s="70"/>
      <x:c r="M247" s="71"/>
      <x:c r="N247" s="70"/>
      <x:c r="O247" s="70"/>
      <x:c r="P247" s="70"/>
      <x:c r="Q247" s="70"/>
      <x:c r="R247" s="70"/>
      <x:c r="S247" s="70"/>
      <x:c r="T247" s="70"/>
      <x:c r="U247" s="70"/>
      <x:c r="V247" s="70"/>
      <x:c r="W247" s="70"/>
      <x:c r="X247" s="70"/>
    </x:row>
    <x:row r="248" ht="15" hidden="0" customHeight="1">
      <x:c r="A248" s="70"/>
      <x:c r="B248" s="70"/>
      <x:c r="C248" s="70"/>
      <x:c r="D248" s="70"/>
      <x:c r="E248" s="70"/>
      <x:c r="F248" s="70"/>
      <x:c r="G248" s="70"/>
      <x:c r="H248" s="70"/>
      <x:c r="I248" s="70"/>
      <x:c r="J248" s="70"/>
      <x:c r="K248" s="70"/>
      <x:c r="L248" s="70"/>
      <x:c r="M248" s="71"/>
      <x:c r="N248" s="70"/>
      <x:c r="O248" s="70"/>
      <x:c r="P248" s="70"/>
      <x:c r="Q248" s="70"/>
      <x:c r="R248" s="70"/>
      <x:c r="S248" s="70"/>
      <x:c r="T248" s="70"/>
      <x:c r="U248" s="70"/>
      <x:c r="V248" s="70"/>
      <x:c r="W248" s="70"/>
      <x:c r="X248" s="70"/>
    </x:row>
    <x:row r="249" ht="15" hidden="0" customHeight="1">
      <x:c r="A249" s="70"/>
      <x:c r="B249" s="70"/>
      <x:c r="C249" s="70"/>
      <x:c r="D249" s="70"/>
      <x:c r="E249" s="70"/>
      <x:c r="F249" s="70"/>
      <x:c r="G249" s="70"/>
      <x:c r="H249" s="70"/>
      <x:c r="I249" s="70"/>
      <x:c r="J249" s="70"/>
      <x:c r="K249" s="70"/>
      <x:c r="L249" s="70"/>
      <x:c r="M249" s="71"/>
      <x:c r="N249" s="70"/>
      <x:c r="O249" s="70"/>
      <x:c r="P249" s="70"/>
      <x:c r="Q249" s="70"/>
      <x:c r="R249" s="70"/>
      <x:c r="S249" s="70"/>
      <x:c r="T249" s="70"/>
      <x:c r="U249" s="70"/>
      <x:c r="V249" s="70"/>
      <x:c r="W249" s="70"/>
      <x:c r="X249" s="70"/>
    </x:row>
    <x:row r="250" ht="15" hidden="0" customHeight="1">
      <x:c r="A250" s="70"/>
      <x:c r="B250" s="70"/>
      <x:c r="C250" s="70"/>
      <x:c r="D250" s="70"/>
      <x:c r="E250" s="70"/>
      <x:c r="F250" s="70"/>
      <x:c r="G250" s="70"/>
      <x:c r="H250" s="70"/>
      <x:c r="I250" s="70"/>
      <x:c r="J250" s="70"/>
      <x:c r="K250" s="70"/>
      <x:c r="L250" s="70"/>
      <x:c r="M250" s="71"/>
      <x:c r="N250" s="70"/>
      <x:c r="O250" s="70"/>
      <x:c r="P250" s="70"/>
      <x:c r="Q250" s="70"/>
      <x:c r="R250" s="70"/>
      <x:c r="S250" s="70"/>
      <x:c r="T250" s="70"/>
      <x:c r="U250" s="70"/>
      <x:c r="V250" s="70"/>
      <x:c r="W250" s="70"/>
      <x:c r="X250" s="70"/>
    </x:row>
    <x:row r="251" ht="15" hidden="0" customHeight="1">
      <x:c r="A251" s="70"/>
      <x:c r="B251" s="70"/>
      <x:c r="C251" s="70"/>
      <x:c r="D251" s="70"/>
      <x:c r="E251" s="70"/>
      <x:c r="F251" s="70"/>
      <x:c r="G251" s="70"/>
      <x:c r="H251" s="70"/>
      <x:c r="I251" s="70"/>
      <x:c r="J251" s="70"/>
      <x:c r="K251" s="70"/>
      <x:c r="L251" s="70"/>
      <x:c r="M251" s="71"/>
      <x:c r="N251" s="70"/>
      <x:c r="O251" s="70"/>
      <x:c r="P251" s="70"/>
      <x:c r="Q251" s="70"/>
      <x:c r="R251" s="70"/>
      <x:c r="S251" s="70"/>
      <x:c r="T251" s="70"/>
      <x:c r="U251" s="70"/>
      <x:c r="V251" s="70"/>
      <x:c r="W251" s="70"/>
      <x:c r="X251" s="70"/>
    </x:row>
    <x:row r="252" ht="15" hidden="0" customHeight="1">
      <x:c r="A252" s="70"/>
      <x:c r="B252" s="70"/>
      <x:c r="C252" s="70"/>
      <x:c r="D252" s="70"/>
      <x:c r="E252" s="70"/>
      <x:c r="F252" s="70"/>
      <x:c r="G252" s="70"/>
      <x:c r="H252" s="70"/>
      <x:c r="I252" s="70"/>
      <x:c r="J252" s="70"/>
      <x:c r="K252" s="70"/>
      <x:c r="L252" s="70"/>
      <x:c r="M252" s="71"/>
      <x:c r="N252" s="70"/>
      <x:c r="O252" s="70"/>
      <x:c r="P252" s="70"/>
      <x:c r="Q252" s="70"/>
      <x:c r="R252" s="70"/>
      <x:c r="S252" s="70"/>
      <x:c r="T252" s="70"/>
      <x:c r="U252" s="70"/>
      <x:c r="V252" s="70"/>
      <x:c r="W252" s="70"/>
      <x:c r="X252" s="70"/>
    </x:row>
    <x:row r="253" ht="15" hidden="0" customHeight="1">
      <x:c r="A253" s="70"/>
      <x:c r="B253" s="70"/>
      <x:c r="C253" s="70"/>
      <x:c r="D253" s="70"/>
      <x:c r="E253" s="70"/>
      <x:c r="F253" s="70"/>
      <x:c r="G253" s="70"/>
      <x:c r="H253" s="70"/>
      <x:c r="I253" s="70"/>
      <x:c r="J253" s="70"/>
      <x:c r="K253" s="70"/>
      <x:c r="L253" s="70"/>
      <x:c r="M253" s="71"/>
      <x:c r="N253" s="70"/>
      <x:c r="O253" s="70"/>
      <x:c r="P253" s="70"/>
      <x:c r="Q253" s="70"/>
      <x:c r="R253" s="70"/>
      <x:c r="S253" s="70"/>
      <x:c r="T253" s="70"/>
      <x:c r="U253" s="70"/>
      <x:c r="V253" s="70"/>
      <x:c r="W253" s="70"/>
      <x:c r="X253" s="70"/>
    </x:row>
    <x:row r="254" ht="15" hidden="0" customHeight="1">
      <x:c r="A254" s="70"/>
      <x:c r="B254" s="70"/>
      <x:c r="C254" s="70"/>
      <x:c r="D254" s="70"/>
      <x:c r="E254" s="70"/>
      <x:c r="F254" s="70"/>
      <x:c r="G254" s="70"/>
      <x:c r="H254" s="70"/>
      <x:c r="I254" s="70"/>
      <x:c r="J254" s="70"/>
      <x:c r="K254" s="70"/>
      <x:c r="L254" s="70"/>
      <x:c r="M254" s="71"/>
      <x:c r="N254" s="70"/>
      <x:c r="O254" s="70"/>
      <x:c r="P254" s="70"/>
      <x:c r="Q254" s="70"/>
      <x:c r="R254" s="70"/>
      <x:c r="S254" s="70"/>
      <x:c r="T254" s="70"/>
      <x:c r="U254" s="70"/>
      <x:c r="V254" s="70"/>
      <x:c r="W254" s="70"/>
      <x:c r="X254" s="70"/>
    </x:row>
    <x:row r="255" ht="15" hidden="0" customHeight="1">
      <x:c r="A255" s="70"/>
      <x:c r="B255" s="70"/>
      <x:c r="C255" s="70"/>
      <x:c r="D255" s="70"/>
      <x:c r="E255" s="70"/>
      <x:c r="F255" s="70"/>
      <x:c r="G255" s="70"/>
      <x:c r="H255" s="70"/>
      <x:c r="I255" s="70"/>
      <x:c r="J255" s="70"/>
      <x:c r="K255" s="70"/>
      <x:c r="L255" s="70"/>
      <x:c r="M255" s="71"/>
      <x:c r="N255" s="70"/>
      <x:c r="O255" s="70"/>
      <x:c r="P255" s="70"/>
      <x:c r="Q255" s="70"/>
      <x:c r="R255" s="70"/>
      <x:c r="S255" s="70"/>
      <x:c r="T255" s="70"/>
      <x:c r="U255" s="70"/>
      <x:c r="V255" s="70"/>
      <x:c r="W255" s="70"/>
      <x:c r="X255" s="70"/>
    </x:row>
    <x:row r="256" ht="15" hidden="0" customHeight="1">
      <x:c r="A256" s="70"/>
      <x:c r="B256" s="70"/>
      <x:c r="C256" s="70"/>
      <x:c r="D256" s="70"/>
      <x:c r="E256" s="70"/>
      <x:c r="F256" s="70"/>
      <x:c r="G256" s="70"/>
      <x:c r="H256" s="70"/>
      <x:c r="I256" s="70"/>
      <x:c r="J256" s="70"/>
      <x:c r="K256" s="70"/>
      <x:c r="L256" s="70"/>
      <x:c r="M256" s="71"/>
      <x:c r="N256" s="70"/>
      <x:c r="O256" s="70"/>
      <x:c r="P256" s="70"/>
      <x:c r="Q256" s="70"/>
      <x:c r="R256" s="70"/>
      <x:c r="S256" s="70"/>
      <x:c r="T256" s="70"/>
      <x:c r="U256" s="70"/>
      <x:c r="V256" s="70"/>
      <x:c r="W256" s="70"/>
      <x:c r="X256" s="70"/>
    </x:row>
    <x:row r="257" ht="15" hidden="0" customHeight="1">
      <x:c r="A257" s="70"/>
      <x:c r="B257" s="70"/>
      <x:c r="C257" s="70"/>
      <x:c r="D257" s="70"/>
      <x:c r="E257" s="70"/>
      <x:c r="F257" s="70"/>
      <x:c r="G257" s="70"/>
      <x:c r="H257" s="70"/>
      <x:c r="I257" s="70"/>
      <x:c r="J257" s="70"/>
      <x:c r="K257" s="70"/>
      <x:c r="L257" s="70"/>
      <x:c r="M257" s="71"/>
      <x:c r="N257" s="70"/>
      <x:c r="O257" s="70"/>
      <x:c r="P257" s="70"/>
      <x:c r="Q257" s="70"/>
      <x:c r="R257" s="70"/>
      <x:c r="S257" s="70"/>
      <x:c r="T257" s="70"/>
      <x:c r="U257" s="70"/>
      <x:c r="V257" s="70"/>
      <x:c r="W257" s="70"/>
      <x:c r="X257" s="70"/>
    </x:row>
    <x:row r="258" ht="15" hidden="0" customHeight="1">
      <x:c r="A258" s="70"/>
      <x:c r="B258" s="70"/>
      <x:c r="C258" s="70"/>
      <x:c r="D258" s="70"/>
      <x:c r="E258" s="70"/>
      <x:c r="F258" s="70"/>
      <x:c r="G258" s="70"/>
      <x:c r="H258" s="70"/>
      <x:c r="I258" s="70"/>
      <x:c r="J258" s="70"/>
      <x:c r="K258" s="70"/>
      <x:c r="L258" s="70"/>
      <x:c r="M258" s="71"/>
      <x:c r="N258" s="70"/>
      <x:c r="O258" s="70"/>
      <x:c r="P258" s="70"/>
      <x:c r="Q258" s="70"/>
      <x:c r="R258" s="70"/>
      <x:c r="S258" s="70"/>
      <x:c r="T258" s="70"/>
      <x:c r="U258" s="70"/>
      <x:c r="V258" s="70"/>
      <x:c r="W258" s="70"/>
      <x:c r="X258" s="70"/>
    </x:row>
    <x:row r="259" ht="15" hidden="0" customHeight="1">
      <x:c r="A259" s="70"/>
      <x:c r="B259" s="70"/>
      <x:c r="C259" s="70"/>
      <x:c r="D259" s="70"/>
      <x:c r="E259" s="70"/>
      <x:c r="F259" s="70"/>
      <x:c r="G259" s="70"/>
      <x:c r="H259" s="70"/>
      <x:c r="I259" s="70"/>
      <x:c r="J259" s="70"/>
      <x:c r="K259" s="70"/>
      <x:c r="L259" s="70"/>
      <x:c r="M259" s="71"/>
      <x:c r="N259" s="70"/>
      <x:c r="O259" s="70"/>
      <x:c r="P259" s="70"/>
      <x:c r="Q259" s="70"/>
      <x:c r="R259" s="70"/>
      <x:c r="S259" s="70"/>
      <x:c r="T259" s="70"/>
      <x:c r="U259" s="70"/>
      <x:c r="V259" s="70"/>
      <x:c r="W259" s="70"/>
      <x:c r="X259" s="70"/>
    </x:row>
    <x:row r="260" ht="15" hidden="0" customHeight="1">
      <x:c r="A260" s="70"/>
      <x:c r="B260" s="70"/>
      <x:c r="C260" s="70"/>
      <x:c r="D260" s="70"/>
      <x:c r="E260" s="70"/>
      <x:c r="F260" s="70"/>
      <x:c r="G260" s="70"/>
      <x:c r="H260" s="70"/>
      <x:c r="I260" s="70"/>
      <x:c r="J260" s="70"/>
      <x:c r="K260" s="70"/>
      <x:c r="L260" s="70"/>
      <x:c r="M260" s="71"/>
      <x:c r="N260" s="70"/>
      <x:c r="O260" s="70"/>
      <x:c r="P260" s="70"/>
      <x:c r="Q260" s="70"/>
      <x:c r="R260" s="70"/>
      <x:c r="S260" s="70"/>
      <x:c r="T260" s="70"/>
      <x:c r="U260" s="70"/>
      <x:c r="V260" s="70"/>
      <x:c r="W260" s="70"/>
      <x:c r="X260" s="70"/>
    </x:row>
    <x:row r="261" ht="15" hidden="0" customHeight="1">
      <x:c r="A261" s="70"/>
      <x:c r="B261" s="70"/>
      <x:c r="C261" s="70"/>
      <x:c r="D261" s="70"/>
      <x:c r="E261" s="70"/>
      <x:c r="F261" s="70"/>
      <x:c r="G261" s="70"/>
      <x:c r="H261" s="70"/>
      <x:c r="I261" s="70"/>
      <x:c r="J261" s="70"/>
      <x:c r="K261" s="70"/>
      <x:c r="L261" s="70"/>
      <x:c r="M261" s="71"/>
      <x:c r="N261" s="70"/>
      <x:c r="O261" s="70"/>
      <x:c r="P261" s="70"/>
      <x:c r="Q261" s="70"/>
      <x:c r="R261" s="70"/>
      <x:c r="S261" s="70"/>
      <x:c r="T261" s="70"/>
      <x:c r="U261" s="70"/>
      <x:c r="V261" s="70"/>
      <x:c r="W261" s="70"/>
      <x:c r="X261" s="70"/>
    </x:row>
    <x:row r="262" ht="15" hidden="0" customHeight="1">
      <x:c r="A262" s="70"/>
      <x:c r="B262" s="70"/>
      <x:c r="C262" s="70"/>
      <x:c r="D262" s="70"/>
      <x:c r="E262" s="70"/>
      <x:c r="F262" s="70"/>
      <x:c r="G262" s="70"/>
      <x:c r="H262" s="70"/>
      <x:c r="I262" s="70"/>
      <x:c r="J262" s="70"/>
      <x:c r="K262" s="70"/>
      <x:c r="L262" s="70"/>
      <x:c r="M262" s="71"/>
      <x:c r="N262" s="70"/>
      <x:c r="O262" s="70"/>
      <x:c r="P262" s="70"/>
      <x:c r="Q262" s="70"/>
      <x:c r="R262" s="70"/>
      <x:c r="S262" s="70"/>
      <x:c r="T262" s="70"/>
      <x:c r="U262" s="70"/>
      <x:c r="V262" s="70"/>
      <x:c r="W262" s="70"/>
      <x:c r="X262" s="70"/>
    </x:row>
    <x:row r="263" ht="15" hidden="0" customHeight="1">
      <x:c r="A263" s="70"/>
      <x:c r="B263" s="70"/>
      <x:c r="C263" s="70"/>
      <x:c r="D263" s="70"/>
      <x:c r="E263" s="70"/>
      <x:c r="F263" s="70"/>
      <x:c r="G263" s="70"/>
      <x:c r="H263" s="70"/>
      <x:c r="I263" s="70"/>
      <x:c r="J263" s="70"/>
      <x:c r="K263" s="70"/>
      <x:c r="L263" s="70"/>
      <x:c r="M263" s="71"/>
      <x:c r="N263" s="70"/>
      <x:c r="O263" s="70"/>
      <x:c r="P263" s="70"/>
      <x:c r="Q263" s="70"/>
      <x:c r="R263" s="70"/>
      <x:c r="S263" s="70"/>
      <x:c r="T263" s="70"/>
      <x:c r="U263" s="70"/>
      <x:c r="V263" s="70"/>
      <x:c r="W263" s="70"/>
      <x:c r="X263" s="70"/>
    </x:row>
    <x:row r="264" ht="15" hidden="0" customHeight="1">
      <x:c r="A264" s="70"/>
      <x:c r="B264" s="70"/>
      <x:c r="C264" s="70"/>
      <x:c r="D264" s="70"/>
      <x:c r="E264" s="70"/>
      <x:c r="F264" s="70"/>
      <x:c r="G264" s="70"/>
      <x:c r="H264" s="70"/>
      <x:c r="I264" s="70"/>
      <x:c r="J264" s="70"/>
      <x:c r="K264" s="70"/>
      <x:c r="L264" s="70"/>
      <x:c r="M264" s="71"/>
      <x:c r="N264" s="70"/>
      <x:c r="O264" s="70"/>
      <x:c r="P264" s="70"/>
      <x:c r="Q264" s="70"/>
      <x:c r="R264" s="70"/>
      <x:c r="S264" s="70"/>
      <x:c r="T264" s="70"/>
      <x:c r="U264" s="70"/>
      <x:c r="V264" s="70"/>
      <x:c r="W264" s="70"/>
      <x:c r="X264" s="70"/>
    </x:row>
    <x:row r="265" ht="15" hidden="0" customHeight="1">
      <x:c r="A265" s="70"/>
      <x:c r="B265" s="70"/>
      <x:c r="C265" s="70"/>
      <x:c r="D265" s="70"/>
      <x:c r="E265" s="70"/>
      <x:c r="F265" s="70"/>
      <x:c r="G265" s="70"/>
      <x:c r="H265" s="70"/>
      <x:c r="I265" s="70"/>
      <x:c r="J265" s="70"/>
      <x:c r="K265" s="70"/>
      <x:c r="L265" s="70"/>
      <x:c r="M265" s="71"/>
      <x:c r="N265" s="70"/>
      <x:c r="O265" s="70"/>
      <x:c r="P265" s="70"/>
      <x:c r="Q265" s="70"/>
      <x:c r="R265" s="70"/>
      <x:c r="S265" s="70"/>
      <x:c r="T265" s="70"/>
      <x:c r="U265" s="70"/>
      <x:c r="V265" s="70"/>
      <x:c r="W265" s="70"/>
      <x:c r="X265" s="70"/>
    </x:row>
    <x:row r="266" ht="15" hidden="0" customHeight="1">
      <x:c r="A266" s="70"/>
      <x:c r="B266" s="70"/>
      <x:c r="C266" s="70"/>
      <x:c r="D266" s="70"/>
      <x:c r="E266" s="70"/>
      <x:c r="F266" s="70"/>
      <x:c r="G266" s="70"/>
      <x:c r="H266" s="70"/>
      <x:c r="I266" s="70"/>
      <x:c r="J266" s="70"/>
      <x:c r="K266" s="70"/>
      <x:c r="L266" s="70"/>
      <x:c r="M266" s="71"/>
      <x:c r="N266" s="70"/>
      <x:c r="O266" s="70"/>
      <x:c r="P266" s="70"/>
      <x:c r="Q266" s="70"/>
      <x:c r="R266" s="70"/>
      <x:c r="S266" s="70"/>
      <x:c r="T266" s="70"/>
      <x:c r="U266" s="70"/>
      <x:c r="V266" s="70"/>
      <x:c r="W266" s="70"/>
      <x:c r="X266" s="70"/>
    </x:row>
    <x:row r="267" ht="15" hidden="0" customHeight="1">
      <x:c r="A267" s="70"/>
      <x:c r="B267" s="70"/>
      <x:c r="C267" s="70"/>
      <x:c r="D267" s="70"/>
      <x:c r="E267" s="70"/>
      <x:c r="F267" s="70"/>
      <x:c r="G267" s="70"/>
      <x:c r="H267" s="70"/>
      <x:c r="I267" s="70"/>
      <x:c r="J267" s="70"/>
      <x:c r="K267" s="70"/>
      <x:c r="L267" s="70"/>
      <x:c r="M267" s="71"/>
      <x:c r="N267" s="70"/>
      <x:c r="O267" s="70"/>
      <x:c r="P267" s="70"/>
      <x:c r="Q267" s="70"/>
      <x:c r="R267" s="70"/>
      <x:c r="S267" s="70"/>
      <x:c r="T267" s="70"/>
      <x:c r="U267" s="70"/>
      <x:c r="V267" s="70"/>
      <x:c r="W267" s="70"/>
      <x:c r="X267" s="70"/>
    </x:row>
    <x:row r="268" ht="15" hidden="0" customHeight="1">
      <x:c r="A268" s="70"/>
      <x:c r="B268" s="70"/>
      <x:c r="C268" s="70"/>
      <x:c r="D268" s="70"/>
      <x:c r="E268" s="70"/>
      <x:c r="F268" s="70"/>
      <x:c r="G268" s="70"/>
      <x:c r="H268" s="70"/>
      <x:c r="I268" s="70"/>
      <x:c r="J268" s="70"/>
      <x:c r="K268" s="70"/>
      <x:c r="L268" s="70"/>
      <x:c r="M268" s="71"/>
      <x:c r="N268" s="70"/>
      <x:c r="O268" s="70"/>
      <x:c r="P268" s="70"/>
      <x:c r="Q268" s="70"/>
      <x:c r="R268" s="70"/>
      <x:c r="S268" s="70"/>
      <x:c r="T268" s="70"/>
      <x:c r="U268" s="70"/>
      <x:c r="V268" s="70"/>
      <x:c r="W268" s="70"/>
      <x:c r="X268" s="70"/>
    </x:row>
    <x:row r="269" ht="15" hidden="0" customHeight="1">
      <x:c r="A269" s="70"/>
      <x:c r="B269" s="70"/>
      <x:c r="C269" s="70"/>
      <x:c r="D269" s="70"/>
      <x:c r="E269" s="70"/>
      <x:c r="F269" s="70"/>
      <x:c r="G269" s="70"/>
      <x:c r="H269" s="70"/>
      <x:c r="I269" s="70"/>
      <x:c r="J269" s="70"/>
      <x:c r="K269" s="70"/>
      <x:c r="L269" s="70"/>
      <x:c r="M269" s="71"/>
      <x:c r="N269" s="70"/>
      <x:c r="O269" s="70"/>
      <x:c r="P269" s="70"/>
      <x:c r="Q269" s="70"/>
      <x:c r="R269" s="70"/>
      <x:c r="S269" s="70"/>
      <x:c r="T269" s="70"/>
      <x:c r="U269" s="70"/>
      <x:c r="V269" s="70"/>
      <x:c r="W269" s="70"/>
      <x:c r="X269" s="70"/>
    </x:row>
    <x:row r="270" ht="15" hidden="0" customHeight="1">
      <x:c r="A270" s="70"/>
      <x:c r="B270" s="70"/>
      <x:c r="C270" s="70"/>
      <x:c r="D270" s="70"/>
      <x:c r="E270" s="70"/>
      <x:c r="F270" s="70"/>
      <x:c r="G270" s="70"/>
      <x:c r="H270" s="70"/>
      <x:c r="I270" s="70"/>
      <x:c r="J270" s="70"/>
      <x:c r="K270" s="70"/>
      <x:c r="L270" s="70"/>
      <x:c r="M270" s="71"/>
      <x:c r="N270" s="70"/>
      <x:c r="O270" s="70"/>
      <x:c r="P270" s="70"/>
      <x:c r="Q270" s="70"/>
      <x:c r="R270" s="70"/>
      <x:c r="S270" s="70"/>
      <x:c r="T270" s="70"/>
      <x:c r="U270" s="70"/>
      <x:c r="V270" s="70"/>
      <x:c r="W270" s="70"/>
      <x:c r="X270" s="70"/>
    </x:row>
    <x:row r="271" ht="15" hidden="0" customHeight="1">
      <x:c r="A271" s="70"/>
      <x:c r="B271" s="70"/>
      <x:c r="C271" s="70"/>
      <x:c r="D271" s="70"/>
      <x:c r="E271" s="70"/>
      <x:c r="F271" s="70"/>
      <x:c r="G271" s="70"/>
      <x:c r="H271" s="70"/>
      <x:c r="I271" s="70"/>
      <x:c r="J271" s="70"/>
      <x:c r="K271" s="70"/>
      <x:c r="L271" s="70"/>
      <x:c r="M271" s="71"/>
      <x:c r="N271" s="70"/>
      <x:c r="O271" s="70"/>
      <x:c r="P271" s="70"/>
      <x:c r="Q271" s="70"/>
      <x:c r="R271" s="70"/>
      <x:c r="S271" s="70"/>
      <x:c r="T271" s="70"/>
      <x:c r="U271" s="70"/>
      <x:c r="V271" s="70"/>
      <x:c r="W271" s="70"/>
      <x:c r="X271" s="70"/>
    </x:row>
    <x:row r="272" ht="15" hidden="0" customHeight="1">
      <x:c r="A272" s="70"/>
      <x:c r="B272" s="70"/>
      <x:c r="C272" s="70"/>
      <x:c r="D272" s="70"/>
      <x:c r="E272" s="70"/>
      <x:c r="F272" s="70"/>
      <x:c r="G272" s="70"/>
      <x:c r="H272" s="70"/>
      <x:c r="I272" s="70"/>
      <x:c r="J272" s="70"/>
      <x:c r="K272" s="70"/>
      <x:c r="L272" s="70"/>
      <x:c r="M272" s="71"/>
      <x:c r="N272" s="70"/>
      <x:c r="O272" s="70"/>
      <x:c r="P272" s="70"/>
      <x:c r="Q272" s="70"/>
      <x:c r="R272" s="70"/>
      <x:c r="S272" s="70"/>
      <x:c r="T272" s="70"/>
      <x:c r="U272" s="70"/>
      <x:c r="V272" s="70"/>
      <x:c r="W272" s="70"/>
      <x:c r="X272" s="70"/>
    </x:row>
    <x:row r="273" ht="15" hidden="0" customHeight="1">
      <x:c r="A273" s="70"/>
      <x:c r="B273" s="70"/>
      <x:c r="C273" s="70"/>
      <x:c r="D273" s="70"/>
      <x:c r="E273" s="70"/>
      <x:c r="F273" s="70"/>
      <x:c r="G273" s="70"/>
      <x:c r="H273" s="70"/>
      <x:c r="I273" s="70"/>
      <x:c r="J273" s="70"/>
      <x:c r="K273" s="70"/>
      <x:c r="L273" s="70"/>
      <x:c r="M273" s="71"/>
      <x:c r="N273" s="70"/>
      <x:c r="O273" s="70"/>
      <x:c r="P273" s="70"/>
      <x:c r="Q273" s="70"/>
      <x:c r="R273" s="70"/>
      <x:c r="S273" s="70"/>
      <x:c r="T273" s="70"/>
      <x:c r="U273" s="70"/>
      <x:c r="V273" s="70"/>
      <x:c r="W273" s="70"/>
      <x:c r="X273" s="70"/>
    </x:row>
    <x:row r="274" ht="15" hidden="0" customHeight="1">
      <x:c r="A274" s="70"/>
      <x:c r="B274" s="70"/>
      <x:c r="C274" s="70"/>
      <x:c r="D274" s="70"/>
      <x:c r="E274" s="70"/>
      <x:c r="F274" s="70"/>
      <x:c r="G274" s="70"/>
      <x:c r="H274" s="70"/>
      <x:c r="I274" s="70"/>
      <x:c r="J274" s="70"/>
      <x:c r="K274" s="70"/>
      <x:c r="L274" s="70"/>
      <x:c r="M274" s="71"/>
      <x:c r="N274" s="70"/>
      <x:c r="O274" s="70"/>
      <x:c r="P274" s="70"/>
      <x:c r="Q274" s="70"/>
      <x:c r="R274" s="70"/>
      <x:c r="S274" s="70"/>
      <x:c r="T274" s="70"/>
      <x:c r="U274" s="70"/>
      <x:c r="V274" s="70"/>
      <x:c r="W274" s="70"/>
      <x:c r="X274" s="70"/>
    </x:row>
    <x:row r="275" ht="15" hidden="0" customHeight="1">
      <x:c r="A275" s="70"/>
      <x:c r="B275" s="70"/>
      <x:c r="C275" s="70"/>
      <x:c r="D275" s="70"/>
      <x:c r="E275" s="70"/>
      <x:c r="F275" s="70"/>
      <x:c r="G275" s="70"/>
      <x:c r="H275" s="70"/>
      <x:c r="I275" s="70"/>
      <x:c r="J275" s="70"/>
      <x:c r="K275" s="70"/>
      <x:c r="L275" s="70"/>
      <x:c r="M275" s="71"/>
      <x:c r="N275" s="70"/>
      <x:c r="O275" s="70"/>
      <x:c r="P275" s="70"/>
      <x:c r="Q275" s="70"/>
      <x:c r="R275" s="70"/>
      <x:c r="S275" s="70"/>
      <x:c r="T275" s="70"/>
      <x:c r="U275" s="70"/>
      <x:c r="V275" s="70"/>
      <x:c r="W275" s="70"/>
      <x:c r="X275" s="70"/>
    </x:row>
    <x:row r="276" ht="15" hidden="0" customHeight="1">
      <x:c r="A276" s="70"/>
      <x:c r="B276" s="70"/>
      <x:c r="C276" s="70"/>
      <x:c r="D276" s="70"/>
      <x:c r="E276" s="70"/>
      <x:c r="F276" s="70"/>
      <x:c r="G276" s="70"/>
      <x:c r="H276" s="70"/>
      <x:c r="I276" s="70"/>
      <x:c r="J276" s="70"/>
      <x:c r="K276" s="70"/>
      <x:c r="L276" s="70"/>
      <x:c r="M276" s="71"/>
      <x:c r="N276" s="70"/>
      <x:c r="O276" s="70"/>
      <x:c r="P276" s="70"/>
      <x:c r="Q276" s="70"/>
      <x:c r="R276" s="70"/>
      <x:c r="S276" s="70"/>
      <x:c r="T276" s="70"/>
      <x:c r="U276" s="70"/>
      <x:c r="V276" s="70"/>
      <x:c r="W276" s="70"/>
      <x:c r="X276" s="70"/>
    </x:row>
    <x:row r="277" ht="15" hidden="0" customHeight="1">
      <x:c r="A277" s="70"/>
      <x:c r="B277" s="70"/>
      <x:c r="C277" s="70"/>
      <x:c r="D277" s="70"/>
      <x:c r="E277" s="70"/>
      <x:c r="F277" s="70"/>
      <x:c r="G277" s="70"/>
      <x:c r="H277" s="70"/>
      <x:c r="I277" s="70"/>
      <x:c r="J277" s="70"/>
      <x:c r="K277" s="70"/>
      <x:c r="L277" s="70"/>
      <x:c r="M277" s="71"/>
      <x:c r="N277" s="70"/>
      <x:c r="O277" s="70"/>
      <x:c r="P277" s="70"/>
      <x:c r="Q277" s="70"/>
      <x:c r="R277" s="70"/>
      <x:c r="S277" s="70"/>
      <x:c r="T277" s="70"/>
      <x:c r="U277" s="70"/>
      <x:c r="V277" s="70"/>
      <x:c r="W277" s="70"/>
      <x:c r="X277" s="70"/>
    </x:row>
    <x:row r="278" ht="15" hidden="0" customHeight="1">
      <x:c r="A278" s="70"/>
      <x:c r="B278" s="70"/>
      <x:c r="C278" s="70"/>
      <x:c r="D278" s="70"/>
      <x:c r="E278" s="70"/>
      <x:c r="F278" s="70"/>
      <x:c r="G278" s="70"/>
      <x:c r="H278" s="70"/>
      <x:c r="I278" s="70"/>
      <x:c r="J278" s="70"/>
      <x:c r="K278" s="70"/>
      <x:c r="L278" s="70"/>
      <x:c r="M278" s="71"/>
      <x:c r="N278" s="70"/>
      <x:c r="O278" s="70"/>
      <x:c r="P278" s="70"/>
      <x:c r="Q278" s="70"/>
      <x:c r="R278" s="70"/>
      <x:c r="S278" s="70"/>
      <x:c r="T278" s="70"/>
      <x:c r="U278" s="70"/>
      <x:c r="V278" s="70"/>
      <x:c r="W278" s="70"/>
      <x:c r="X278" s="70"/>
    </x:row>
    <x:row r="279" ht="15" hidden="0" customHeight="1">
      <x:c r="A279" s="70"/>
      <x:c r="B279" s="70"/>
      <x:c r="C279" s="70"/>
      <x:c r="D279" s="70"/>
      <x:c r="E279" s="70"/>
      <x:c r="F279" s="70"/>
      <x:c r="G279" s="70"/>
      <x:c r="H279" s="70"/>
      <x:c r="I279" s="70"/>
      <x:c r="J279" s="70"/>
      <x:c r="K279" s="70"/>
      <x:c r="L279" s="70"/>
      <x:c r="M279" s="71"/>
      <x:c r="N279" s="70"/>
      <x:c r="O279" s="70"/>
      <x:c r="P279" s="70"/>
      <x:c r="Q279" s="70"/>
      <x:c r="R279" s="70"/>
      <x:c r="S279" s="70"/>
      <x:c r="T279" s="70"/>
      <x:c r="U279" s="70"/>
      <x:c r="V279" s="70"/>
      <x:c r="W279" s="70"/>
      <x:c r="X279" s="70"/>
    </x:row>
    <x:row r="280" ht="15" hidden="0" customHeight="1">
      <x:c r="A280" s="70"/>
      <x:c r="B280" s="70"/>
      <x:c r="C280" s="70"/>
      <x:c r="D280" s="70"/>
      <x:c r="E280" s="70"/>
      <x:c r="F280" s="70"/>
      <x:c r="G280" s="70"/>
      <x:c r="H280" s="70"/>
      <x:c r="I280" s="70"/>
      <x:c r="J280" s="70"/>
      <x:c r="K280" s="70"/>
      <x:c r="L280" s="70"/>
      <x:c r="M280" s="71"/>
      <x:c r="N280" s="70"/>
      <x:c r="O280" s="70"/>
      <x:c r="P280" s="70"/>
      <x:c r="Q280" s="70"/>
      <x:c r="R280" s="70"/>
      <x:c r="S280" s="70"/>
      <x:c r="T280" s="70"/>
      <x:c r="U280" s="70"/>
      <x:c r="V280" s="70"/>
      <x:c r="W280" s="70"/>
      <x:c r="X280" s="70"/>
    </x:row>
    <x:row r="281" ht="15" hidden="0" customHeight="1">
      <x:c r="A281" s="70"/>
      <x:c r="B281" s="70"/>
      <x:c r="C281" s="70"/>
      <x:c r="D281" s="70"/>
      <x:c r="E281" s="70"/>
      <x:c r="F281" s="70"/>
      <x:c r="G281" s="70"/>
      <x:c r="H281" s="70"/>
      <x:c r="I281" s="70"/>
      <x:c r="J281" s="70"/>
      <x:c r="K281" s="70"/>
      <x:c r="L281" s="70"/>
      <x:c r="M281" s="71"/>
      <x:c r="N281" s="70"/>
      <x:c r="O281" s="70"/>
      <x:c r="P281" s="70"/>
      <x:c r="Q281" s="70"/>
      <x:c r="R281" s="70"/>
      <x:c r="S281" s="70"/>
      <x:c r="T281" s="70"/>
      <x:c r="U281" s="70"/>
      <x:c r="V281" s="70"/>
      <x:c r="W281" s="70"/>
      <x:c r="X281" s="70"/>
    </x:row>
    <x:row r="282" ht="15" hidden="0" customHeight="1">
      <x:c r="A282" s="70"/>
      <x:c r="B282" s="70"/>
      <x:c r="C282" s="70"/>
      <x:c r="D282" s="70"/>
      <x:c r="E282" s="70"/>
      <x:c r="F282" s="70"/>
      <x:c r="G282" s="70"/>
      <x:c r="H282" s="70"/>
      <x:c r="I282" s="70"/>
      <x:c r="J282" s="70"/>
      <x:c r="K282" s="70"/>
      <x:c r="L282" s="70"/>
      <x:c r="M282" s="71"/>
      <x:c r="N282" s="70"/>
      <x:c r="O282" s="70"/>
      <x:c r="P282" s="70"/>
      <x:c r="Q282" s="70"/>
      <x:c r="R282" s="70"/>
      <x:c r="S282" s="70"/>
      <x:c r="T282" s="70"/>
      <x:c r="U282" s="70"/>
      <x:c r="V282" s="70"/>
      <x:c r="W282" s="70"/>
      <x:c r="X282" s="70"/>
    </x:row>
    <x:row r="283" ht="15" hidden="0" customHeight="1">
      <x:c r="A283" s="70"/>
      <x:c r="B283" s="70"/>
      <x:c r="C283" s="70"/>
      <x:c r="D283" s="70"/>
      <x:c r="E283" s="70"/>
      <x:c r="F283" s="70"/>
      <x:c r="G283" s="70"/>
      <x:c r="H283" s="70"/>
      <x:c r="I283" s="70"/>
      <x:c r="J283" s="70"/>
      <x:c r="K283" s="70"/>
      <x:c r="L283" s="70"/>
      <x:c r="M283" s="71"/>
      <x:c r="N283" s="70"/>
      <x:c r="O283" s="70"/>
      <x:c r="P283" s="70"/>
      <x:c r="Q283" s="70"/>
      <x:c r="R283" s="70"/>
      <x:c r="S283" s="70"/>
      <x:c r="T283" s="70"/>
      <x:c r="U283" s="70"/>
      <x:c r="V283" s="70"/>
      <x:c r="W283" s="70"/>
      <x:c r="X283" s="70"/>
    </x:row>
    <x:row r="284" ht="15" hidden="0" customHeight="1">
      <x:c r="A284" s="70"/>
      <x:c r="B284" s="70"/>
      <x:c r="C284" s="70"/>
      <x:c r="D284" s="70"/>
      <x:c r="E284" s="70"/>
      <x:c r="F284" s="70"/>
      <x:c r="G284" s="70"/>
      <x:c r="H284" s="70"/>
      <x:c r="I284" s="70"/>
      <x:c r="J284" s="70"/>
      <x:c r="K284" s="70"/>
      <x:c r="L284" s="70"/>
      <x:c r="M284" s="71"/>
      <x:c r="N284" s="70"/>
      <x:c r="O284" s="70"/>
      <x:c r="P284" s="70"/>
      <x:c r="Q284" s="70"/>
      <x:c r="R284" s="70"/>
      <x:c r="S284" s="70"/>
      <x:c r="T284" s="70"/>
      <x:c r="U284" s="70"/>
      <x:c r="V284" s="70"/>
      <x:c r="W284" s="70"/>
      <x:c r="X284" s="70"/>
    </x:row>
    <x:row r="285" ht="15" hidden="0" customHeight="1">
      <x:c r="A285" s="70"/>
      <x:c r="B285" s="70"/>
      <x:c r="C285" s="70"/>
      <x:c r="D285" s="70"/>
      <x:c r="E285" s="70"/>
      <x:c r="F285" s="70"/>
      <x:c r="G285" s="70"/>
      <x:c r="H285" s="70"/>
      <x:c r="I285" s="70"/>
      <x:c r="J285" s="70"/>
      <x:c r="K285" s="70"/>
      <x:c r="L285" s="70"/>
      <x:c r="M285" s="71"/>
      <x:c r="N285" s="70"/>
      <x:c r="O285" s="70"/>
      <x:c r="P285" s="70"/>
      <x:c r="Q285" s="70"/>
      <x:c r="R285" s="70"/>
      <x:c r="S285" s="70"/>
      <x:c r="T285" s="70"/>
      <x:c r="U285" s="70"/>
      <x:c r="V285" s="70"/>
      <x:c r="W285" s="70"/>
      <x:c r="X285" s="70"/>
    </x:row>
    <x:row r="286" ht="15" hidden="0" customHeight="1">
      <x:c r="A286" s="70"/>
      <x:c r="B286" s="70"/>
      <x:c r="C286" s="70"/>
      <x:c r="D286" s="70"/>
      <x:c r="E286" s="70"/>
      <x:c r="F286" s="70"/>
      <x:c r="G286" s="70"/>
      <x:c r="H286" s="70"/>
      <x:c r="I286" s="70"/>
      <x:c r="J286" s="70"/>
      <x:c r="K286" s="70"/>
      <x:c r="L286" s="70"/>
      <x:c r="M286" s="71"/>
      <x:c r="N286" s="70"/>
      <x:c r="O286" s="70"/>
      <x:c r="P286" s="70"/>
      <x:c r="Q286" s="70"/>
      <x:c r="R286" s="70"/>
      <x:c r="S286" s="70"/>
      <x:c r="T286" s="70"/>
      <x:c r="U286" s="70"/>
      <x:c r="V286" s="70"/>
      <x:c r="W286" s="70"/>
      <x:c r="X286" s="70"/>
    </x:row>
    <x:row r="287" ht="15" hidden="0" customHeight="1">
      <x:c r="A287" s="70"/>
      <x:c r="B287" s="70"/>
      <x:c r="C287" s="70"/>
      <x:c r="D287" s="70"/>
      <x:c r="E287" s="70"/>
      <x:c r="F287" s="70"/>
      <x:c r="G287" s="70"/>
      <x:c r="H287" s="70"/>
      <x:c r="I287" s="70"/>
      <x:c r="J287" s="70"/>
      <x:c r="K287" s="70"/>
      <x:c r="L287" s="70"/>
      <x:c r="M287" s="71"/>
      <x:c r="N287" s="70"/>
      <x:c r="O287" s="70"/>
      <x:c r="P287" s="70"/>
      <x:c r="Q287" s="70"/>
      <x:c r="R287" s="70"/>
      <x:c r="S287" s="70"/>
      <x:c r="T287" s="70"/>
      <x:c r="U287" s="70"/>
      <x:c r="V287" s="70"/>
      <x:c r="W287" s="70"/>
      <x:c r="X287" s="70"/>
    </x:row>
    <x:row r="288" ht="15" hidden="0" customHeight="1">
      <x:c r="A288" s="70"/>
      <x:c r="B288" s="70"/>
      <x:c r="C288" s="70"/>
      <x:c r="D288" s="70"/>
      <x:c r="E288" s="70"/>
      <x:c r="F288" s="70"/>
      <x:c r="G288" s="70"/>
      <x:c r="H288" s="70"/>
      <x:c r="I288" s="70"/>
      <x:c r="J288" s="70"/>
      <x:c r="K288" s="70"/>
      <x:c r="L288" s="70"/>
      <x:c r="M288" s="71"/>
      <x:c r="N288" s="70"/>
      <x:c r="O288" s="70"/>
      <x:c r="P288" s="70"/>
      <x:c r="Q288" s="70"/>
      <x:c r="R288" s="70"/>
      <x:c r="S288" s="70"/>
      <x:c r="T288" s="70"/>
      <x:c r="U288" s="70"/>
      <x:c r="V288" s="70"/>
      <x:c r="W288" s="70"/>
      <x:c r="X288" s="70"/>
    </x:row>
    <x:row r="289" ht="15" hidden="0" customHeight="1">
      <x:c r="A289" s="70"/>
      <x:c r="B289" s="70"/>
      <x:c r="C289" s="70"/>
      <x:c r="D289" s="70"/>
      <x:c r="E289" s="70"/>
      <x:c r="F289" s="70"/>
      <x:c r="G289" s="70"/>
      <x:c r="H289" s="70"/>
      <x:c r="I289" s="70"/>
      <x:c r="J289" s="70"/>
      <x:c r="K289" s="70"/>
      <x:c r="L289" s="70"/>
      <x:c r="M289" s="71"/>
      <x:c r="N289" s="70"/>
      <x:c r="O289" s="70"/>
      <x:c r="P289" s="70"/>
      <x:c r="Q289" s="70"/>
      <x:c r="R289" s="70"/>
      <x:c r="S289" s="70"/>
      <x:c r="T289" s="70"/>
      <x:c r="U289" s="70"/>
      <x:c r="V289" s="70"/>
      <x:c r="W289" s="70"/>
      <x:c r="X289" s="70"/>
    </x:row>
    <x:row r="290" ht="15" hidden="0" customHeight="1">
      <x:c r="A290" s="70"/>
      <x:c r="B290" s="70"/>
      <x:c r="C290" s="70"/>
      <x:c r="D290" s="70"/>
      <x:c r="E290" s="70"/>
      <x:c r="F290" s="70"/>
      <x:c r="G290" s="70"/>
      <x:c r="H290" s="70"/>
      <x:c r="I290" s="70"/>
      <x:c r="J290" s="70"/>
      <x:c r="K290" s="70"/>
      <x:c r="L290" s="70"/>
      <x:c r="M290" s="71"/>
      <x:c r="N290" s="70"/>
      <x:c r="O290" s="70"/>
      <x:c r="P290" s="70"/>
      <x:c r="Q290" s="70"/>
      <x:c r="R290" s="70"/>
      <x:c r="S290" s="70"/>
      <x:c r="T290" s="70"/>
      <x:c r="U290" s="70"/>
      <x:c r="V290" s="70"/>
      <x:c r="W290" s="70"/>
      <x:c r="X290" s="70"/>
    </x:row>
    <x:row r="291" ht="15" hidden="0" customHeight="1">
      <x:c r="A291" s="70"/>
      <x:c r="B291" s="70"/>
      <x:c r="C291" s="70"/>
      <x:c r="D291" s="70"/>
      <x:c r="E291" s="70"/>
      <x:c r="F291" s="70"/>
      <x:c r="G291" s="70"/>
      <x:c r="H291" s="70"/>
      <x:c r="I291" s="70"/>
      <x:c r="J291" s="70"/>
      <x:c r="K291" s="70"/>
      <x:c r="L291" s="70"/>
      <x:c r="M291" s="71"/>
      <x:c r="N291" s="70"/>
      <x:c r="O291" s="70"/>
      <x:c r="P291" s="70"/>
      <x:c r="Q291" s="70"/>
      <x:c r="R291" s="70"/>
      <x:c r="S291" s="70"/>
      <x:c r="T291" s="70"/>
      <x:c r="U291" s="70"/>
      <x:c r="V291" s="70"/>
      <x:c r="W291" s="70"/>
      <x:c r="X291" s="70"/>
    </x:row>
    <x:row r="292" ht="15" hidden="0" customHeight="1">
      <x:c r="A292" s="70"/>
      <x:c r="B292" s="70"/>
      <x:c r="C292" s="70"/>
      <x:c r="D292" s="70"/>
      <x:c r="E292" s="70"/>
      <x:c r="F292" s="70"/>
      <x:c r="G292" s="70"/>
      <x:c r="H292" s="70"/>
      <x:c r="I292" s="70"/>
      <x:c r="J292" s="70"/>
      <x:c r="K292" s="70"/>
      <x:c r="L292" s="70"/>
      <x:c r="M292" s="71"/>
      <x:c r="N292" s="70"/>
      <x:c r="O292" s="70"/>
      <x:c r="P292" s="70"/>
      <x:c r="Q292" s="70"/>
      <x:c r="R292" s="70"/>
      <x:c r="S292" s="70"/>
      <x:c r="T292" s="70"/>
      <x:c r="U292" s="70"/>
      <x:c r="V292" s="70"/>
      <x:c r="W292" s="70"/>
      <x:c r="X292" s="70"/>
    </x:row>
    <x:row r="293" ht="15" hidden="0" customHeight="1">
      <x:c r="A293" s="70"/>
      <x:c r="B293" s="70"/>
      <x:c r="C293" s="70"/>
      <x:c r="D293" s="70"/>
      <x:c r="E293" s="70"/>
      <x:c r="F293" s="70"/>
      <x:c r="G293" s="70"/>
      <x:c r="H293" s="70"/>
      <x:c r="I293" s="70"/>
      <x:c r="J293" s="70"/>
      <x:c r="K293" s="70"/>
      <x:c r="L293" s="70"/>
      <x:c r="M293" s="71"/>
      <x:c r="N293" s="70"/>
      <x:c r="O293" s="70"/>
      <x:c r="P293" s="70"/>
      <x:c r="Q293" s="70"/>
      <x:c r="R293" s="70"/>
      <x:c r="S293" s="70"/>
      <x:c r="T293" s="70"/>
      <x:c r="U293" s="70"/>
      <x:c r="V293" s="70"/>
      <x:c r="W293" s="70"/>
      <x:c r="X293" s="70"/>
    </x:row>
    <x:row r="294" ht="15" hidden="0" customHeight="1">
      <x:c r="A294" s="70"/>
      <x:c r="B294" s="70"/>
      <x:c r="C294" s="70"/>
      <x:c r="D294" s="70"/>
      <x:c r="E294" s="70"/>
      <x:c r="F294" s="70"/>
      <x:c r="G294" s="70"/>
      <x:c r="H294" s="70"/>
      <x:c r="I294" s="70"/>
      <x:c r="J294" s="70"/>
      <x:c r="K294" s="70"/>
      <x:c r="L294" s="70"/>
      <x:c r="M294" s="71"/>
      <x:c r="N294" s="70"/>
      <x:c r="O294" s="70"/>
      <x:c r="P294" s="70"/>
      <x:c r="Q294" s="70"/>
      <x:c r="R294" s="70"/>
      <x:c r="S294" s="70"/>
      <x:c r="T294" s="70"/>
      <x:c r="U294" s="70"/>
      <x:c r="V294" s="70"/>
      <x:c r="W294" s="70"/>
      <x:c r="X294" s="70"/>
    </x:row>
    <x:row r="295" ht="15" hidden="0" customHeight="1">
      <x:c r="A295" s="70"/>
      <x:c r="B295" s="70"/>
      <x:c r="C295" s="70"/>
      <x:c r="D295" s="70"/>
      <x:c r="E295" s="70"/>
      <x:c r="F295" s="70"/>
      <x:c r="G295" s="70"/>
      <x:c r="H295" s="70"/>
      <x:c r="I295" s="70"/>
      <x:c r="J295" s="70"/>
      <x:c r="K295" s="70"/>
      <x:c r="L295" s="70"/>
      <x:c r="M295" s="71"/>
      <x:c r="N295" s="70"/>
      <x:c r="O295" s="70"/>
      <x:c r="P295" s="70"/>
      <x:c r="Q295" s="70"/>
      <x:c r="R295" s="70"/>
      <x:c r="S295" s="70"/>
      <x:c r="T295" s="70"/>
      <x:c r="U295" s="70"/>
      <x:c r="V295" s="70"/>
      <x:c r="W295" s="70"/>
      <x:c r="X295" s="70"/>
    </x:row>
    <x:row r="296" ht="15" hidden="0" customHeight="1">
      <x:c r="A296" s="70"/>
      <x:c r="B296" s="70"/>
      <x:c r="C296" s="70"/>
      <x:c r="D296" s="70"/>
      <x:c r="E296" s="70"/>
      <x:c r="F296" s="70"/>
      <x:c r="G296" s="70"/>
      <x:c r="H296" s="70"/>
      <x:c r="I296" s="70"/>
      <x:c r="J296" s="70"/>
      <x:c r="K296" s="70"/>
      <x:c r="L296" s="70"/>
      <x:c r="M296" s="71"/>
      <x:c r="N296" s="70"/>
      <x:c r="O296" s="70"/>
      <x:c r="P296" s="70"/>
      <x:c r="Q296" s="70"/>
      <x:c r="R296" s="70"/>
      <x:c r="S296" s="70"/>
      <x:c r="T296" s="70"/>
      <x:c r="U296" s="70"/>
      <x:c r="V296" s="70"/>
      <x:c r="W296" s="70"/>
      <x:c r="X296" s="70"/>
    </x:row>
    <x:row r="297" ht="15" hidden="0" customHeight="1">
      <x:c r="A297" s="70"/>
      <x:c r="B297" s="70"/>
      <x:c r="C297" s="70"/>
      <x:c r="D297" s="70"/>
      <x:c r="E297" s="70"/>
      <x:c r="F297" s="70"/>
      <x:c r="G297" s="70"/>
      <x:c r="H297" s="70"/>
      <x:c r="I297" s="70"/>
      <x:c r="J297" s="70"/>
      <x:c r="K297" s="70"/>
      <x:c r="L297" s="70"/>
      <x:c r="M297" s="71"/>
      <x:c r="N297" s="70"/>
      <x:c r="O297" s="70"/>
      <x:c r="P297" s="70"/>
      <x:c r="Q297" s="70"/>
      <x:c r="R297" s="70"/>
      <x:c r="S297" s="70"/>
      <x:c r="T297" s="70"/>
      <x:c r="U297" s="70"/>
      <x:c r="V297" s="70"/>
      <x:c r="W297" s="70"/>
      <x:c r="X297" s="70"/>
    </x:row>
    <x:row r="298" ht="15" hidden="0" customHeight="1">
      <x:c r="A298" s="70"/>
      <x:c r="B298" s="70"/>
      <x:c r="C298" s="70"/>
      <x:c r="D298" s="70"/>
      <x:c r="E298" s="70"/>
      <x:c r="F298" s="70"/>
      <x:c r="G298" s="70"/>
      <x:c r="H298" s="70"/>
      <x:c r="I298" s="70"/>
      <x:c r="J298" s="70"/>
      <x:c r="K298" s="70"/>
      <x:c r="L298" s="70"/>
      <x:c r="M298" s="71"/>
      <x:c r="N298" s="70"/>
      <x:c r="O298" s="70"/>
      <x:c r="P298" s="70"/>
      <x:c r="Q298" s="70"/>
      <x:c r="R298" s="70"/>
      <x:c r="S298" s="70"/>
      <x:c r="T298" s="70"/>
      <x:c r="U298" s="70"/>
      <x:c r="V298" s="70"/>
      <x:c r="W298" s="70"/>
      <x:c r="X298" s="70"/>
    </x:row>
    <x:row r="299" ht="15" hidden="0" customHeight="1">
      <x:c r="A299" s="70"/>
      <x:c r="B299" s="70"/>
      <x:c r="C299" s="70"/>
      <x:c r="D299" s="70"/>
      <x:c r="E299" s="70"/>
      <x:c r="F299" s="70"/>
      <x:c r="G299" s="70"/>
      <x:c r="H299" s="70"/>
      <x:c r="I299" s="70"/>
      <x:c r="J299" s="70"/>
      <x:c r="K299" s="70"/>
      <x:c r="L299" s="70"/>
      <x:c r="M299" s="71"/>
      <x:c r="N299" s="70"/>
      <x:c r="O299" s="70"/>
      <x:c r="P299" s="70"/>
      <x:c r="Q299" s="70"/>
      <x:c r="R299" s="70"/>
      <x:c r="S299" s="70"/>
      <x:c r="T299" s="70"/>
      <x:c r="U299" s="70"/>
      <x:c r="V299" s="70"/>
      <x:c r="W299" s="70"/>
      <x:c r="X299" s="70"/>
    </x:row>
    <x:row r="300" ht="15" hidden="0" customHeight="1">
      <x:c r="A300" s="70"/>
      <x:c r="B300" s="70"/>
      <x:c r="C300" s="70"/>
      <x:c r="D300" s="70"/>
      <x:c r="E300" s="70"/>
      <x:c r="F300" s="70"/>
      <x:c r="G300" s="70"/>
      <x:c r="H300" s="70"/>
      <x:c r="I300" s="70"/>
      <x:c r="J300" s="70"/>
      <x:c r="K300" s="70"/>
      <x:c r="L300" s="70"/>
      <x:c r="M300" s="71"/>
      <x:c r="N300" s="70"/>
      <x:c r="O300" s="70"/>
      <x:c r="P300" s="70"/>
      <x:c r="Q300" s="70"/>
      <x:c r="R300" s="70"/>
      <x:c r="S300" s="70"/>
      <x:c r="T300" s="70"/>
      <x:c r="U300" s="70"/>
      <x:c r="V300" s="70"/>
      <x:c r="W300" s="70"/>
      <x:c r="X300" s="70"/>
    </x:row>
    <x:row r="301" ht="15" hidden="0" customHeight="1">
      <x:c r="A301" s="70"/>
      <x:c r="B301" s="70"/>
      <x:c r="C301" s="70"/>
      <x:c r="D301" s="70"/>
      <x:c r="E301" s="70"/>
      <x:c r="F301" s="70"/>
      <x:c r="G301" s="70"/>
      <x:c r="H301" s="70"/>
      <x:c r="I301" s="70"/>
      <x:c r="J301" s="70"/>
      <x:c r="K301" s="70"/>
      <x:c r="L301" s="70"/>
      <x:c r="M301" s="71"/>
      <x:c r="N301" s="70"/>
      <x:c r="O301" s="70"/>
      <x:c r="P301" s="70"/>
      <x:c r="Q301" s="70"/>
      <x:c r="R301" s="70"/>
      <x:c r="S301" s="70"/>
      <x:c r="T301" s="70"/>
      <x:c r="U301" s="70"/>
      <x:c r="V301" s="70"/>
      <x:c r="W301" s="70"/>
      <x:c r="X301" s="70"/>
    </x:row>
    <x:row r="302" ht="15" hidden="0" customHeight="1">
      <x:c r="A302" s="70"/>
      <x:c r="B302" s="70"/>
      <x:c r="C302" s="70"/>
      <x:c r="D302" s="70"/>
      <x:c r="E302" s="70"/>
      <x:c r="F302" s="70"/>
      <x:c r="G302" s="70"/>
      <x:c r="H302" s="70"/>
      <x:c r="I302" s="70"/>
      <x:c r="J302" s="70"/>
      <x:c r="K302" s="70"/>
      <x:c r="L302" s="70"/>
      <x:c r="M302" s="71"/>
      <x:c r="N302" s="70"/>
      <x:c r="O302" s="70"/>
      <x:c r="P302" s="70"/>
      <x:c r="Q302" s="70"/>
      <x:c r="R302" s="70"/>
      <x:c r="S302" s="70"/>
      <x:c r="T302" s="70"/>
      <x:c r="U302" s="70"/>
      <x:c r="V302" s="70"/>
      <x:c r="W302" s="70"/>
      <x:c r="X302" s="70"/>
    </x:row>
    <x:row r="303" ht="15" hidden="0" customHeight="1">
      <x:c r="A303" s="70"/>
      <x:c r="B303" s="70"/>
      <x:c r="C303" s="70"/>
      <x:c r="D303" s="70"/>
      <x:c r="E303" s="70"/>
      <x:c r="F303" s="70"/>
      <x:c r="G303" s="70"/>
      <x:c r="H303" s="70"/>
      <x:c r="I303" s="70"/>
      <x:c r="J303" s="70"/>
      <x:c r="K303" s="70"/>
      <x:c r="L303" s="70"/>
      <x:c r="M303" s="71"/>
      <x:c r="N303" s="70"/>
      <x:c r="O303" s="70"/>
      <x:c r="P303" s="70"/>
      <x:c r="Q303" s="70"/>
      <x:c r="R303" s="70"/>
      <x:c r="S303" s="70"/>
      <x:c r="T303" s="70"/>
      <x:c r="U303" s="70"/>
      <x:c r="V303" s="70"/>
      <x:c r="W303" s="70"/>
      <x:c r="X303" s="70"/>
    </x:row>
    <x:row r="304" ht="15" hidden="0" customHeight="1">
      <x:c r="A304" s="70"/>
      <x:c r="B304" s="70"/>
      <x:c r="C304" s="70"/>
      <x:c r="D304" s="70"/>
      <x:c r="E304" s="70"/>
      <x:c r="F304" s="70"/>
      <x:c r="G304" s="70"/>
      <x:c r="H304" s="70"/>
      <x:c r="I304" s="70"/>
      <x:c r="J304" s="70"/>
      <x:c r="K304" s="70"/>
      <x:c r="L304" s="70"/>
      <x:c r="M304" s="71"/>
      <x:c r="N304" s="70"/>
      <x:c r="O304" s="70"/>
      <x:c r="P304" s="70"/>
      <x:c r="Q304" s="70"/>
      <x:c r="R304" s="70"/>
      <x:c r="S304" s="70"/>
      <x:c r="T304" s="70"/>
      <x:c r="U304" s="70"/>
      <x:c r="V304" s="70"/>
      <x:c r="W304" s="70"/>
      <x:c r="X304" s="70"/>
    </x:row>
    <x:row r="305" ht="15" hidden="0" customHeight="1">
      <x:c r="A305" s="70"/>
      <x:c r="B305" s="70"/>
      <x:c r="C305" s="70"/>
      <x:c r="D305" s="70"/>
      <x:c r="E305" s="70"/>
      <x:c r="F305" s="70"/>
      <x:c r="G305" s="70"/>
      <x:c r="H305" s="70"/>
      <x:c r="I305" s="70"/>
      <x:c r="J305" s="70"/>
      <x:c r="K305" s="70"/>
      <x:c r="L305" s="70"/>
      <x:c r="M305" s="71"/>
      <x:c r="N305" s="70"/>
      <x:c r="O305" s="70"/>
      <x:c r="P305" s="70"/>
      <x:c r="Q305" s="70"/>
      <x:c r="R305" s="70"/>
      <x:c r="S305" s="70"/>
      <x:c r="T305" s="70"/>
      <x:c r="U305" s="70"/>
      <x:c r="V305" s="70"/>
      <x:c r="W305" s="70"/>
      <x:c r="X305" s="70"/>
    </x:row>
    <x:row r="306" ht="15" hidden="0" customHeight="1">
      <x:c r="A306" s="70"/>
      <x:c r="B306" s="70"/>
      <x:c r="C306" s="70"/>
      <x:c r="D306" s="70"/>
      <x:c r="E306" s="70"/>
      <x:c r="F306" s="70"/>
      <x:c r="G306" s="70"/>
      <x:c r="H306" s="70"/>
      <x:c r="I306" s="70"/>
      <x:c r="J306" s="70"/>
      <x:c r="K306" s="70"/>
      <x:c r="L306" s="70"/>
      <x:c r="M306" s="71"/>
      <x:c r="N306" s="70"/>
      <x:c r="O306" s="70"/>
      <x:c r="P306" s="70"/>
      <x:c r="Q306" s="70"/>
      <x:c r="R306" s="70"/>
      <x:c r="S306" s="70"/>
      <x:c r="T306" s="70"/>
      <x:c r="U306" s="70"/>
      <x:c r="V306" s="70"/>
      <x:c r="W306" s="70"/>
      <x:c r="X306" s="70"/>
    </x:row>
    <x:row r="307" ht="15" hidden="0" customHeight="1">
      <x:c r="A307" s="70"/>
      <x:c r="B307" s="70"/>
      <x:c r="C307" s="70"/>
      <x:c r="D307" s="70"/>
      <x:c r="E307" s="70"/>
      <x:c r="F307" s="70"/>
      <x:c r="G307" s="70"/>
      <x:c r="H307" s="70"/>
      <x:c r="I307" s="70"/>
      <x:c r="J307" s="70"/>
      <x:c r="K307" s="70"/>
      <x:c r="L307" s="70"/>
      <x:c r="M307" s="71"/>
      <x:c r="N307" s="70"/>
      <x:c r="O307" s="70"/>
      <x:c r="P307" s="70"/>
      <x:c r="Q307" s="70"/>
      <x:c r="R307" s="70"/>
      <x:c r="S307" s="70"/>
      <x:c r="T307" s="70"/>
      <x:c r="U307" s="70"/>
      <x:c r="V307" s="70"/>
      <x:c r="W307" s="70"/>
      <x:c r="X307" s="70"/>
    </x:row>
    <x:row r="308" ht="15" hidden="0" customHeight="1">
      <x:c r="A308" s="70"/>
      <x:c r="B308" s="70"/>
      <x:c r="C308" s="70"/>
      <x:c r="D308" s="70"/>
      <x:c r="E308" s="70"/>
      <x:c r="F308" s="70"/>
      <x:c r="G308" s="70"/>
      <x:c r="H308" s="70"/>
      <x:c r="I308" s="70"/>
      <x:c r="J308" s="70"/>
      <x:c r="K308" s="70"/>
      <x:c r="L308" s="70"/>
      <x:c r="M308" s="71"/>
      <x:c r="N308" s="70"/>
      <x:c r="O308" s="70"/>
      <x:c r="P308" s="70"/>
      <x:c r="Q308" s="70"/>
      <x:c r="R308" s="70"/>
      <x:c r="S308" s="70"/>
      <x:c r="T308" s="70"/>
      <x:c r="U308" s="70"/>
      <x:c r="V308" s="70"/>
      <x:c r="W308" s="70"/>
      <x:c r="X308" s="70"/>
    </x:row>
    <x:row r="309" ht="15" hidden="0" customHeight="1">
      <x:c r="A309" s="70"/>
      <x:c r="B309" s="70"/>
      <x:c r="C309" s="70"/>
      <x:c r="D309" s="70"/>
      <x:c r="E309" s="70"/>
      <x:c r="F309" s="70"/>
      <x:c r="G309" s="70"/>
      <x:c r="H309" s="70"/>
      <x:c r="I309" s="70"/>
      <x:c r="J309" s="70"/>
      <x:c r="K309" s="70"/>
      <x:c r="L309" s="70"/>
      <x:c r="M309" s="71"/>
      <x:c r="N309" s="70"/>
      <x:c r="O309" s="70"/>
      <x:c r="P309" s="70"/>
      <x:c r="Q309" s="70"/>
      <x:c r="R309" s="70"/>
      <x:c r="S309" s="70"/>
      <x:c r="T309" s="70"/>
      <x:c r="U309" s="70"/>
      <x:c r="V309" s="70"/>
      <x:c r="W309" s="70"/>
      <x:c r="X309" s="70"/>
    </x:row>
    <x:row r="310" ht="15" hidden="0" customHeight="1">
      <x:c r="A310" s="70"/>
      <x:c r="B310" s="70"/>
      <x:c r="C310" s="70"/>
      <x:c r="D310" s="70"/>
      <x:c r="E310" s="70"/>
      <x:c r="F310" s="70"/>
      <x:c r="G310" s="70"/>
      <x:c r="H310" s="70"/>
      <x:c r="I310" s="70"/>
      <x:c r="J310" s="70"/>
      <x:c r="K310" s="70"/>
      <x:c r="L310" s="70"/>
      <x:c r="M310" s="71"/>
      <x:c r="N310" s="70"/>
      <x:c r="O310" s="70"/>
      <x:c r="P310" s="70"/>
      <x:c r="Q310" s="70"/>
      <x:c r="R310" s="70"/>
      <x:c r="S310" s="70"/>
      <x:c r="T310" s="70"/>
      <x:c r="U310" s="70"/>
      <x:c r="V310" s="70"/>
      <x:c r="W310" s="70"/>
      <x:c r="X310" s="70"/>
    </x:row>
    <x:row r="311" ht="15" hidden="0" customHeight="1">
      <x:c r="A311" s="70"/>
      <x:c r="B311" s="70"/>
      <x:c r="C311" s="70"/>
      <x:c r="D311" s="70"/>
      <x:c r="E311" s="70"/>
      <x:c r="F311" s="70"/>
      <x:c r="G311" s="70"/>
      <x:c r="H311" s="70"/>
      <x:c r="I311" s="70"/>
      <x:c r="J311" s="70"/>
      <x:c r="K311" s="70"/>
      <x:c r="L311" s="70"/>
      <x:c r="M311" s="71"/>
      <x:c r="N311" s="70"/>
      <x:c r="O311" s="70"/>
      <x:c r="P311" s="70"/>
      <x:c r="Q311" s="70"/>
      <x:c r="R311" s="70"/>
      <x:c r="S311" s="70"/>
      <x:c r="T311" s="70"/>
      <x:c r="U311" s="70"/>
      <x:c r="V311" s="70"/>
      <x:c r="W311" s="70"/>
      <x:c r="X311" s="70"/>
    </x:row>
    <x:row r="312" ht="15" hidden="0" customHeight="1">
      <x:c r="A312" s="70"/>
      <x:c r="B312" s="70"/>
      <x:c r="C312" s="70"/>
      <x:c r="D312" s="70"/>
      <x:c r="E312" s="70"/>
      <x:c r="F312" s="70"/>
      <x:c r="G312" s="70"/>
      <x:c r="H312" s="70"/>
      <x:c r="I312" s="70"/>
      <x:c r="J312" s="70"/>
      <x:c r="K312" s="70"/>
      <x:c r="L312" s="70"/>
      <x:c r="M312" s="71"/>
      <x:c r="N312" s="70"/>
      <x:c r="O312" s="70"/>
      <x:c r="P312" s="70"/>
      <x:c r="Q312" s="70"/>
      <x:c r="R312" s="70"/>
      <x:c r="S312" s="70"/>
      <x:c r="T312" s="70"/>
      <x:c r="U312" s="70"/>
      <x:c r="V312" s="70"/>
      <x:c r="W312" s="70"/>
      <x:c r="X312" s="70"/>
    </x:row>
    <x:row r="313" ht="15" hidden="0" customHeight="1">
      <x:c r="A313" s="70"/>
      <x:c r="B313" s="70"/>
      <x:c r="C313" s="70"/>
      <x:c r="D313" s="70"/>
      <x:c r="E313" s="70"/>
      <x:c r="F313" s="70"/>
      <x:c r="G313" s="70"/>
      <x:c r="H313" s="70"/>
      <x:c r="I313" s="70"/>
      <x:c r="J313" s="70"/>
      <x:c r="K313" s="70"/>
      <x:c r="L313" s="70"/>
      <x:c r="M313" s="71"/>
      <x:c r="N313" s="70"/>
      <x:c r="O313" s="70"/>
      <x:c r="P313" s="70"/>
      <x:c r="Q313" s="70"/>
      <x:c r="R313" s="70"/>
      <x:c r="S313" s="70"/>
      <x:c r="T313" s="70"/>
      <x:c r="U313" s="70"/>
      <x:c r="V313" s="70"/>
      <x:c r="W313" s="70"/>
      <x:c r="X313" s="70"/>
    </x:row>
    <x:row r="314" ht="15" hidden="0" customHeight="1">
      <x:c r="A314" s="70"/>
      <x:c r="B314" s="70"/>
      <x:c r="C314" s="70"/>
      <x:c r="D314" s="70"/>
      <x:c r="E314" s="70"/>
      <x:c r="F314" s="70"/>
      <x:c r="G314" s="70"/>
      <x:c r="H314" s="70"/>
      <x:c r="I314" s="70"/>
      <x:c r="J314" s="70"/>
      <x:c r="K314" s="70"/>
      <x:c r="L314" s="70"/>
      <x:c r="M314" s="71"/>
      <x:c r="N314" s="70"/>
      <x:c r="O314" s="70"/>
      <x:c r="P314" s="70"/>
      <x:c r="Q314" s="70"/>
      <x:c r="R314" s="70"/>
      <x:c r="S314" s="70"/>
      <x:c r="T314" s="70"/>
      <x:c r="U314" s="70"/>
      <x:c r="V314" s="70"/>
      <x:c r="W314" s="70"/>
      <x:c r="X314" s="70"/>
    </x:row>
    <x:row r="315" ht="15" hidden="0" customHeight="1">
      <x:c r="A315" s="70"/>
      <x:c r="B315" s="70"/>
      <x:c r="C315" s="70"/>
      <x:c r="D315" s="70"/>
      <x:c r="E315" s="70"/>
      <x:c r="F315" s="70"/>
      <x:c r="G315" s="70"/>
      <x:c r="H315" s="70"/>
      <x:c r="I315" s="70"/>
      <x:c r="J315" s="70"/>
      <x:c r="K315" s="70"/>
      <x:c r="L315" s="70"/>
      <x:c r="M315" s="71"/>
      <x:c r="N315" s="70"/>
      <x:c r="O315" s="70"/>
      <x:c r="P315" s="70"/>
      <x:c r="Q315" s="70"/>
      <x:c r="R315" s="70"/>
      <x:c r="S315" s="70"/>
      <x:c r="T315" s="70"/>
      <x:c r="U315" s="70"/>
      <x:c r="V315" s="70"/>
      <x:c r="W315" s="70"/>
      <x:c r="X315" s="70"/>
    </x:row>
    <x:row r="316" ht="15" hidden="0" customHeight="1">
      <x:c r="A316" s="70"/>
      <x:c r="B316" s="70"/>
      <x:c r="C316" s="70"/>
      <x:c r="D316" s="70"/>
      <x:c r="E316" s="70"/>
      <x:c r="F316" s="70"/>
      <x:c r="G316" s="70"/>
      <x:c r="H316" s="70"/>
      <x:c r="I316" s="70"/>
      <x:c r="J316" s="70"/>
      <x:c r="K316" s="70"/>
      <x:c r="L316" s="70"/>
      <x:c r="M316" s="71"/>
      <x:c r="N316" s="70"/>
      <x:c r="O316" s="70"/>
      <x:c r="P316" s="70"/>
      <x:c r="Q316" s="70"/>
      <x:c r="R316" s="70"/>
      <x:c r="S316" s="70"/>
      <x:c r="T316" s="70"/>
      <x:c r="U316" s="70"/>
      <x:c r="V316" s="70"/>
      <x:c r="W316" s="70"/>
      <x:c r="X316" s="70"/>
    </x:row>
    <x:row r="317" ht="15" hidden="0" customHeight="1">
      <x:c r="A317" s="70"/>
      <x:c r="B317" s="70"/>
      <x:c r="C317" s="70"/>
      <x:c r="D317" s="70"/>
      <x:c r="E317" s="70"/>
      <x:c r="F317" s="70"/>
      <x:c r="G317" s="70"/>
      <x:c r="H317" s="70"/>
      <x:c r="I317" s="70"/>
      <x:c r="J317" s="70"/>
      <x:c r="K317" s="70"/>
      <x:c r="L317" s="70"/>
      <x:c r="M317" s="71"/>
      <x:c r="N317" s="70"/>
      <x:c r="O317" s="70"/>
      <x:c r="P317" s="70"/>
      <x:c r="Q317" s="70"/>
      <x:c r="R317" s="70"/>
      <x:c r="S317" s="70"/>
      <x:c r="T317" s="70"/>
      <x:c r="U317" s="70"/>
      <x:c r="V317" s="70"/>
      <x:c r="W317" s="70"/>
      <x:c r="X317" s="70"/>
    </x:row>
    <x:row r="318" ht="15" hidden="0" customHeight="1">
      <x:c r="A318" s="70"/>
      <x:c r="B318" s="70"/>
      <x:c r="C318" s="70"/>
      <x:c r="D318" s="70"/>
      <x:c r="E318" s="70"/>
      <x:c r="F318" s="70"/>
      <x:c r="G318" s="70"/>
      <x:c r="H318" s="70"/>
      <x:c r="I318" s="70"/>
      <x:c r="J318" s="70"/>
      <x:c r="K318" s="70"/>
      <x:c r="L318" s="70"/>
      <x:c r="M318" s="71"/>
      <x:c r="N318" s="70"/>
      <x:c r="O318" s="70"/>
      <x:c r="P318" s="70"/>
      <x:c r="Q318" s="70"/>
      <x:c r="R318" s="70"/>
      <x:c r="S318" s="70"/>
      <x:c r="T318" s="70"/>
      <x:c r="U318" s="70"/>
      <x:c r="V318" s="70"/>
      <x:c r="W318" s="70"/>
      <x:c r="X318" s="70"/>
    </x:row>
    <x:row r="319" ht="15" hidden="0" customHeight="1">
      <x:c r="A319" s="70"/>
      <x:c r="B319" s="70"/>
      <x:c r="C319" s="70"/>
      <x:c r="D319" s="70"/>
      <x:c r="E319" s="70"/>
      <x:c r="F319" s="70"/>
      <x:c r="G319" s="70"/>
      <x:c r="H319" s="70"/>
      <x:c r="I319" s="70"/>
      <x:c r="J319" s="70"/>
      <x:c r="K319" s="70"/>
      <x:c r="L319" s="70"/>
      <x:c r="M319" s="71"/>
      <x:c r="N319" s="70"/>
      <x:c r="O319" s="70"/>
      <x:c r="P319" s="70"/>
      <x:c r="Q319" s="70"/>
      <x:c r="R319" s="70"/>
      <x:c r="S319" s="70"/>
      <x:c r="T319" s="70"/>
      <x:c r="U319" s="70"/>
      <x:c r="V319" s="70"/>
      <x:c r="W319" s="70"/>
      <x:c r="X319" s="70"/>
    </x:row>
    <x:row r="320" ht="15" hidden="0" customHeight="1">
      <x:c r="A320" s="70"/>
      <x:c r="B320" s="70"/>
      <x:c r="C320" s="70"/>
      <x:c r="D320" s="70"/>
      <x:c r="E320" s="70"/>
      <x:c r="F320" s="70"/>
      <x:c r="G320" s="70"/>
      <x:c r="H320" s="70"/>
      <x:c r="I320" s="70"/>
      <x:c r="J320" s="70"/>
      <x:c r="K320" s="70"/>
      <x:c r="L320" s="70"/>
      <x:c r="M320" s="71"/>
      <x:c r="N320" s="70"/>
      <x:c r="O320" s="70"/>
      <x:c r="P320" s="70"/>
      <x:c r="Q320" s="70"/>
      <x:c r="R320" s="70"/>
      <x:c r="S320" s="70"/>
      <x:c r="T320" s="70"/>
      <x:c r="U320" s="70"/>
      <x:c r="V320" s="70"/>
      <x:c r="W320" s="70"/>
      <x:c r="X320" s="70"/>
    </x:row>
    <x:row r="321" ht="15" hidden="0" customHeight="1">
      <x:c r="A321" s="70"/>
      <x:c r="B321" s="70"/>
      <x:c r="C321" s="70"/>
      <x:c r="D321" s="70"/>
      <x:c r="E321" s="70"/>
      <x:c r="F321" s="70"/>
      <x:c r="G321" s="70"/>
      <x:c r="H321" s="70"/>
      <x:c r="I321" s="70"/>
      <x:c r="J321" s="70"/>
      <x:c r="K321" s="70"/>
      <x:c r="L321" s="70"/>
      <x:c r="M321" s="71"/>
      <x:c r="N321" s="70"/>
      <x:c r="O321" s="70"/>
      <x:c r="P321" s="70"/>
      <x:c r="Q321" s="70"/>
      <x:c r="R321" s="70"/>
      <x:c r="S321" s="70"/>
      <x:c r="T321" s="70"/>
      <x:c r="U321" s="70"/>
      <x:c r="V321" s="70"/>
      <x:c r="W321" s="70"/>
      <x:c r="X321" s="70"/>
    </x:row>
    <x:row r="322" ht="15" hidden="0" customHeight="1">
      <x:c r="A322" s="70"/>
      <x:c r="B322" s="70"/>
      <x:c r="C322" s="70"/>
      <x:c r="D322" s="70"/>
      <x:c r="E322" s="70"/>
      <x:c r="F322" s="70"/>
      <x:c r="G322" s="70"/>
      <x:c r="H322" s="70"/>
      <x:c r="I322" s="70"/>
      <x:c r="J322" s="70"/>
      <x:c r="K322" s="70"/>
      <x:c r="L322" s="70"/>
      <x:c r="M322" s="71"/>
      <x:c r="N322" s="70"/>
      <x:c r="O322" s="70"/>
      <x:c r="P322" s="70"/>
      <x:c r="Q322" s="70"/>
      <x:c r="R322" s="70"/>
      <x:c r="S322" s="70"/>
      <x:c r="T322" s="70"/>
      <x:c r="U322" s="70"/>
      <x:c r="V322" s="70"/>
      <x:c r="W322" s="70"/>
      <x:c r="X322" s="70"/>
    </x:row>
    <x:row r="323" ht="15" hidden="0" customHeight="1">
      <x:c r="A323" s="70"/>
      <x:c r="B323" s="70"/>
      <x:c r="C323" s="70"/>
      <x:c r="D323" s="70"/>
      <x:c r="E323" s="70"/>
      <x:c r="F323" s="70"/>
      <x:c r="G323" s="70"/>
      <x:c r="H323" s="70"/>
      <x:c r="I323" s="70"/>
      <x:c r="J323" s="70"/>
      <x:c r="K323" s="70"/>
      <x:c r="L323" s="70"/>
      <x:c r="M323" s="71"/>
      <x:c r="N323" s="70"/>
      <x:c r="O323" s="70"/>
      <x:c r="P323" s="70"/>
      <x:c r="Q323" s="70"/>
      <x:c r="R323" s="70"/>
      <x:c r="S323" s="70"/>
      <x:c r="T323" s="70"/>
      <x:c r="U323" s="70"/>
      <x:c r="V323" s="70"/>
      <x:c r="W323" s="70"/>
      <x:c r="X323" s="70"/>
    </x:row>
    <x:row r="324" ht="15" hidden="0" customHeight="1">
      <x:c r="A324" s="70"/>
      <x:c r="B324" s="70"/>
      <x:c r="C324" s="70"/>
      <x:c r="D324" s="70"/>
      <x:c r="E324" s="70"/>
      <x:c r="F324" s="70"/>
      <x:c r="G324" s="70"/>
      <x:c r="H324" s="70"/>
      <x:c r="I324" s="70"/>
      <x:c r="J324" s="70"/>
      <x:c r="K324" s="70"/>
      <x:c r="L324" s="70"/>
      <x:c r="M324" s="71"/>
      <x:c r="N324" s="70"/>
      <x:c r="O324" s="70"/>
      <x:c r="P324" s="70"/>
      <x:c r="Q324" s="70"/>
      <x:c r="R324" s="70"/>
      <x:c r="S324" s="70"/>
      <x:c r="T324" s="70"/>
      <x:c r="U324" s="70"/>
      <x:c r="V324" s="70"/>
      <x:c r="W324" s="70"/>
      <x:c r="X324" s="70"/>
    </x:row>
    <x:row r="325" ht="15" hidden="0" customHeight="1">
      <x:c r="A325" s="70"/>
      <x:c r="B325" s="70"/>
      <x:c r="C325" s="70"/>
      <x:c r="D325" s="70"/>
      <x:c r="E325" s="70"/>
      <x:c r="F325" s="70"/>
      <x:c r="G325" s="70"/>
      <x:c r="H325" s="70"/>
      <x:c r="I325" s="70"/>
      <x:c r="J325" s="70"/>
      <x:c r="K325" s="70"/>
      <x:c r="L325" s="70"/>
      <x:c r="M325" s="71"/>
      <x:c r="N325" s="70"/>
      <x:c r="O325" s="70"/>
      <x:c r="P325" s="70"/>
      <x:c r="Q325" s="70"/>
      <x:c r="R325" s="70"/>
      <x:c r="S325" s="70"/>
      <x:c r="T325" s="70"/>
      <x:c r="U325" s="70"/>
      <x:c r="V325" s="70"/>
      <x:c r="W325" s="70"/>
      <x:c r="X325" s="70"/>
    </x:row>
    <x:row r="326" ht="15" hidden="0" customHeight="1">
      <x:c r="A326" s="70"/>
      <x:c r="B326" s="70"/>
      <x:c r="C326" s="70"/>
      <x:c r="D326" s="70"/>
      <x:c r="E326" s="70"/>
      <x:c r="F326" s="70"/>
      <x:c r="G326" s="70"/>
      <x:c r="H326" s="70"/>
      <x:c r="I326" s="70"/>
      <x:c r="J326" s="70"/>
      <x:c r="K326" s="70"/>
      <x:c r="L326" s="70"/>
      <x:c r="M326" s="71"/>
      <x:c r="N326" s="70"/>
      <x:c r="O326" s="70"/>
      <x:c r="P326" s="70"/>
      <x:c r="Q326" s="70"/>
      <x:c r="R326" s="70"/>
      <x:c r="S326" s="70"/>
      <x:c r="T326" s="70"/>
      <x:c r="U326" s="70"/>
      <x:c r="V326" s="70"/>
      <x:c r="W326" s="70"/>
      <x:c r="X326" s="70"/>
    </x:row>
    <x:row r="327" ht="15" hidden="0" customHeight="1">
      <x:c r="A327" s="70"/>
      <x:c r="B327" s="70"/>
      <x:c r="C327" s="70"/>
      <x:c r="D327" s="70"/>
      <x:c r="E327" s="70"/>
      <x:c r="F327" s="70"/>
      <x:c r="G327" s="70"/>
      <x:c r="H327" s="70"/>
      <x:c r="I327" s="70"/>
      <x:c r="J327" s="70"/>
      <x:c r="K327" s="70"/>
      <x:c r="L327" s="70"/>
      <x:c r="M327" s="71"/>
      <x:c r="N327" s="70"/>
      <x:c r="O327" s="70"/>
      <x:c r="P327" s="70"/>
      <x:c r="Q327" s="70"/>
      <x:c r="R327" s="70"/>
      <x:c r="S327" s="70"/>
      <x:c r="T327" s="70"/>
      <x:c r="U327" s="70"/>
      <x:c r="V327" s="70"/>
      <x:c r="W327" s="70"/>
      <x:c r="X327" s="70"/>
    </x:row>
    <x:row r="328" ht="15" hidden="0" customHeight="1">
      <x:c r="A328" s="70"/>
      <x:c r="B328" s="70"/>
      <x:c r="C328" s="70"/>
      <x:c r="D328" s="70"/>
      <x:c r="E328" s="70"/>
      <x:c r="F328" s="70"/>
      <x:c r="G328" s="70"/>
      <x:c r="H328" s="70"/>
      <x:c r="I328" s="70"/>
      <x:c r="J328" s="70"/>
      <x:c r="K328" s="70"/>
      <x:c r="L328" s="70"/>
      <x:c r="M328" s="71"/>
      <x:c r="N328" s="70"/>
      <x:c r="O328" s="70"/>
      <x:c r="P328" s="70"/>
      <x:c r="Q328" s="70"/>
      <x:c r="R328" s="70"/>
      <x:c r="S328" s="70"/>
      <x:c r="T328" s="70"/>
      <x:c r="U328" s="70"/>
      <x:c r="V328" s="70"/>
      <x:c r="W328" s="70"/>
      <x:c r="X328" s="70"/>
    </x:row>
    <x:row r="329" ht="15" hidden="0" customHeight="1">
      <x:c r="A329" s="70"/>
      <x:c r="B329" s="70"/>
      <x:c r="C329" s="70"/>
      <x:c r="D329" s="70"/>
      <x:c r="E329" s="70"/>
      <x:c r="F329" s="70"/>
      <x:c r="G329" s="70"/>
      <x:c r="H329" s="70"/>
      <x:c r="I329" s="70"/>
      <x:c r="J329" s="70"/>
      <x:c r="K329" s="70"/>
      <x:c r="L329" s="70"/>
      <x:c r="M329" s="71"/>
      <x:c r="N329" s="70"/>
      <x:c r="O329" s="70"/>
      <x:c r="P329" s="70"/>
      <x:c r="Q329" s="70"/>
      <x:c r="R329" s="70"/>
      <x:c r="S329" s="70"/>
      <x:c r="T329" s="70"/>
      <x:c r="U329" s="70"/>
      <x:c r="V329" s="70"/>
      <x:c r="W329" s="70"/>
      <x:c r="X329" s="70"/>
    </x:row>
    <x:row r="330" ht="15" hidden="0" customHeight="1">
      <x:c r="A330" s="70"/>
      <x:c r="B330" s="70"/>
      <x:c r="C330" s="70"/>
      <x:c r="D330" s="70"/>
      <x:c r="E330" s="70"/>
      <x:c r="F330" s="70"/>
      <x:c r="G330" s="70"/>
      <x:c r="H330" s="70"/>
      <x:c r="I330" s="70"/>
      <x:c r="J330" s="70"/>
      <x:c r="K330" s="70"/>
      <x:c r="L330" s="70"/>
      <x:c r="M330" s="71"/>
      <x:c r="N330" s="70"/>
      <x:c r="O330" s="70"/>
      <x:c r="P330" s="70"/>
      <x:c r="Q330" s="70"/>
      <x:c r="R330" s="70"/>
      <x:c r="S330" s="70"/>
      <x:c r="T330" s="70"/>
      <x:c r="U330" s="70"/>
      <x:c r="V330" s="70"/>
      <x:c r="W330" s="70"/>
      <x:c r="X330" s="70"/>
    </x:row>
    <x:row r="331" ht="15" hidden="0" customHeight="1">
      <x:c r="A331" s="70"/>
      <x:c r="B331" s="70"/>
      <x:c r="C331" s="70"/>
      <x:c r="D331" s="70"/>
      <x:c r="E331" s="70"/>
      <x:c r="F331" s="70"/>
      <x:c r="G331" s="70"/>
      <x:c r="H331" s="70"/>
      <x:c r="I331" s="70"/>
      <x:c r="J331" s="70"/>
      <x:c r="K331" s="70"/>
      <x:c r="L331" s="70"/>
      <x:c r="M331" s="71"/>
      <x:c r="N331" s="70"/>
      <x:c r="O331" s="70"/>
      <x:c r="P331" s="70"/>
      <x:c r="Q331" s="70"/>
      <x:c r="R331" s="70"/>
      <x:c r="S331" s="70"/>
      <x:c r="T331" s="70"/>
      <x:c r="U331" s="70"/>
      <x:c r="V331" s="70"/>
      <x:c r="W331" s="70"/>
      <x:c r="X331" s="70"/>
    </x:row>
    <x:row r="332" ht="15" hidden="0" customHeight="1">
      <x:c r="A332" s="70"/>
      <x:c r="B332" s="70"/>
      <x:c r="C332" s="70"/>
      <x:c r="D332" s="70"/>
      <x:c r="E332" s="70"/>
      <x:c r="F332" s="70"/>
      <x:c r="G332" s="70"/>
      <x:c r="H332" s="70"/>
      <x:c r="I332" s="70"/>
      <x:c r="J332" s="70"/>
      <x:c r="K332" s="70"/>
      <x:c r="L332" s="70"/>
      <x:c r="M332" s="71"/>
      <x:c r="N332" s="70"/>
      <x:c r="O332" s="70"/>
      <x:c r="P332" s="70"/>
      <x:c r="Q332" s="70"/>
      <x:c r="R332" s="70"/>
      <x:c r="S332" s="70"/>
      <x:c r="T332" s="70"/>
      <x:c r="U332" s="70"/>
      <x:c r="V332" s="70"/>
      <x:c r="W332" s="70"/>
      <x:c r="X332" s="70"/>
    </x:row>
    <x:row r="333" ht="15" hidden="0" customHeight="1">
      <x:c r="A333" s="70"/>
      <x:c r="B333" s="70"/>
      <x:c r="C333" s="70"/>
      <x:c r="D333" s="70"/>
      <x:c r="E333" s="70"/>
      <x:c r="F333" s="70"/>
      <x:c r="G333" s="70"/>
      <x:c r="H333" s="70"/>
      <x:c r="I333" s="70"/>
      <x:c r="J333" s="70"/>
      <x:c r="K333" s="70"/>
      <x:c r="L333" s="70"/>
      <x:c r="M333" s="71"/>
      <x:c r="N333" s="70"/>
      <x:c r="O333" s="70"/>
      <x:c r="P333" s="70"/>
      <x:c r="Q333" s="70"/>
      <x:c r="R333" s="70"/>
      <x:c r="S333" s="70"/>
      <x:c r="T333" s="70"/>
      <x:c r="U333" s="70"/>
      <x:c r="V333" s="70"/>
      <x:c r="W333" s="70"/>
      <x:c r="X333" s="70"/>
    </x:row>
    <x:row r="334" ht="15" hidden="0" customHeight="1">
      <x:c r="A334" s="70"/>
      <x:c r="B334" s="70"/>
      <x:c r="C334" s="70"/>
      <x:c r="D334" s="70"/>
      <x:c r="E334" s="70"/>
      <x:c r="F334" s="70"/>
      <x:c r="G334" s="70"/>
      <x:c r="H334" s="70"/>
      <x:c r="I334" s="70"/>
      <x:c r="J334" s="70"/>
      <x:c r="K334" s="70"/>
      <x:c r="L334" s="70"/>
      <x:c r="M334" s="71"/>
      <x:c r="N334" s="70"/>
      <x:c r="O334" s="70"/>
      <x:c r="P334" s="70"/>
      <x:c r="Q334" s="70"/>
      <x:c r="R334" s="70"/>
      <x:c r="S334" s="70"/>
      <x:c r="T334" s="70"/>
      <x:c r="U334" s="70"/>
      <x:c r="V334" s="70"/>
      <x:c r="W334" s="70"/>
      <x:c r="X334" s="70"/>
    </x:row>
    <x:row r="335" ht="15" hidden="0" customHeight="1">
      <x:c r="A335" s="70"/>
      <x:c r="B335" s="70"/>
      <x:c r="C335" s="70"/>
      <x:c r="D335" s="70"/>
      <x:c r="E335" s="70"/>
      <x:c r="F335" s="70"/>
      <x:c r="G335" s="70"/>
      <x:c r="H335" s="70"/>
      <x:c r="I335" s="70"/>
      <x:c r="J335" s="70"/>
      <x:c r="K335" s="70"/>
      <x:c r="L335" s="70"/>
      <x:c r="M335" s="71"/>
      <x:c r="N335" s="70"/>
      <x:c r="O335" s="70"/>
      <x:c r="P335" s="70"/>
      <x:c r="Q335" s="70"/>
      <x:c r="R335" s="70"/>
      <x:c r="S335" s="70"/>
      <x:c r="T335" s="70"/>
      <x:c r="U335" s="70"/>
      <x:c r="V335" s="70"/>
      <x:c r="W335" s="70"/>
      <x:c r="X335" s="70"/>
    </x:row>
    <x:row r="336" ht="15" hidden="0" customHeight="1">
      <x:c r="A336" s="70"/>
      <x:c r="B336" s="70"/>
      <x:c r="C336" s="70"/>
      <x:c r="D336" s="70"/>
      <x:c r="E336" s="70"/>
      <x:c r="F336" s="70"/>
      <x:c r="G336" s="70"/>
      <x:c r="H336" s="70"/>
      <x:c r="I336" s="70"/>
      <x:c r="J336" s="70"/>
      <x:c r="K336" s="70"/>
      <x:c r="L336" s="70"/>
      <x:c r="M336" s="71"/>
      <x:c r="N336" s="70"/>
      <x:c r="O336" s="70"/>
      <x:c r="P336" s="70"/>
      <x:c r="Q336" s="70"/>
      <x:c r="R336" s="70"/>
      <x:c r="S336" s="70"/>
      <x:c r="T336" s="70"/>
      <x:c r="U336" s="70"/>
      <x:c r="V336" s="70"/>
      <x:c r="W336" s="70"/>
      <x:c r="X336" s="70"/>
    </x:row>
    <x:row r="337" ht="15" hidden="0" customHeight="1">
      <x:c r="A337" s="70"/>
      <x:c r="B337" s="70"/>
      <x:c r="C337" s="70"/>
      <x:c r="D337" s="70"/>
      <x:c r="E337" s="70"/>
      <x:c r="F337" s="70"/>
      <x:c r="G337" s="70"/>
      <x:c r="H337" s="70"/>
      <x:c r="I337" s="70"/>
      <x:c r="J337" s="70"/>
      <x:c r="K337" s="70"/>
      <x:c r="L337" s="70"/>
      <x:c r="M337" s="71"/>
      <x:c r="N337" s="70"/>
      <x:c r="O337" s="70"/>
      <x:c r="P337" s="70"/>
      <x:c r="Q337" s="70"/>
      <x:c r="R337" s="70"/>
      <x:c r="S337" s="70"/>
      <x:c r="T337" s="70"/>
      <x:c r="U337" s="70"/>
      <x:c r="V337" s="70"/>
      <x:c r="W337" s="70"/>
      <x:c r="X337" s="70"/>
    </x:row>
    <x:row r="338" ht="15" hidden="0" customHeight="1">
      <x:c r="A338" s="70"/>
      <x:c r="B338" s="70"/>
      <x:c r="C338" s="70"/>
      <x:c r="D338" s="70"/>
      <x:c r="E338" s="70"/>
      <x:c r="F338" s="70"/>
      <x:c r="G338" s="70"/>
      <x:c r="H338" s="70"/>
      <x:c r="I338" s="70"/>
      <x:c r="J338" s="70"/>
      <x:c r="K338" s="70"/>
      <x:c r="L338" s="70"/>
      <x:c r="M338" s="71"/>
      <x:c r="N338" s="70"/>
      <x:c r="O338" s="70"/>
      <x:c r="P338" s="70"/>
      <x:c r="Q338" s="70"/>
      <x:c r="R338" s="70"/>
      <x:c r="S338" s="70"/>
      <x:c r="T338" s="70"/>
      <x:c r="U338" s="70"/>
      <x:c r="V338" s="70"/>
      <x:c r="W338" s="70"/>
      <x:c r="X338" s="70"/>
    </x:row>
    <x:row r="339" ht="15" hidden="0" customHeight="1">
      <x:c r="A339" s="70"/>
      <x:c r="B339" s="70"/>
      <x:c r="C339" s="70"/>
      <x:c r="D339" s="70"/>
      <x:c r="E339" s="70"/>
      <x:c r="F339" s="70"/>
      <x:c r="G339" s="70"/>
      <x:c r="H339" s="70"/>
      <x:c r="I339" s="70"/>
      <x:c r="J339" s="70"/>
      <x:c r="K339" s="70"/>
      <x:c r="L339" s="70"/>
      <x:c r="M339" s="71"/>
      <x:c r="N339" s="70"/>
      <x:c r="O339" s="70"/>
      <x:c r="P339" s="70"/>
      <x:c r="Q339" s="70"/>
      <x:c r="R339" s="70"/>
      <x:c r="S339" s="70"/>
      <x:c r="T339" s="70"/>
      <x:c r="U339" s="70"/>
      <x:c r="V339" s="70"/>
      <x:c r="W339" s="70"/>
      <x:c r="X339" s="70"/>
    </x:row>
    <x:row r="340" ht="15" hidden="0" customHeight="1">
      <x:c r="A340" s="70"/>
      <x:c r="B340" s="70"/>
      <x:c r="C340" s="70"/>
      <x:c r="D340" s="70"/>
      <x:c r="E340" s="70"/>
      <x:c r="F340" s="70"/>
      <x:c r="G340" s="70"/>
      <x:c r="H340" s="70"/>
      <x:c r="I340" s="70"/>
      <x:c r="J340" s="70"/>
      <x:c r="K340" s="70"/>
      <x:c r="L340" s="70"/>
      <x:c r="M340" s="71"/>
      <x:c r="N340" s="70"/>
      <x:c r="O340" s="70"/>
      <x:c r="P340" s="70"/>
      <x:c r="Q340" s="70"/>
      <x:c r="R340" s="70"/>
      <x:c r="S340" s="70"/>
      <x:c r="T340" s="70"/>
      <x:c r="U340" s="70"/>
      <x:c r="V340" s="70"/>
      <x:c r="W340" s="70"/>
      <x:c r="X340" s="70"/>
    </x:row>
    <x:row r="341" ht="15" hidden="0" customHeight="1">
      <x:c r="A341" s="70"/>
      <x:c r="B341" s="70"/>
      <x:c r="C341" s="70"/>
      <x:c r="D341" s="70"/>
      <x:c r="E341" s="70"/>
      <x:c r="F341" s="70"/>
      <x:c r="G341" s="70"/>
      <x:c r="H341" s="70"/>
      <x:c r="I341" s="70"/>
      <x:c r="J341" s="70"/>
      <x:c r="K341" s="70"/>
      <x:c r="L341" s="70"/>
      <x:c r="M341" s="71"/>
      <x:c r="N341" s="70"/>
      <x:c r="O341" s="70"/>
      <x:c r="P341" s="70"/>
      <x:c r="Q341" s="70"/>
      <x:c r="R341" s="70"/>
      <x:c r="S341" s="70"/>
      <x:c r="T341" s="70"/>
      <x:c r="U341" s="70"/>
      <x:c r="V341" s="70"/>
      <x:c r="W341" s="70"/>
      <x:c r="X341" s="70"/>
    </x:row>
    <x:row r="342" ht="15" hidden="0" customHeight="1">
      <x:c r="A342" s="70"/>
      <x:c r="B342" s="70"/>
      <x:c r="C342" s="70"/>
      <x:c r="D342" s="70"/>
      <x:c r="E342" s="70"/>
      <x:c r="F342" s="70"/>
      <x:c r="G342" s="70"/>
      <x:c r="H342" s="70"/>
      <x:c r="I342" s="70"/>
      <x:c r="J342" s="70"/>
      <x:c r="K342" s="70"/>
      <x:c r="L342" s="70"/>
      <x:c r="M342" s="71"/>
      <x:c r="N342" s="70"/>
      <x:c r="O342" s="70"/>
      <x:c r="P342" s="70"/>
      <x:c r="Q342" s="70"/>
      <x:c r="R342" s="70"/>
      <x:c r="S342" s="70"/>
      <x:c r="T342" s="70"/>
      <x:c r="U342" s="70"/>
      <x:c r="V342" s="70"/>
      <x:c r="W342" s="70"/>
      <x:c r="X342" s="70"/>
    </x:row>
    <x:row r="343" ht="15" hidden="0" customHeight="1">
      <x:c r="A343" s="70"/>
      <x:c r="B343" s="70"/>
      <x:c r="C343" s="70"/>
      <x:c r="D343" s="70"/>
      <x:c r="E343" s="70"/>
      <x:c r="F343" s="70"/>
      <x:c r="G343" s="70"/>
      <x:c r="H343" s="70"/>
      <x:c r="I343" s="70"/>
      <x:c r="J343" s="70"/>
      <x:c r="K343" s="70"/>
      <x:c r="L343" s="70"/>
      <x:c r="M343" s="71"/>
      <x:c r="N343" s="70"/>
      <x:c r="O343" s="70"/>
      <x:c r="P343" s="70"/>
      <x:c r="Q343" s="70"/>
      <x:c r="R343" s="70"/>
      <x:c r="S343" s="70"/>
      <x:c r="T343" s="70"/>
      <x:c r="U343" s="70"/>
      <x:c r="V343" s="70"/>
      <x:c r="W343" s="70"/>
      <x:c r="X343" s="70"/>
    </x:row>
    <x:row r="344" ht="15" hidden="0" customHeight="1">
      <x:c r="A344" s="70"/>
      <x:c r="B344" s="70"/>
      <x:c r="C344" s="70"/>
      <x:c r="D344" s="70"/>
      <x:c r="E344" s="70"/>
      <x:c r="F344" s="70"/>
      <x:c r="G344" s="70"/>
      <x:c r="H344" s="70"/>
      <x:c r="I344" s="70"/>
      <x:c r="J344" s="70"/>
      <x:c r="K344" s="70"/>
      <x:c r="L344" s="70"/>
      <x:c r="M344" s="71"/>
      <x:c r="N344" s="70"/>
      <x:c r="O344" s="70"/>
      <x:c r="P344" s="70"/>
      <x:c r="Q344" s="70"/>
      <x:c r="R344" s="70"/>
      <x:c r="S344" s="70"/>
      <x:c r="T344" s="70"/>
      <x:c r="U344" s="70"/>
      <x:c r="V344" s="70"/>
      <x:c r="W344" s="70"/>
      <x:c r="X344" s="70"/>
    </x:row>
    <x:row r="345" ht="15" hidden="0" customHeight="1">
      <x:c r="A345" s="70"/>
      <x:c r="B345" s="70"/>
      <x:c r="C345" s="70"/>
      <x:c r="D345" s="70"/>
      <x:c r="E345" s="70"/>
      <x:c r="F345" s="70"/>
      <x:c r="G345" s="70"/>
      <x:c r="H345" s="70"/>
      <x:c r="I345" s="70"/>
      <x:c r="J345" s="70"/>
      <x:c r="K345" s="70"/>
      <x:c r="L345" s="70"/>
      <x:c r="M345" s="71"/>
      <x:c r="N345" s="70"/>
      <x:c r="O345" s="70"/>
      <x:c r="P345" s="70"/>
      <x:c r="Q345" s="70"/>
      <x:c r="R345" s="70"/>
      <x:c r="S345" s="70"/>
      <x:c r="T345" s="70"/>
      <x:c r="U345" s="70"/>
      <x:c r="V345" s="70"/>
      <x:c r="W345" s="70"/>
      <x:c r="X345" s="70"/>
    </x:row>
    <x:row r="346" ht="15" hidden="0" customHeight="1">
      <x:c r="A346" s="70"/>
      <x:c r="B346" s="70"/>
      <x:c r="C346" s="70"/>
      <x:c r="D346" s="70"/>
      <x:c r="E346" s="70"/>
      <x:c r="F346" s="70"/>
      <x:c r="G346" s="70"/>
      <x:c r="H346" s="70"/>
      <x:c r="I346" s="70"/>
      <x:c r="J346" s="70"/>
      <x:c r="K346" s="70"/>
      <x:c r="L346" s="70"/>
      <x:c r="M346" s="71"/>
      <x:c r="N346" s="70"/>
      <x:c r="O346" s="70"/>
      <x:c r="P346" s="70"/>
      <x:c r="Q346" s="70"/>
      <x:c r="R346" s="70"/>
      <x:c r="S346" s="70"/>
      <x:c r="T346" s="70"/>
      <x:c r="U346" s="70"/>
      <x:c r="V346" s="70"/>
      <x:c r="W346" s="70"/>
      <x:c r="X346" s="70"/>
    </x:row>
    <x:row r="347" ht="15" hidden="0" customHeight="1">
      <x:c r="A347" s="70"/>
      <x:c r="B347" s="70"/>
      <x:c r="C347" s="70"/>
      <x:c r="D347" s="70"/>
      <x:c r="E347" s="70"/>
      <x:c r="F347" s="70"/>
      <x:c r="G347" s="70"/>
      <x:c r="H347" s="70"/>
      <x:c r="I347" s="70"/>
      <x:c r="J347" s="70"/>
      <x:c r="K347" s="70"/>
      <x:c r="L347" s="70"/>
      <x:c r="M347" s="71"/>
      <x:c r="N347" s="70"/>
      <x:c r="O347" s="70"/>
      <x:c r="P347" s="70"/>
      <x:c r="Q347" s="70"/>
      <x:c r="R347" s="70"/>
      <x:c r="S347" s="70"/>
      <x:c r="T347" s="70"/>
      <x:c r="U347" s="70"/>
      <x:c r="V347" s="70"/>
      <x:c r="W347" s="70"/>
      <x:c r="X347" s="70"/>
    </x:row>
    <x:row r="348" ht="15" hidden="0" customHeight="1">
      <x:c r="A348" s="70"/>
      <x:c r="B348" s="70"/>
      <x:c r="C348" s="70"/>
      <x:c r="D348" s="70"/>
      <x:c r="E348" s="70"/>
      <x:c r="F348" s="70"/>
      <x:c r="G348" s="70"/>
      <x:c r="H348" s="70"/>
      <x:c r="I348" s="70"/>
      <x:c r="J348" s="70"/>
      <x:c r="K348" s="70"/>
      <x:c r="L348" s="70"/>
      <x:c r="M348" s="71"/>
      <x:c r="N348" s="70"/>
      <x:c r="O348" s="70"/>
      <x:c r="P348" s="70"/>
      <x:c r="Q348" s="70"/>
      <x:c r="R348" s="70"/>
      <x:c r="S348" s="70"/>
      <x:c r="T348" s="70"/>
      <x:c r="U348" s="70"/>
      <x:c r="V348" s="70"/>
      <x:c r="W348" s="70"/>
      <x:c r="X348" s="70"/>
    </x:row>
    <x:row r="349" ht="15" hidden="0" customHeight="1">
      <x:c r="A349" s="70"/>
      <x:c r="B349" s="70"/>
      <x:c r="C349" s="70"/>
      <x:c r="D349" s="70"/>
      <x:c r="E349" s="70"/>
      <x:c r="F349" s="70"/>
      <x:c r="G349" s="70"/>
      <x:c r="H349" s="70"/>
      <x:c r="I349" s="70"/>
      <x:c r="J349" s="70"/>
      <x:c r="K349" s="70"/>
      <x:c r="L349" s="70"/>
      <x:c r="M349" s="71"/>
      <x:c r="N349" s="70"/>
      <x:c r="O349" s="70"/>
      <x:c r="P349" s="70"/>
      <x:c r="Q349" s="70"/>
      <x:c r="R349" s="70"/>
      <x:c r="S349" s="70"/>
      <x:c r="T349" s="70"/>
      <x:c r="U349" s="70"/>
      <x:c r="V349" s="70"/>
      <x:c r="W349" s="70"/>
      <x:c r="X349" s="70"/>
    </x:row>
    <x:row r="350" ht="15" hidden="0" customHeight="1">
      <x:c r="A350" s="70"/>
      <x:c r="B350" s="70"/>
      <x:c r="C350" s="70"/>
      <x:c r="D350" s="70"/>
      <x:c r="E350" s="70"/>
      <x:c r="F350" s="70"/>
      <x:c r="G350" s="70"/>
      <x:c r="H350" s="70"/>
      <x:c r="I350" s="70"/>
      <x:c r="J350" s="70"/>
      <x:c r="K350" s="70"/>
      <x:c r="L350" s="70"/>
      <x:c r="M350" s="71"/>
      <x:c r="N350" s="70"/>
      <x:c r="O350" s="70"/>
      <x:c r="P350" s="70"/>
      <x:c r="Q350" s="70"/>
      <x:c r="R350" s="70"/>
      <x:c r="S350" s="70"/>
      <x:c r="T350" s="70"/>
      <x:c r="U350" s="70"/>
      <x:c r="V350" s="70"/>
      <x:c r="W350" s="70"/>
      <x:c r="X350" s="70"/>
    </x:row>
    <x:row r="351" ht="15" hidden="0" customHeight="1">
      <x:c r="A351" s="70"/>
      <x:c r="B351" s="70"/>
      <x:c r="C351" s="70"/>
      <x:c r="D351" s="70"/>
      <x:c r="E351" s="70"/>
      <x:c r="F351" s="70"/>
      <x:c r="G351" s="70"/>
      <x:c r="H351" s="70"/>
      <x:c r="I351" s="70"/>
      <x:c r="J351" s="70"/>
      <x:c r="K351" s="70"/>
      <x:c r="L351" s="70"/>
      <x:c r="M351" s="71"/>
      <x:c r="N351" s="70"/>
      <x:c r="O351" s="70"/>
      <x:c r="P351" s="70"/>
      <x:c r="Q351" s="70"/>
      <x:c r="R351" s="70"/>
      <x:c r="S351" s="70"/>
      <x:c r="T351" s="70"/>
      <x:c r="U351" s="70"/>
      <x:c r="V351" s="70"/>
      <x:c r="W351" s="70"/>
      <x:c r="X351" s="70"/>
    </x:row>
    <x:row r="352" ht="15" hidden="0" customHeight="1">
      <x:c r="A352" s="70"/>
      <x:c r="B352" s="70"/>
      <x:c r="C352" s="70"/>
      <x:c r="D352" s="70"/>
      <x:c r="E352" s="70"/>
      <x:c r="F352" s="70"/>
      <x:c r="G352" s="70"/>
      <x:c r="H352" s="70"/>
      <x:c r="I352" s="70"/>
      <x:c r="J352" s="70"/>
      <x:c r="K352" s="70"/>
      <x:c r="L352" s="70"/>
      <x:c r="M352" s="71"/>
      <x:c r="N352" s="70"/>
      <x:c r="O352" s="70"/>
      <x:c r="P352" s="70"/>
      <x:c r="Q352" s="70"/>
      <x:c r="R352" s="70"/>
      <x:c r="S352" s="70"/>
      <x:c r="T352" s="70"/>
      <x:c r="U352" s="70"/>
      <x:c r="V352" s="70"/>
      <x:c r="W352" s="70"/>
      <x:c r="X352" s="70"/>
    </x:row>
    <x:row r="353" ht="15" hidden="0" customHeight="1">
      <x:c r="A353" s="70"/>
      <x:c r="B353" s="70"/>
      <x:c r="C353" s="70"/>
      <x:c r="D353" s="70"/>
      <x:c r="E353" s="70"/>
      <x:c r="F353" s="70"/>
      <x:c r="G353" s="70"/>
      <x:c r="H353" s="70"/>
      <x:c r="I353" s="70"/>
      <x:c r="J353" s="70"/>
      <x:c r="K353" s="70"/>
      <x:c r="L353" s="70"/>
      <x:c r="M353" s="71"/>
      <x:c r="N353" s="70"/>
      <x:c r="O353" s="70"/>
      <x:c r="P353" s="70"/>
      <x:c r="Q353" s="70"/>
      <x:c r="R353" s="70"/>
      <x:c r="S353" s="70"/>
      <x:c r="T353" s="70"/>
      <x:c r="U353" s="70"/>
      <x:c r="V353" s="70"/>
      <x:c r="W353" s="70"/>
      <x:c r="X353" s="70"/>
    </x:row>
    <x:row r="354" ht="15" hidden="0" customHeight="1">
      <x:c r="A354" s="70"/>
      <x:c r="B354" s="70"/>
      <x:c r="C354" s="70"/>
      <x:c r="D354" s="70"/>
      <x:c r="E354" s="70"/>
      <x:c r="F354" s="70"/>
      <x:c r="G354" s="70"/>
      <x:c r="H354" s="70"/>
      <x:c r="I354" s="70"/>
      <x:c r="J354" s="70"/>
      <x:c r="K354" s="70"/>
      <x:c r="L354" s="70"/>
      <x:c r="M354" s="71"/>
      <x:c r="N354" s="70"/>
      <x:c r="O354" s="70"/>
      <x:c r="P354" s="70"/>
      <x:c r="Q354" s="70"/>
      <x:c r="R354" s="70"/>
      <x:c r="S354" s="70"/>
      <x:c r="T354" s="70"/>
      <x:c r="U354" s="70"/>
      <x:c r="V354" s="70"/>
      <x:c r="W354" s="70"/>
      <x:c r="X354" s="70"/>
    </x:row>
    <x:row r="355" ht="15" hidden="0" customHeight="1">
      <x:c r="A355" s="70"/>
      <x:c r="B355" s="70"/>
      <x:c r="C355" s="70"/>
      <x:c r="D355" s="70"/>
      <x:c r="E355" s="70"/>
      <x:c r="F355" s="70"/>
      <x:c r="G355" s="70"/>
      <x:c r="H355" s="70"/>
      <x:c r="I355" s="70"/>
      <x:c r="J355" s="70"/>
      <x:c r="K355" s="70"/>
      <x:c r="L355" s="70"/>
      <x:c r="M355" s="71"/>
      <x:c r="N355" s="70"/>
      <x:c r="O355" s="70"/>
      <x:c r="P355" s="70"/>
      <x:c r="Q355" s="70"/>
      <x:c r="R355" s="70"/>
      <x:c r="S355" s="70"/>
      <x:c r="T355" s="70"/>
      <x:c r="U355" s="70"/>
      <x:c r="V355" s="70"/>
      <x:c r="W355" s="70"/>
      <x:c r="X355" s="70"/>
    </x:row>
    <x:row r="356" ht="15" hidden="0" customHeight="1">
      <x:c r="A356" s="70"/>
      <x:c r="B356" s="70"/>
      <x:c r="C356" s="70"/>
      <x:c r="D356" s="70"/>
      <x:c r="E356" s="70"/>
      <x:c r="F356" s="70"/>
      <x:c r="G356" s="70"/>
      <x:c r="H356" s="70"/>
      <x:c r="I356" s="70"/>
      <x:c r="J356" s="70"/>
      <x:c r="K356" s="70"/>
      <x:c r="L356" s="70"/>
      <x:c r="M356" s="71"/>
      <x:c r="N356" s="70"/>
      <x:c r="O356" s="70"/>
      <x:c r="P356" s="70"/>
      <x:c r="Q356" s="70"/>
      <x:c r="R356" s="70"/>
      <x:c r="S356" s="70"/>
      <x:c r="T356" s="70"/>
      <x:c r="U356" s="70"/>
      <x:c r="V356" s="70"/>
      <x:c r="W356" s="70"/>
      <x:c r="X356" s="70"/>
    </x:row>
    <x:row r="357" ht="15" hidden="0" customHeight="1">
      <x:c r="A357" s="70"/>
      <x:c r="B357" s="70"/>
      <x:c r="C357" s="70"/>
      <x:c r="D357" s="70"/>
      <x:c r="E357" s="70"/>
      <x:c r="F357" s="70"/>
      <x:c r="G357" s="70"/>
      <x:c r="H357" s="70"/>
      <x:c r="I357" s="70"/>
      <x:c r="J357" s="70"/>
      <x:c r="K357" s="70"/>
      <x:c r="L357" s="70"/>
      <x:c r="M357" s="71"/>
      <x:c r="N357" s="70"/>
      <x:c r="O357" s="70"/>
      <x:c r="P357" s="70"/>
      <x:c r="Q357" s="70"/>
      <x:c r="R357" s="70"/>
      <x:c r="S357" s="70"/>
      <x:c r="T357" s="70"/>
      <x:c r="U357" s="70"/>
      <x:c r="V357" s="70"/>
      <x:c r="W357" s="70"/>
      <x:c r="X357" s="70"/>
    </x:row>
    <x:row r="358" ht="15" hidden="0" customHeight="1">
      <x:c r="A358" s="70"/>
      <x:c r="B358" s="70"/>
      <x:c r="C358" s="70"/>
      <x:c r="D358" s="70"/>
      <x:c r="E358" s="70"/>
      <x:c r="F358" s="70"/>
      <x:c r="G358" s="70"/>
      <x:c r="H358" s="70"/>
      <x:c r="I358" s="70"/>
      <x:c r="J358" s="70"/>
      <x:c r="K358" s="70"/>
      <x:c r="L358" s="70"/>
      <x:c r="M358" s="71"/>
      <x:c r="N358" s="70"/>
      <x:c r="O358" s="70"/>
      <x:c r="P358" s="70"/>
      <x:c r="Q358" s="70"/>
      <x:c r="R358" s="70"/>
      <x:c r="S358" s="70"/>
      <x:c r="T358" s="70"/>
      <x:c r="U358" s="70"/>
      <x:c r="V358" s="70"/>
      <x:c r="W358" s="70"/>
      <x:c r="X358" s="70"/>
    </x:row>
    <x:row r="359" ht="15" hidden="0" customHeight="1">
      <x:c r="A359" s="70"/>
      <x:c r="B359" s="70"/>
      <x:c r="C359" s="70"/>
      <x:c r="D359" s="70"/>
      <x:c r="E359" s="70"/>
      <x:c r="F359" s="70"/>
      <x:c r="G359" s="70"/>
      <x:c r="H359" s="70"/>
      <x:c r="I359" s="70"/>
      <x:c r="J359" s="70"/>
      <x:c r="K359" s="70"/>
      <x:c r="L359" s="70"/>
      <x:c r="M359" s="71"/>
      <x:c r="N359" s="70"/>
      <x:c r="O359" s="70"/>
      <x:c r="P359" s="70"/>
      <x:c r="Q359" s="70"/>
      <x:c r="R359" s="70"/>
      <x:c r="S359" s="70"/>
      <x:c r="T359" s="70"/>
      <x:c r="U359" s="70"/>
      <x:c r="V359" s="70"/>
      <x:c r="W359" s="70"/>
      <x:c r="X359" s="70"/>
    </x:row>
    <x:row r="360" ht="15" hidden="0" customHeight="1">
      <x:c r="A360" s="70"/>
      <x:c r="B360" s="70"/>
      <x:c r="C360" s="70"/>
      <x:c r="D360" s="70"/>
      <x:c r="E360" s="70"/>
      <x:c r="F360" s="70"/>
      <x:c r="G360" s="70"/>
      <x:c r="H360" s="70"/>
      <x:c r="I360" s="70"/>
      <x:c r="J360" s="70"/>
      <x:c r="K360" s="70"/>
      <x:c r="L360" s="70"/>
      <x:c r="M360" s="71"/>
      <x:c r="N360" s="70"/>
      <x:c r="O360" s="70"/>
      <x:c r="P360" s="70"/>
      <x:c r="Q360" s="70"/>
      <x:c r="R360" s="70"/>
      <x:c r="S360" s="70"/>
      <x:c r="T360" s="70"/>
      <x:c r="U360" s="70"/>
      <x:c r="V360" s="70"/>
      <x:c r="W360" s="70"/>
      <x:c r="X360" s="70"/>
    </x:row>
    <x:row r="361" ht="15" hidden="0" customHeight="1">
      <x:c r="A361" s="70"/>
      <x:c r="B361" s="70"/>
      <x:c r="C361" s="70"/>
      <x:c r="D361" s="70"/>
      <x:c r="E361" s="70"/>
      <x:c r="F361" s="70"/>
      <x:c r="G361" s="70"/>
      <x:c r="H361" s="70"/>
      <x:c r="I361" s="70"/>
      <x:c r="J361" s="70"/>
      <x:c r="K361" s="70"/>
      <x:c r="L361" s="70"/>
      <x:c r="M361" s="71"/>
      <x:c r="N361" s="70"/>
      <x:c r="O361" s="70"/>
      <x:c r="P361" s="70"/>
      <x:c r="Q361" s="70"/>
      <x:c r="R361" s="70"/>
      <x:c r="S361" s="70"/>
      <x:c r="T361" s="70"/>
      <x:c r="U361" s="70"/>
      <x:c r="V361" s="70"/>
      <x:c r="W361" s="70"/>
      <x:c r="X361" s="70"/>
    </x:row>
    <x:row r="362" ht="15" hidden="0" customHeight="1">
      <x:c r="A362" s="70"/>
      <x:c r="B362" s="70"/>
      <x:c r="C362" s="70"/>
      <x:c r="D362" s="70"/>
      <x:c r="E362" s="70"/>
      <x:c r="F362" s="70"/>
      <x:c r="G362" s="70"/>
      <x:c r="H362" s="70"/>
      <x:c r="I362" s="70"/>
      <x:c r="J362" s="70"/>
      <x:c r="K362" s="70"/>
      <x:c r="L362" s="70"/>
      <x:c r="M362" s="71"/>
      <x:c r="N362" s="70"/>
      <x:c r="O362" s="70"/>
      <x:c r="P362" s="70"/>
      <x:c r="Q362" s="70"/>
      <x:c r="R362" s="70"/>
      <x:c r="S362" s="70"/>
      <x:c r="T362" s="70"/>
      <x:c r="U362" s="70"/>
      <x:c r="V362" s="70"/>
      <x:c r="W362" s="70"/>
      <x:c r="X362" s="70"/>
    </x:row>
    <x:row r="363" ht="15" hidden="0" customHeight="1">
      <x:c r="A363" s="70"/>
      <x:c r="B363" s="70"/>
      <x:c r="C363" s="70"/>
      <x:c r="D363" s="70"/>
      <x:c r="E363" s="70"/>
      <x:c r="F363" s="70"/>
      <x:c r="G363" s="70"/>
      <x:c r="H363" s="70"/>
      <x:c r="I363" s="70"/>
      <x:c r="J363" s="70"/>
      <x:c r="K363" s="70"/>
      <x:c r="L363" s="70"/>
      <x:c r="M363" s="71"/>
      <x:c r="N363" s="70"/>
      <x:c r="O363" s="70"/>
      <x:c r="P363" s="70"/>
      <x:c r="Q363" s="70"/>
      <x:c r="R363" s="70"/>
      <x:c r="S363" s="70"/>
      <x:c r="T363" s="70"/>
      <x:c r="U363" s="70"/>
      <x:c r="V363" s="70"/>
      <x:c r="W363" s="70"/>
      <x:c r="X363" s="70"/>
    </x:row>
    <x:row r="364" ht="15" hidden="0" customHeight="1">
      <x:c r="A364" s="70"/>
      <x:c r="B364" s="70"/>
      <x:c r="C364" s="70"/>
      <x:c r="D364" s="70"/>
      <x:c r="E364" s="70"/>
      <x:c r="F364" s="70"/>
      <x:c r="G364" s="70"/>
      <x:c r="H364" s="70"/>
      <x:c r="I364" s="70"/>
      <x:c r="J364" s="70"/>
      <x:c r="K364" s="70"/>
      <x:c r="L364" s="70"/>
      <x:c r="M364" s="71"/>
      <x:c r="N364" s="70"/>
      <x:c r="O364" s="70"/>
      <x:c r="P364" s="70"/>
      <x:c r="Q364" s="70"/>
      <x:c r="R364" s="70"/>
      <x:c r="S364" s="70"/>
      <x:c r="T364" s="70"/>
      <x:c r="U364" s="70"/>
      <x:c r="V364" s="70"/>
      <x:c r="W364" s="70"/>
      <x:c r="X364" s="70"/>
    </x:row>
    <x:row r="365" ht="15" hidden="0" customHeight="1">
      <x:c r="A365" s="70"/>
      <x:c r="B365" s="70"/>
      <x:c r="C365" s="70"/>
      <x:c r="D365" s="70"/>
      <x:c r="E365" s="70"/>
      <x:c r="F365" s="70"/>
      <x:c r="G365" s="70"/>
      <x:c r="H365" s="70"/>
      <x:c r="I365" s="70"/>
      <x:c r="J365" s="70"/>
      <x:c r="K365" s="70"/>
      <x:c r="L365" s="70"/>
      <x:c r="M365" s="71"/>
      <x:c r="N365" s="70"/>
      <x:c r="O365" s="70"/>
      <x:c r="P365" s="70"/>
      <x:c r="Q365" s="70"/>
      <x:c r="R365" s="70"/>
      <x:c r="S365" s="70"/>
      <x:c r="T365" s="70"/>
      <x:c r="U365" s="70"/>
      <x:c r="V365" s="70"/>
      <x:c r="W365" s="70"/>
      <x:c r="X365" s="70"/>
    </x:row>
    <x:row r="366" ht="15" hidden="0" customHeight="1">
      <x:c r="A366" s="70"/>
      <x:c r="B366" s="70"/>
      <x:c r="C366" s="70"/>
      <x:c r="D366" s="70"/>
      <x:c r="E366" s="70"/>
      <x:c r="F366" s="70"/>
      <x:c r="G366" s="70"/>
      <x:c r="H366" s="70"/>
      <x:c r="I366" s="70"/>
      <x:c r="J366" s="70"/>
      <x:c r="K366" s="70"/>
      <x:c r="L366" s="70"/>
      <x:c r="M366" s="71"/>
      <x:c r="N366" s="70"/>
      <x:c r="O366" s="70"/>
      <x:c r="P366" s="70"/>
      <x:c r="Q366" s="70"/>
      <x:c r="R366" s="70"/>
      <x:c r="S366" s="70"/>
      <x:c r="T366" s="70"/>
      <x:c r="U366" s="70"/>
      <x:c r="V366" s="70"/>
      <x:c r="W366" s="70"/>
      <x:c r="X366" s="70"/>
    </x:row>
    <x:row r="367" ht="15" hidden="0" customHeight="1">
      <x:c r="A367" s="70"/>
      <x:c r="B367" s="70"/>
      <x:c r="C367" s="70"/>
      <x:c r="D367" s="70"/>
      <x:c r="E367" s="70"/>
      <x:c r="F367" s="70"/>
      <x:c r="G367" s="70"/>
      <x:c r="H367" s="70"/>
      <x:c r="I367" s="70"/>
      <x:c r="J367" s="70"/>
      <x:c r="K367" s="70"/>
      <x:c r="L367" s="70"/>
      <x:c r="M367" s="71"/>
      <x:c r="N367" s="70"/>
      <x:c r="O367" s="70"/>
      <x:c r="P367" s="70"/>
      <x:c r="Q367" s="70"/>
      <x:c r="R367" s="70"/>
      <x:c r="S367" s="70"/>
      <x:c r="T367" s="70"/>
      <x:c r="U367" s="70"/>
      <x:c r="V367" s="70"/>
      <x:c r="W367" s="70"/>
      <x:c r="X367" s="70"/>
    </x:row>
    <x:row r="368" ht="15" hidden="0" customHeight="1">
      <x:c r="A368" s="70"/>
      <x:c r="B368" s="70"/>
      <x:c r="C368" s="70"/>
      <x:c r="D368" s="70"/>
      <x:c r="E368" s="70"/>
      <x:c r="F368" s="70"/>
      <x:c r="G368" s="70"/>
      <x:c r="H368" s="70"/>
      <x:c r="I368" s="70"/>
      <x:c r="J368" s="70"/>
      <x:c r="K368" s="70"/>
      <x:c r="L368" s="70"/>
      <x:c r="M368" s="71"/>
      <x:c r="N368" s="70"/>
      <x:c r="O368" s="70"/>
      <x:c r="P368" s="70"/>
      <x:c r="Q368" s="70"/>
      <x:c r="R368" s="70"/>
      <x:c r="S368" s="70"/>
      <x:c r="T368" s="70"/>
      <x:c r="U368" s="70"/>
      <x:c r="V368" s="70"/>
      <x:c r="W368" s="70"/>
      <x:c r="X368" s="70"/>
    </x:row>
    <x:row r="369" ht="15" hidden="0" customHeight="1">
      <x:c r="A369" s="70"/>
      <x:c r="B369" s="70"/>
      <x:c r="C369" s="70"/>
      <x:c r="D369" s="70"/>
      <x:c r="E369" s="70"/>
      <x:c r="F369" s="70"/>
      <x:c r="G369" s="70"/>
      <x:c r="H369" s="70"/>
      <x:c r="I369" s="70"/>
      <x:c r="J369" s="70"/>
      <x:c r="K369" s="70"/>
      <x:c r="L369" s="70"/>
      <x:c r="M369" s="71"/>
      <x:c r="N369" s="70"/>
      <x:c r="O369" s="70"/>
      <x:c r="P369" s="70"/>
      <x:c r="Q369" s="70"/>
      <x:c r="R369" s="70"/>
      <x:c r="S369" s="70"/>
      <x:c r="T369" s="70"/>
      <x:c r="U369" s="70"/>
      <x:c r="V369" s="70"/>
      <x:c r="W369" s="70"/>
      <x:c r="X369" s="70"/>
    </x:row>
    <x:row r="370" ht="15" hidden="0" customHeight="1">
      <x:c r="A370" s="70"/>
      <x:c r="B370" s="70"/>
      <x:c r="C370" s="70"/>
      <x:c r="D370" s="70"/>
      <x:c r="E370" s="70"/>
      <x:c r="F370" s="70"/>
      <x:c r="G370" s="70"/>
      <x:c r="H370" s="70"/>
      <x:c r="I370" s="70"/>
      <x:c r="J370" s="70"/>
      <x:c r="K370" s="70"/>
      <x:c r="L370" s="70"/>
      <x:c r="M370" s="71"/>
      <x:c r="N370" s="70"/>
      <x:c r="O370" s="70"/>
      <x:c r="P370" s="70"/>
      <x:c r="Q370" s="70"/>
      <x:c r="R370" s="70"/>
      <x:c r="S370" s="70"/>
      <x:c r="T370" s="70"/>
      <x:c r="U370" s="70"/>
      <x:c r="V370" s="70"/>
      <x:c r="W370" s="70"/>
      <x:c r="X370" s="70"/>
    </x:row>
    <x:row r="371" ht="15" hidden="0" customHeight="1">
      <x:c r="A371" s="70"/>
      <x:c r="B371" s="70"/>
      <x:c r="C371" s="70"/>
      <x:c r="D371" s="70"/>
      <x:c r="E371" s="70"/>
      <x:c r="F371" s="70"/>
      <x:c r="G371" s="70"/>
      <x:c r="H371" s="70"/>
      <x:c r="I371" s="70"/>
      <x:c r="J371" s="70"/>
      <x:c r="K371" s="70"/>
      <x:c r="L371" s="70"/>
      <x:c r="M371" s="71"/>
      <x:c r="N371" s="70"/>
      <x:c r="O371" s="70"/>
      <x:c r="P371" s="70"/>
      <x:c r="Q371" s="70"/>
      <x:c r="R371" s="70"/>
      <x:c r="S371" s="70"/>
      <x:c r="T371" s="70"/>
      <x:c r="U371" s="70"/>
      <x:c r="V371" s="70"/>
      <x:c r="W371" s="70"/>
      <x:c r="X371" s="70"/>
    </x:row>
    <x:row r="372" ht="15" hidden="0" customHeight="1">
      <x:c r="A372" s="70"/>
      <x:c r="B372" s="70"/>
      <x:c r="C372" s="70"/>
      <x:c r="D372" s="70"/>
      <x:c r="E372" s="70"/>
      <x:c r="F372" s="70"/>
      <x:c r="G372" s="70"/>
      <x:c r="H372" s="70"/>
      <x:c r="I372" s="70"/>
      <x:c r="J372" s="70"/>
      <x:c r="K372" s="70"/>
      <x:c r="L372" s="70"/>
      <x:c r="M372" s="71"/>
      <x:c r="N372" s="70"/>
      <x:c r="O372" s="70"/>
      <x:c r="P372" s="70"/>
      <x:c r="Q372" s="70"/>
      <x:c r="R372" s="70"/>
      <x:c r="S372" s="70"/>
      <x:c r="T372" s="70"/>
      <x:c r="U372" s="70"/>
      <x:c r="V372" s="70"/>
      <x:c r="W372" s="70"/>
      <x:c r="X372" s="70"/>
    </x:row>
    <x:row r="373" ht="15" hidden="0" customHeight="1">
      <x:c r="A373" s="70"/>
      <x:c r="B373" s="70"/>
      <x:c r="C373" s="70"/>
      <x:c r="D373" s="70"/>
      <x:c r="E373" s="70"/>
      <x:c r="F373" s="70"/>
      <x:c r="G373" s="70"/>
      <x:c r="H373" s="70"/>
      <x:c r="I373" s="70"/>
      <x:c r="J373" s="70"/>
      <x:c r="K373" s="70"/>
      <x:c r="L373" s="70"/>
      <x:c r="M373" s="71"/>
      <x:c r="N373" s="70"/>
      <x:c r="O373" s="70"/>
      <x:c r="P373" s="70"/>
      <x:c r="Q373" s="70"/>
      <x:c r="R373" s="70"/>
      <x:c r="S373" s="70"/>
      <x:c r="T373" s="70"/>
      <x:c r="U373" s="70"/>
      <x:c r="V373" s="70"/>
      <x:c r="W373" s="70"/>
      <x:c r="X373" s="70"/>
    </x:row>
    <x:row r="374" ht="15" hidden="0" customHeight="1">
      <x:c r="A374" s="70"/>
      <x:c r="B374" s="70"/>
      <x:c r="C374" s="70"/>
      <x:c r="D374" s="70"/>
      <x:c r="E374" s="70"/>
      <x:c r="F374" s="70"/>
      <x:c r="G374" s="70"/>
      <x:c r="H374" s="70"/>
      <x:c r="I374" s="70"/>
      <x:c r="J374" s="70"/>
      <x:c r="K374" s="70"/>
      <x:c r="L374" s="70"/>
      <x:c r="M374" s="71"/>
      <x:c r="N374" s="70"/>
      <x:c r="O374" s="70"/>
      <x:c r="P374" s="70"/>
      <x:c r="Q374" s="70"/>
      <x:c r="R374" s="70"/>
      <x:c r="S374" s="70"/>
      <x:c r="T374" s="70"/>
      <x:c r="U374" s="70"/>
      <x:c r="V374" s="70"/>
      <x:c r="W374" s="70"/>
      <x:c r="X374" s="70"/>
    </x:row>
    <x:row r="375" ht="15" hidden="0" customHeight="1">
      <x:c r="A375" s="70"/>
      <x:c r="B375" s="70"/>
      <x:c r="C375" s="70"/>
      <x:c r="D375" s="70"/>
      <x:c r="E375" s="70"/>
      <x:c r="F375" s="70"/>
      <x:c r="G375" s="70"/>
      <x:c r="H375" s="70"/>
      <x:c r="I375" s="70"/>
      <x:c r="J375" s="70"/>
      <x:c r="K375" s="70"/>
      <x:c r="L375" s="70"/>
      <x:c r="M375" s="71"/>
      <x:c r="N375" s="70"/>
      <x:c r="O375" s="70"/>
      <x:c r="P375" s="70"/>
      <x:c r="Q375" s="70"/>
      <x:c r="R375" s="70"/>
      <x:c r="S375" s="70"/>
      <x:c r="T375" s="70"/>
      <x:c r="U375" s="70"/>
      <x:c r="V375" s="70"/>
      <x:c r="W375" s="70"/>
      <x:c r="X375" s="70"/>
    </x:row>
    <x:row r="376" ht="15" hidden="0" customHeight="1">
      <x:c r="A376" s="70"/>
      <x:c r="B376" s="70"/>
      <x:c r="C376" s="70"/>
      <x:c r="D376" s="70"/>
      <x:c r="E376" s="70"/>
      <x:c r="F376" s="70"/>
      <x:c r="G376" s="70"/>
      <x:c r="H376" s="70"/>
      <x:c r="I376" s="70"/>
      <x:c r="J376" s="70"/>
      <x:c r="K376" s="70"/>
      <x:c r="L376" s="70"/>
      <x:c r="M376" s="71"/>
      <x:c r="N376" s="70"/>
      <x:c r="O376" s="70"/>
      <x:c r="P376" s="70"/>
      <x:c r="Q376" s="70"/>
      <x:c r="R376" s="70"/>
      <x:c r="S376" s="70"/>
      <x:c r="T376" s="70"/>
      <x:c r="U376" s="70"/>
      <x:c r="V376" s="70"/>
      <x:c r="W376" s="70"/>
      <x:c r="X376" s="70"/>
    </x:row>
    <x:row r="377" ht="15" hidden="0" customHeight="1">
      <x:c r="A377" s="70"/>
      <x:c r="B377" s="70"/>
      <x:c r="C377" s="70"/>
      <x:c r="D377" s="70"/>
      <x:c r="E377" s="70"/>
      <x:c r="F377" s="70"/>
      <x:c r="G377" s="70"/>
      <x:c r="H377" s="70"/>
      <x:c r="I377" s="70"/>
      <x:c r="J377" s="70"/>
      <x:c r="K377" s="70"/>
      <x:c r="L377" s="70"/>
      <x:c r="M377" s="71"/>
      <x:c r="N377" s="70"/>
      <x:c r="O377" s="70"/>
      <x:c r="P377" s="70"/>
      <x:c r="Q377" s="70"/>
      <x:c r="R377" s="70"/>
      <x:c r="S377" s="70"/>
      <x:c r="T377" s="70"/>
      <x:c r="U377" s="70"/>
      <x:c r="V377" s="70"/>
      <x:c r="W377" s="70"/>
      <x:c r="X377" s="70"/>
    </x:row>
    <x:row r="378" ht="15" hidden="0" customHeight="1">
      <x:c r="A378" s="70"/>
      <x:c r="B378" s="70"/>
      <x:c r="C378" s="70"/>
      <x:c r="D378" s="70"/>
      <x:c r="E378" s="70"/>
      <x:c r="F378" s="70"/>
      <x:c r="G378" s="70"/>
      <x:c r="H378" s="70"/>
      <x:c r="I378" s="70"/>
      <x:c r="J378" s="70"/>
      <x:c r="K378" s="70"/>
      <x:c r="L378" s="70"/>
      <x:c r="M378" s="71"/>
      <x:c r="N378" s="70"/>
      <x:c r="O378" s="70"/>
      <x:c r="P378" s="70"/>
      <x:c r="Q378" s="70"/>
      <x:c r="R378" s="70"/>
      <x:c r="S378" s="70"/>
      <x:c r="T378" s="70"/>
      <x:c r="U378" s="70"/>
      <x:c r="V378" s="70"/>
      <x:c r="W378" s="70"/>
      <x:c r="X378" s="70"/>
    </x:row>
    <x:row r="379" ht="15" hidden="0" customHeight="1">
      <x:c r="A379" s="70"/>
      <x:c r="B379" s="70"/>
      <x:c r="C379" s="70"/>
      <x:c r="D379" s="70"/>
      <x:c r="E379" s="70"/>
      <x:c r="F379" s="70"/>
      <x:c r="G379" s="70"/>
      <x:c r="H379" s="70"/>
      <x:c r="I379" s="70"/>
      <x:c r="J379" s="70"/>
      <x:c r="K379" s="70"/>
      <x:c r="L379" s="70"/>
      <x:c r="M379" s="71"/>
      <x:c r="N379" s="70"/>
      <x:c r="O379" s="70"/>
      <x:c r="P379" s="70"/>
      <x:c r="Q379" s="70"/>
      <x:c r="R379" s="70"/>
      <x:c r="S379" s="70"/>
      <x:c r="T379" s="70"/>
      <x:c r="U379" s="70"/>
      <x:c r="V379" s="70"/>
      <x:c r="W379" s="70"/>
      <x:c r="X379" s="70"/>
    </x:row>
    <x:row r="380" ht="15" hidden="0" customHeight="1">
      <x:c r="A380" s="70"/>
      <x:c r="B380" s="70"/>
      <x:c r="C380" s="70"/>
      <x:c r="D380" s="70"/>
      <x:c r="E380" s="70"/>
      <x:c r="F380" s="70"/>
      <x:c r="G380" s="70"/>
      <x:c r="H380" s="70"/>
      <x:c r="I380" s="70"/>
      <x:c r="J380" s="70"/>
      <x:c r="K380" s="70"/>
      <x:c r="L380" s="70"/>
      <x:c r="M380" s="71"/>
      <x:c r="N380" s="70"/>
      <x:c r="O380" s="70"/>
      <x:c r="P380" s="70"/>
      <x:c r="Q380" s="70"/>
      <x:c r="R380" s="70"/>
      <x:c r="S380" s="70"/>
      <x:c r="T380" s="70"/>
      <x:c r="U380" s="70"/>
      <x:c r="V380" s="70"/>
      <x:c r="W380" s="70"/>
      <x:c r="X380" s="70"/>
    </x:row>
    <x:row r="381" ht="15" hidden="0" customHeight="1">
      <x:c r="A381" s="70"/>
      <x:c r="B381" s="70"/>
      <x:c r="C381" s="70"/>
      <x:c r="D381" s="70"/>
      <x:c r="E381" s="70"/>
      <x:c r="F381" s="70"/>
      <x:c r="G381" s="70"/>
      <x:c r="H381" s="70"/>
      <x:c r="I381" s="70"/>
      <x:c r="J381" s="70"/>
      <x:c r="K381" s="70"/>
      <x:c r="L381" s="70"/>
      <x:c r="M381" s="71"/>
      <x:c r="N381" s="70"/>
      <x:c r="O381" s="70"/>
      <x:c r="P381" s="70"/>
      <x:c r="Q381" s="70"/>
      <x:c r="R381" s="70"/>
      <x:c r="S381" s="70"/>
      <x:c r="T381" s="70"/>
      <x:c r="U381" s="70"/>
      <x:c r="V381" s="70"/>
      <x:c r="W381" s="70"/>
      <x:c r="X381" s="70"/>
    </x:row>
    <x:row r="382" ht="15" hidden="0" customHeight="1">
      <x:c r="A382" s="70"/>
      <x:c r="B382" s="70"/>
      <x:c r="C382" s="70"/>
      <x:c r="D382" s="70"/>
      <x:c r="E382" s="70"/>
      <x:c r="F382" s="70"/>
      <x:c r="G382" s="70"/>
      <x:c r="H382" s="70"/>
      <x:c r="I382" s="70"/>
      <x:c r="J382" s="70"/>
      <x:c r="K382" s="70"/>
      <x:c r="L382" s="70"/>
      <x:c r="M382" s="71"/>
      <x:c r="N382" s="70"/>
      <x:c r="O382" s="70"/>
      <x:c r="P382" s="70"/>
      <x:c r="Q382" s="70"/>
      <x:c r="R382" s="70"/>
      <x:c r="S382" s="70"/>
      <x:c r="T382" s="70"/>
      <x:c r="U382" s="70"/>
      <x:c r="V382" s="70"/>
      <x:c r="W382" s="70"/>
      <x:c r="X382" s="70"/>
    </x:row>
    <x:row r="383" ht="15" hidden="0" customHeight="1">
      <x:c r="A383" s="70"/>
      <x:c r="B383" s="70"/>
      <x:c r="C383" s="70"/>
      <x:c r="D383" s="70"/>
      <x:c r="E383" s="70"/>
      <x:c r="F383" s="70"/>
      <x:c r="G383" s="70"/>
      <x:c r="H383" s="70"/>
      <x:c r="I383" s="70"/>
      <x:c r="J383" s="70"/>
      <x:c r="K383" s="70"/>
      <x:c r="L383" s="70"/>
      <x:c r="M383" s="71"/>
      <x:c r="N383" s="70"/>
      <x:c r="O383" s="70"/>
      <x:c r="P383" s="70"/>
      <x:c r="Q383" s="70"/>
      <x:c r="R383" s="70"/>
      <x:c r="S383" s="70"/>
      <x:c r="T383" s="70"/>
      <x:c r="U383" s="70"/>
      <x:c r="V383" s="70"/>
      <x:c r="W383" s="70"/>
      <x:c r="X383" s="70"/>
    </x:row>
    <x:row r="384" ht="15" hidden="0" customHeight="1">
      <x:c r="A384" s="70"/>
      <x:c r="B384" s="70"/>
      <x:c r="C384" s="70"/>
      <x:c r="D384" s="70"/>
      <x:c r="E384" s="70"/>
      <x:c r="F384" s="70"/>
      <x:c r="G384" s="70"/>
      <x:c r="H384" s="70"/>
      <x:c r="I384" s="70"/>
      <x:c r="J384" s="70"/>
      <x:c r="K384" s="70"/>
      <x:c r="L384" s="70"/>
      <x:c r="M384" s="71"/>
      <x:c r="N384" s="70"/>
      <x:c r="O384" s="70"/>
      <x:c r="P384" s="70"/>
      <x:c r="Q384" s="70"/>
      <x:c r="R384" s="70"/>
      <x:c r="S384" s="70"/>
      <x:c r="T384" s="70"/>
      <x:c r="U384" s="70"/>
      <x:c r="V384" s="70"/>
      <x:c r="W384" s="70"/>
      <x:c r="X384" s="70"/>
    </x:row>
    <x:row r="385" ht="15" hidden="0" customHeight="1">
      <x:c r="A385" s="70"/>
      <x:c r="B385" s="70"/>
      <x:c r="C385" s="70"/>
      <x:c r="D385" s="70"/>
      <x:c r="E385" s="70"/>
      <x:c r="F385" s="70"/>
      <x:c r="G385" s="70"/>
      <x:c r="H385" s="70"/>
      <x:c r="I385" s="70"/>
      <x:c r="J385" s="70"/>
      <x:c r="K385" s="70"/>
      <x:c r="L385" s="70"/>
      <x:c r="M385" s="71"/>
      <x:c r="N385" s="70"/>
      <x:c r="O385" s="70"/>
      <x:c r="P385" s="70"/>
      <x:c r="Q385" s="70"/>
      <x:c r="R385" s="70"/>
      <x:c r="S385" s="70"/>
      <x:c r="T385" s="70"/>
      <x:c r="U385" s="70"/>
      <x:c r="V385" s="70"/>
      <x:c r="W385" s="70"/>
      <x:c r="X385" s="70"/>
    </x:row>
    <x:row r="386" ht="15" hidden="0" customHeight="1">
      <x:c r="A386" s="70"/>
      <x:c r="B386" s="70"/>
      <x:c r="C386" s="70"/>
      <x:c r="D386" s="70"/>
      <x:c r="E386" s="70"/>
      <x:c r="F386" s="70"/>
      <x:c r="G386" s="70"/>
      <x:c r="H386" s="70"/>
      <x:c r="I386" s="70"/>
      <x:c r="J386" s="70"/>
      <x:c r="K386" s="70"/>
      <x:c r="L386" s="70"/>
      <x:c r="M386" s="71"/>
      <x:c r="N386" s="70"/>
      <x:c r="O386" s="70"/>
      <x:c r="P386" s="70"/>
      <x:c r="Q386" s="70"/>
      <x:c r="R386" s="70"/>
      <x:c r="S386" s="70"/>
      <x:c r="T386" s="70"/>
      <x:c r="U386" s="70"/>
      <x:c r="V386" s="70"/>
      <x:c r="W386" s="70"/>
      <x:c r="X386" s="70"/>
    </x:row>
    <x:row r="387" ht="15" hidden="0" customHeight="1">
      <x:c r="A387" s="70"/>
      <x:c r="B387" s="70"/>
      <x:c r="C387" s="70"/>
      <x:c r="D387" s="70"/>
      <x:c r="E387" s="70"/>
      <x:c r="F387" s="70"/>
      <x:c r="G387" s="70"/>
      <x:c r="H387" s="70"/>
      <x:c r="I387" s="70"/>
      <x:c r="J387" s="70"/>
      <x:c r="K387" s="70"/>
      <x:c r="L387" s="70"/>
      <x:c r="M387" s="71"/>
      <x:c r="N387" s="70"/>
      <x:c r="O387" s="70"/>
      <x:c r="P387" s="70"/>
      <x:c r="Q387" s="70"/>
      <x:c r="R387" s="70"/>
      <x:c r="S387" s="70"/>
      <x:c r="T387" s="70"/>
      <x:c r="U387" s="70"/>
      <x:c r="V387" s="70"/>
      <x:c r="W387" s="70"/>
      <x:c r="X387" s="70"/>
    </x:row>
    <x:row r="388" ht="15" hidden="0" customHeight="1">
      <x:c r="A388" s="70"/>
      <x:c r="B388" s="70"/>
      <x:c r="C388" s="70"/>
      <x:c r="D388" s="70"/>
      <x:c r="E388" s="70"/>
      <x:c r="F388" s="70"/>
      <x:c r="G388" s="70"/>
      <x:c r="H388" s="70"/>
      <x:c r="I388" s="70"/>
      <x:c r="J388" s="70"/>
      <x:c r="K388" s="70"/>
      <x:c r="L388" s="70"/>
      <x:c r="M388" s="71"/>
      <x:c r="N388" s="70"/>
      <x:c r="O388" s="70"/>
      <x:c r="P388" s="70"/>
      <x:c r="Q388" s="70"/>
      <x:c r="R388" s="70"/>
      <x:c r="S388" s="70"/>
      <x:c r="T388" s="70"/>
      <x:c r="U388" s="70"/>
      <x:c r="V388" s="70"/>
      <x:c r="W388" s="70"/>
      <x:c r="X388" s="70"/>
    </x:row>
    <x:row r="389" ht="15" hidden="0" customHeight="1">
      <x:c r="A389" s="70"/>
      <x:c r="B389" s="70"/>
      <x:c r="C389" s="70"/>
      <x:c r="D389" s="70"/>
      <x:c r="E389" s="70"/>
      <x:c r="F389" s="70"/>
      <x:c r="G389" s="70"/>
      <x:c r="H389" s="70"/>
      <x:c r="I389" s="70"/>
      <x:c r="J389" s="70"/>
      <x:c r="K389" s="70"/>
      <x:c r="L389" s="70"/>
      <x:c r="M389" s="71"/>
      <x:c r="N389" s="70"/>
      <x:c r="O389" s="70"/>
      <x:c r="P389" s="70"/>
      <x:c r="Q389" s="70"/>
      <x:c r="R389" s="70"/>
      <x:c r="S389" s="70"/>
      <x:c r="T389" s="70"/>
      <x:c r="U389" s="70"/>
      <x:c r="V389" s="70"/>
      <x:c r="W389" s="70"/>
      <x:c r="X389" s="70"/>
    </x:row>
    <x:row r="390" ht="15" hidden="0" customHeight="1">
      <x:c r="A390" s="70"/>
      <x:c r="B390" s="70"/>
      <x:c r="C390" s="70"/>
      <x:c r="D390" s="70"/>
      <x:c r="E390" s="70"/>
      <x:c r="F390" s="70"/>
      <x:c r="G390" s="70"/>
      <x:c r="H390" s="70"/>
      <x:c r="I390" s="70"/>
      <x:c r="J390" s="70"/>
      <x:c r="K390" s="70"/>
      <x:c r="L390" s="70"/>
      <x:c r="M390" s="71"/>
      <x:c r="N390" s="70"/>
      <x:c r="O390" s="70"/>
      <x:c r="P390" s="70"/>
      <x:c r="Q390" s="70"/>
      <x:c r="R390" s="70"/>
      <x:c r="S390" s="70"/>
      <x:c r="T390" s="70"/>
      <x:c r="U390" s="70"/>
      <x:c r="V390" s="70"/>
      <x:c r="W390" s="70"/>
      <x:c r="X390" s="70"/>
    </x:row>
    <x:row r="391" ht="15" hidden="0" customHeight="1">
      <x:c r="A391" s="70"/>
      <x:c r="B391" s="70"/>
      <x:c r="C391" s="70"/>
      <x:c r="D391" s="70"/>
      <x:c r="E391" s="70"/>
      <x:c r="F391" s="70"/>
      <x:c r="G391" s="70"/>
      <x:c r="H391" s="70"/>
      <x:c r="I391" s="70"/>
      <x:c r="J391" s="70"/>
      <x:c r="K391" s="70"/>
      <x:c r="L391" s="70"/>
      <x:c r="M391" s="71"/>
      <x:c r="N391" s="70"/>
      <x:c r="O391" s="70"/>
      <x:c r="P391" s="70"/>
      <x:c r="Q391" s="70"/>
      <x:c r="R391" s="70"/>
      <x:c r="S391" s="70"/>
      <x:c r="T391" s="70"/>
      <x:c r="U391" s="70"/>
      <x:c r="V391" s="70"/>
      <x:c r="W391" s="70"/>
      <x:c r="X391" s="70"/>
    </x:row>
    <x:row r="392" ht="15" hidden="0" customHeight="1">
      <x:c r="A392" s="70"/>
      <x:c r="B392" s="70"/>
      <x:c r="C392" s="70"/>
      <x:c r="D392" s="70"/>
      <x:c r="E392" s="70"/>
      <x:c r="F392" s="70"/>
      <x:c r="G392" s="70"/>
      <x:c r="H392" s="70"/>
      <x:c r="I392" s="70"/>
      <x:c r="J392" s="70"/>
      <x:c r="K392" s="70"/>
      <x:c r="L392" s="70"/>
      <x:c r="M392" s="71"/>
      <x:c r="N392" s="70"/>
      <x:c r="O392" s="70"/>
      <x:c r="P392" s="70"/>
      <x:c r="Q392" s="70"/>
      <x:c r="R392" s="70"/>
      <x:c r="S392" s="70"/>
      <x:c r="T392" s="70"/>
      <x:c r="U392" s="70"/>
      <x:c r="V392" s="70"/>
      <x:c r="W392" s="70"/>
      <x:c r="X392" s="70"/>
    </x:row>
    <x:row r="393" ht="15" hidden="0" customHeight="1">
      <x:c r="A393" s="70"/>
      <x:c r="B393" s="70"/>
      <x:c r="C393" s="70"/>
      <x:c r="D393" s="70"/>
      <x:c r="E393" s="70"/>
      <x:c r="F393" s="70"/>
      <x:c r="G393" s="70"/>
      <x:c r="H393" s="70"/>
      <x:c r="I393" s="70"/>
      <x:c r="J393" s="70"/>
      <x:c r="K393" s="70"/>
      <x:c r="L393" s="70"/>
      <x:c r="M393" s="71"/>
      <x:c r="N393" s="70"/>
      <x:c r="O393" s="70"/>
      <x:c r="P393" s="70"/>
      <x:c r="Q393" s="70"/>
      <x:c r="R393" s="70"/>
      <x:c r="S393" s="70"/>
      <x:c r="T393" s="70"/>
      <x:c r="U393" s="70"/>
      <x:c r="V393" s="70"/>
      <x:c r="W393" s="70"/>
      <x:c r="X393" s="70"/>
    </x:row>
    <x:row r="394" ht="15" hidden="0" customHeight="1">
      <x:c r="A394" s="70"/>
      <x:c r="B394" s="70"/>
      <x:c r="C394" s="70"/>
      <x:c r="D394" s="70"/>
      <x:c r="E394" s="70"/>
      <x:c r="F394" s="70"/>
      <x:c r="G394" s="70"/>
      <x:c r="H394" s="70"/>
      <x:c r="I394" s="70"/>
      <x:c r="J394" s="70"/>
      <x:c r="K394" s="70"/>
      <x:c r="L394" s="70"/>
      <x:c r="M394" s="71"/>
      <x:c r="N394" s="70"/>
      <x:c r="O394" s="70"/>
      <x:c r="P394" s="70"/>
      <x:c r="Q394" s="70"/>
      <x:c r="R394" s="70"/>
      <x:c r="S394" s="70"/>
      <x:c r="T394" s="70"/>
      <x:c r="U394" s="70"/>
      <x:c r="V394" s="70"/>
      <x:c r="W394" s="70"/>
      <x:c r="X394" s="70"/>
    </x:row>
    <x:row r="395" ht="15" hidden="0" customHeight="1">
      <x:c r="A395" s="70"/>
      <x:c r="B395" s="70"/>
      <x:c r="C395" s="70"/>
      <x:c r="D395" s="70"/>
      <x:c r="E395" s="70"/>
      <x:c r="F395" s="70"/>
      <x:c r="G395" s="70"/>
      <x:c r="H395" s="70"/>
      <x:c r="I395" s="70"/>
      <x:c r="J395" s="70"/>
      <x:c r="K395" s="70"/>
      <x:c r="L395" s="70"/>
      <x:c r="M395" s="71"/>
      <x:c r="N395" s="70"/>
      <x:c r="O395" s="70"/>
      <x:c r="P395" s="70"/>
      <x:c r="Q395" s="70"/>
      <x:c r="R395" s="70"/>
      <x:c r="S395" s="70"/>
      <x:c r="T395" s="70"/>
      <x:c r="U395" s="70"/>
      <x:c r="V395" s="70"/>
      <x:c r="W395" s="70"/>
      <x:c r="X395" s="70"/>
    </x:row>
    <x:row r="396" ht="15" hidden="0" customHeight="1">
      <x:c r="A396" s="70"/>
      <x:c r="B396" s="70"/>
      <x:c r="C396" s="70"/>
      <x:c r="D396" s="70"/>
      <x:c r="E396" s="70"/>
      <x:c r="F396" s="70"/>
      <x:c r="G396" s="70"/>
      <x:c r="H396" s="70"/>
      <x:c r="I396" s="70"/>
      <x:c r="J396" s="70"/>
      <x:c r="K396" s="70"/>
      <x:c r="L396" s="70"/>
      <x:c r="M396" s="71"/>
      <x:c r="N396" s="70"/>
      <x:c r="O396" s="70"/>
      <x:c r="P396" s="70"/>
      <x:c r="Q396" s="70"/>
      <x:c r="R396" s="70"/>
      <x:c r="S396" s="70"/>
      <x:c r="T396" s="70"/>
      <x:c r="U396" s="70"/>
      <x:c r="V396" s="70"/>
      <x:c r="W396" s="70"/>
      <x:c r="X396" s="70"/>
    </x:row>
    <x:row r="397" ht="15" hidden="0" customHeight="1">
      <x:c r="A397" s="70"/>
      <x:c r="B397" s="70"/>
      <x:c r="C397" s="70"/>
      <x:c r="D397" s="70"/>
      <x:c r="E397" s="70"/>
      <x:c r="F397" s="70"/>
      <x:c r="G397" s="70"/>
      <x:c r="H397" s="70"/>
      <x:c r="I397" s="70"/>
      <x:c r="J397" s="70"/>
      <x:c r="K397" s="70"/>
      <x:c r="L397" s="70"/>
      <x:c r="M397" s="71"/>
      <x:c r="N397" s="70"/>
      <x:c r="O397" s="70"/>
      <x:c r="P397" s="70"/>
      <x:c r="Q397" s="70"/>
      <x:c r="R397" s="70"/>
      <x:c r="S397" s="70"/>
      <x:c r="T397" s="70"/>
      <x:c r="U397" s="70"/>
      <x:c r="V397" s="70"/>
      <x:c r="W397" s="70"/>
      <x:c r="X397" s="70"/>
    </x:row>
    <x:row r="398" ht="15" hidden="0" customHeight="1">
      <x:c r="A398" s="70"/>
      <x:c r="B398" s="70"/>
      <x:c r="C398" s="70"/>
      <x:c r="D398" s="70"/>
      <x:c r="E398" s="70"/>
      <x:c r="F398" s="70"/>
      <x:c r="G398" s="70"/>
      <x:c r="H398" s="70"/>
      <x:c r="I398" s="70"/>
      <x:c r="J398" s="70"/>
      <x:c r="K398" s="70"/>
      <x:c r="L398" s="70"/>
      <x:c r="M398" s="71"/>
      <x:c r="N398" s="70"/>
      <x:c r="O398" s="70"/>
      <x:c r="P398" s="70"/>
      <x:c r="Q398" s="70"/>
      <x:c r="R398" s="70"/>
      <x:c r="S398" s="70"/>
      <x:c r="T398" s="70"/>
      <x:c r="U398" s="70"/>
      <x:c r="V398" s="70"/>
      <x:c r="W398" s="70"/>
      <x:c r="X398" s="70"/>
    </x:row>
    <x:row r="399" ht="15" hidden="0" customHeight="1">
      <x:c r="A399" s="70"/>
      <x:c r="B399" s="70"/>
      <x:c r="C399" s="70"/>
      <x:c r="D399" s="70"/>
      <x:c r="E399" s="70"/>
      <x:c r="F399" s="70"/>
      <x:c r="G399" s="70"/>
      <x:c r="H399" s="70"/>
      <x:c r="I399" s="70"/>
      <x:c r="J399" s="70"/>
      <x:c r="K399" s="70"/>
      <x:c r="L399" s="70"/>
      <x:c r="M399" s="71"/>
      <x:c r="N399" s="70"/>
      <x:c r="O399" s="70"/>
      <x:c r="P399" s="70"/>
      <x:c r="Q399" s="70"/>
      <x:c r="R399" s="70"/>
      <x:c r="S399" s="70"/>
      <x:c r="T399" s="70"/>
      <x:c r="U399" s="70"/>
      <x:c r="V399" s="70"/>
      <x:c r="W399" s="70"/>
      <x:c r="X399" s="70"/>
    </x:row>
    <x:row r="400" ht="15" hidden="0" customHeight="1">
      <x:c r="A400" s="70"/>
      <x:c r="B400" s="70"/>
      <x:c r="C400" s="70"/>
      <x:c r="D400" s="70"/>
      <x:c r="E400" s="70"/>
      <x:c r="F400" s="70"/>
      <x:c r="G400" s="70"/>
      <x:c r="H400" s="70"/>
      <x:c r="I400" s="70"/>
      <x:c r="J400" s="70"/>
      <x:c r="K400" s="70"/>
      <x:c r="L400" s="70"/>
      <x:c r="M400" s="71"/>
      <x:c r="N400" s="70"/>
      <x:c r="O400" s="70"/>
      <x:c r="P400" s="70"/>
      <x:c r="Q400" s="70"/>
      <x:c r="R400" s="70"/>
      <x:c r="S400" s="70"/>
      <x:c r="T400" s="70"/>
      <x:c r="U400" s="70"/>
      <x:c r="V400" s="70"/>
      <x:c r="W400" s="70"/>
      <x:c r="X400" s="70"/>
    </x:row>
  </x:sheetData>
  <x:mergeCells>
    <x:mergeCell ref="A1:L1"/>
    <x:mergeCell ref="A2:L2"/>
  </x:mergeCells>
  <x:dataValidations count="1">
    <x:dataValidation type="list" sqref="F5:F144">
      <x:formula1>"NOT_STARTED,IN_PROGRESS,BLOCKED,REVIEW,DONE"</x:formula1>
    </x:dataValidation>
  </x:dataValidations>
  <x:pageMargins left="0.7" right="0.7" top="0.75" bottom="0.75" header="0.3" footer="0.3"/>
  <x:tableParts count="1">
    <x:tablePart xmlns:r="http://schemas.openxmlformats.org/officeDocument/2006/relationships" r:id="Rf116d6e4fdf14352"/>
  </x:tableParts>
</x:worksheet>
</file>

<file path=xl/worksheets/sheet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32" hidden="0" customWidth="1"/>
    <x:col min="3" max="3" width="30" hidden="0" customWidth="1"/>
    <x:col min="4" max="4" width="28" hidden="0" customWidth="1"/>
    <x:col min="5" max="5" width="45" hidden="0" customWidth="1"/>
    <x:col min="6" max="6" width="45" hidden="0" customWidth="1"/>
    <x:col min="7" max="7" width="38" hidden="0" customWidth="1"/>
  </x:cols>
  <x:sheetData>
    <x:row r="1" ht="34" customHeight="1">
      <x:c r="A1" s="3" t="str">
        <x:v>12 cổng phát hành</x:v>
      </x:c>
      <x:c r="B1" s="3"/>
      <x:c r="C1" s="3"/>
      <x:c r="D1" s="3"/>
      <x:c r="E1" s="3"/>
      <x:c r="F1" s="3"/>
    </x:row>
    <x:row r="2" ht="33" customHeight="1">
      <x:c r="A2" s="7" t="str">
        <x:v>Không cộng trung bình để bù lỗi bảo mật. Chỉ PASS khi có bằng chứng đúng scope.</x:v>
      </x:c>
      <x:c r="B2" s="7"/>
      <x:c r="C2" s="7"/>
      <x:c r="D2" s="7"/>
      <x:c r="E2" s="7"/>
      <x:c r="F2" s="7"/>
    </x:row>
    <x:row r="4" ht="36" customHeight="1">
      <x:c r="A4" s="68" t="str">
        <x:v>ID</x:v>
      </x:c>
      <x:c r="B4" s="68" t="str">
        <x:v>Cổng</x:v>
      </x:c>
      <x:c r="C4" s="68" t="str">
        <x:v>Vai trò</x:v>
      </x:c>
      <x:c r="D4" s="68" t="str">
        <x:v>Evidence status</x:v>
      </x:c>
      <x:c r="E4" s="68" t="str">
        <x:v>Phạm vi</x:v>
      </x:c>
      <x:c r="F4" s="68" t="str">
        <x:v>Evidence</x:v>
      </x:c>
      <x:c r="G4" s="68" t="str">
        <x:v>FPOS</x:v>
      </x:c>
    </x:row>
    <x:row r="5" ht="96" hidden="0" customHeight="1">
      <x:c r="A5" s="56" t="str">
        <x:v>G01</x:v>
      </x:c>
      <x:c r="B5" s="56" t="str">
        <x:v>Source &amp; Release</x:v>
      </x:c>
      <x:c r="C5" s="56" t="str">
        <x:v>Tech Lead</x:v>
      </x:c>
      <x:c r="D5" s="57" t="str">
        <x:v>NOT_CHECKED</x:v>
      </x:c>
      <x:c r="E5" s="56" t="str">
        <x:v>paid_beta</x:v>
      </x:c>
      <x:c r="F5" s="57"/>
      <x:c r="G5" s="56" t="str">
        <x:v>RG0
RG2
RG4
RG5
RG9
RG10
RG11
RG13</x:v>
      </x:c>
    </x:row>
    <x:row r="6" ht="36" hidden="0" customHeight="1">
      <x:c r="A6" s="56" t="str">
        <x:v>G02</x:v>
      </x:c>
      <x:c r="B6" s="56" t="str">
        <x:v>Authentication</x:v>
      </x:c>
      <x:c r="C6" s="56" t="str">
        <x:v>Backend + Security</x:v>
      </x:c>
      <x:c r="D6" s="57" t="str">
        <x:v>NOT_CHECKED</x:v>
      </x:c>
      <x:c r="E6" s="56" t="str">
        <x:v>paid_beta</x:v>
      </x:c>
      <x:c r="F6" s="57"/>
      <x:c r="G6" s="56" t="str">
        <x:v>RG7
RG8
RG11</x:v>
      </x:c>
    </x:row>
    <x:row r="7" ht="36" hidden="0" customHeight="1">
      <x:c r="A7" s="56" t="str">
        <x:v>G03</x:v>
      </x:c>
      <x:c r="B7" s="56" t="str">
        <x:v>Authorization</x:v>
      </x:c>
      <x:c r="C7" s="56" t="str">
        <x:v>Security + QA</x:v>
      </x:c>
      <x:c r="D7" s="57" t="str">
        <x:v>NOT_CHECKED</x:v>
      </x:c>
      <x:c r="E7" s="56" t="str">
        <x:v>paid_beta</x:v>
      </x:c>
      <x:c r="F7" s="57"/>
      <x:c r="G7" s="56" t="str">
        <x:v>RG7
RG8
RG11</x:v>
      </x:c>
    </x:row>
    <x:row r="8" ht="48" hidden="0" customHeight="1">
      <x:c r="A8" s="56" t="str">
        <x:v>G04</x:v>
      </x:c>
      <x:c r="B8" s="56" t="str">
        <x:v>Legal &amp; Purpose</x:v>
      </x:c>
      <x:c r="C8" s="56" t="str">
        <x:v>Legal + Privacy</x:v>
      </x:c>
      <x:c r="D8" s="57" t="str">
        <x:v>NOT_CHECKED</x:v>
      </x:c>
      <x:c r="E8" s="56" t="str">
        <x:v>paid_beta</x:v>
      </x:c>
      <x:c r="F8" s="57"/>
      <x:c r="G8" s="56" t="str">
        <x:v>RG1
RG6
RG10
RG13</x:v>
      </x:c>
    </x:row>
    <x:row r="9" ht="24" hidden="0" customHeight="1">
      <x:c r="A9" s="56" t="str">
        <x:v>G05</x:v>
      </x:c>
      <x:c r="B9" s="56" t="str">
        <x:v>Retention &amp; Deletion</x:v>
      </x:c>
      <x:c r="C9" s="56" t="str">
        <x:v>Data + Privacy</x:v>
      </x:c>
      <x:c r="D9" s="57" t="str">
        <x:v>NOT_CHECKED</x:v>
      </x:c>
      <x:c r="E9" s="56" t="str">
        <x:v>paid_beta</x:v>
      </x:c>
      <x:c r="F9" s="57"/>
      <x:c r="G9" s="56" t="str">
        <x:v>RG7
RG12</x:v>
      </x:c>
    </x:row>
    <x:row r="10" ht="60" hidden="0" customHeight="1">
      <x:c r="A10" s="56" t="str">
        <x:v>G06</x:v>
      </x:c>
      <x:c r="B10" s="56" t="str">
        <x:v>Methods &amp; Claims</x:v>
      </x:c>
      <x:c r="C10" s="56" t="str">
        <x:v>Method Council</x:v>
      </x:c>
      <x:c r="D10" s="57" t="str">
        <x:v>NOT_CHECKED</x:v>
      </x:c>
      <x:c r="E10" s="56" t="str">
        <x:v>paid_beta</x:v>
      </x:c>
      <x:c r="F10" s="57"/>
      <x:c r="G10" s="56" t="str">
        <x:v>RG1
RG2
RG3
RG6
RG7</x:v>
      </x:c>
    </x:row>
    <x:row r="11" ht="36" hidden="0" customHeight="1">
      <x:c r="A11" s="56" t="str">
        <x:v>G07</x:v>
      </x:c>
      <x:c r="B11" s="56" t="str">
        <x:v>Legacy &amp; Migration</x:v>
      </x:c>
      <x:c r="C11" s="56" t="str">
        <x:v>Data Lead</x:v>
      </x:c>
      <x:c r="D11" s="57" t="str">
        <x:v>NOT_CHECKED</x:v>
      </x:c>
      <x:c r="E11" s="56" t="str">
        <x:v>paid_beta</x:v>
      </x:c>
      <x:c r="F11" s="57"/>
      <x:c r="G11" s="56" t="str">
        <x:v>RG7
RG9
RG12</x:v>
      </x:c>
    </x:row>
    <x:row r="12" ht="36" hidden="0" customHeight="1">
      <x:c r="A12" s="56" t="str">
        <x:v>G08</x:v>
      </x:c>
      <x:c r="B12" s="56" t="str">
        <x:v>Reports &amp; AI</x:v>
      </x:c>
      <x:c r="C12" s="56" t="str">
        <x:v>Editorial + AI</x:v>
      </x:c>
      <x:c r="D12" s="57" t="str">
        <x:v>NOT_CHECKED</x:v>
      </x:c>
      <x:c r="E12" s="56" t="str">
        <x:v>paid_beta</x:v>
      </x:c>
      <x:c r="F12" s="57"/>
      <x:c r="G12" s="56" t="str">
        <x:v>RG2
RG3
RG8</x:v>
      </x:c>
    </x:row>
    <x:row r="13" ht="24" hidden="0" customHeight="1">
      <x:c r="A13" s="56" t="str">
        <x:v>G09</x:v>
      </x:c>
      <x:c r="B13" s="56" t="str">
        <x:v>Commerce</x:v>
      </x:c>
      <x:c r="C13" s="56" t="str">
        <x:v>Commerce + QA</x:v>
      </x:c>
      <x:c r="D13" s="57" t="str">
        <x:v>NOT_CHECKED</x:v>
      </x:c>
      <x:c r="E13" s="56" t="str">
        <x:v>paid_beta</x:v>
      </x:c>
      <x:c r="F13" s="57"/>
      <x:c r="G13" s="56" t="str">
        <x:v>RG7
RG9</x:v>
      </x:c>
    </x:row>
    <x:row r="14" ht="36" hidden="0" customHeight="1">
      <x:c r="A14" s="56" t="str">
        <x:v>G10</x:v>
      </x:c>
      <x:c r="B14" s="56" t="str">
        <x:v>Reliability</x:v>
      </x:c>
      <x:c r="C14" s="56" t="str">
        <x:v>SRE</x:v>
      </x:c>
      <x:c r="D14" s="57" t="str">
        <x:v>NOT_CHECKED</x:v>
      </x:c>
      <x:c r="E14" s="56" t="str">
        <x:v>paid_beta</x:v>
      </x:c>
      <x:c r="F14" s="57"/>
      <x:c r="G14" s="56" t="str">
        <x:v>RG4
RG9
RG11</x:v>
      </x:c>
    </x:row>
    <x:row r="15" ht="24" hidden="0" customHeight="1">
      <x:c r="A15" s="56" t="str">
        <x:v>G11</x:v>
      </x:c>
      <x:c r="B15" s="56" t="str">
        <x:v>Security Review</x:v>
      </x:c>
      <x:c r="C15" s="56" t="str">
        <x:v>Independent Security</x:v>
      </x:c>
      <x:c r="D15" s="57" t="str">
        <x:v>NOT_CHECKED</x:v>
      </x:c>
      <x:c r="E15" s="56" t="str">
        <x:v>paid_beta</x:v>
      </x:c>
      <x:c r="F15" s="57"/>
      <x:c r="G15" s="56" t="str">
        <x:v>RG5
RG8</x:v>
      </x:c>
    </x:row>
    <x:row r="16" ht="60" hidden="0" customHeight="1">
      <x:c r="A16" s="56" t="str">
        <x:v>G12</x:v>
      </x:c>
      <x:c r="B16" s="56" t="str">
        <x:v>Operations &amp; Pilot</x:v>
      </x:c>
      <x:c r="C16" s="56" t="str">
        <x:v>Program + Founder</x:v>
      </x:c>
      <x:c r="D16" s="57" t="str">
        <x:v>NOT_CHECKED</x:v>
      </x:c>
      <x:c r="E16" s="56" t="str">
        <x:v>paid_beta</x:v>
      </x:c>
      <x:c r="F16" s="57"/>
      <x:c r="G16" s="56" t="str">
        <x:v>RG1
RG6
RG10
RG12
RG13</x:v>
      </x:c>
    </x:row>
    <x:row r="17" ht="15" hidden="0" customHeight="1">
      <x:c r="A17" s="70"/>
      <x:c r="B17" s="70"/>
      <x:c r="C17" s="70"/>
      <x:c r="D17" s="70"/>
      <x:c r="E17" s="70"/>
      <x:c r="F17" s="70"/>
      <x:c r="G17" s="70"/>
    </x:row>
    <x:row r="18" ht="15" hidden="0" customHeight="1">
      <x:c r="A18" s="70"/>
      <x:c r="B18" s="70"/>
      <x:c r="C18" s="70"/>
      <x:c r="D18" s="70"/>
      <x:c r="E18" s="70"/>
      <x:c r="F18" s="70"/>
      <x:c r="G18" s="70"/>
    </x:row>
    <x:row r="19" ht="15" hidden="0" customHeight="1">
      <x:c r="A19" s="70"/>
      <x:c r="B19" s="70"/>
      <x:c r="C19" s="70"/>
      <x:c r="D19" s="70"/>
      <x:c r="E19" s="70"/>
      <x:c r="F19" s="70"/>
      <x:c r="G19" s="70"/>
    </x:row>
    <x:row r="20" ht="15" hidden="0" customHeight="1">
      <x:c r="A20" s="70"/>
      <x:c r="B20" s="70"/>
      <x:c r="C20" s="70"/>
      <x:c r="D20" s="70"/>
      <x:c r="E20" s="70"/>
      <x:c r="F20" s="70"/>
      <x:c r="G20" s="70"/>
    </x:row>
    <x:row r="21" ht="15" hidden="0" customHeight="1">
      <x:c r="A21" s="70"/>
      <x:c r="B21" s="70"/>
      <x:c r="C21" s="70"/>
      <x:c r="D21" s="70"/>
      <x:c r="E21" s="70"/>
      <x:c r="F21" s="70"/>
      <x:c r="G21" s="70"/>
    </x:row>
    <x:row r="22" ht="15" hidden="0" customHeight="1">
      <x:c r="A22" s="70"/>
      <x:c r="B22" s="70"/>
      <x:c r="C22" s="70"/>
      <x:c r="D22" s="70"/>
      <x:c r="E22" s="70"/>
      <x:c r="F22" s="70"/>
      <x:c r="G22" s="70"/>
    </x:row>
    <x:row r="23" ht="15" hidden="0" customHeight="1">
      <x:c r="A23" s="70"/>
      <x:c r="B23" s="70"/>
      <x:c r="C23" s="70"/>
      <x:c r="D23" s="70"/>
      <x:c r="E23" s="70"/>
      <x:c r="F23" s="70"/>
      <x:c r="G23" s="70"/>
    </x:row>
    <x:row r="24" ht="15" hidden="0" customHeight="1">
      <x:c r="A24" s="70"/>
      <x:c r="B24" s="70"/>
      <x:c r="C24" s="70"/>
      <x:c r="D24" s="70"/>
      <x:c r="E24" s="70"/>
      <x:c r="F24" s="70"/>
      <x:c r="G24" s="70"/>
    </x:row>
    <x:row r="25" ht="15" hidden="0" customHeight="1">
      <x:c r="A25" s="70"/>
      <x:c r="B25" s="70"/>
      <x:c r="C25" s="70"/>
      <x:c r="D25" s="70"/>
      <x:c r="E25" s="70"/>
      <x:c r="F25" s="70"/>
      <x:c r="G25" s="70"/>
    </x:row>
    <x:row r="26" ht="15" hidden="0" customHeight="1">
      <x:c r="A26" s="70"/>
      <x:c r="B26" s="70"/>
      <x:c r="C26" s="70"/>
      <x:c r="D26" s="70"/>
      <x:c r="E26" s="70"/>
      <x:c r="F26" s="70"/>
      <x:c r="G26" s="70"/>
    </x:row>
    <x:row r="27" ht="15" hidden="0" customHeight="1">
      <x:c r="A27" s="70"/>
      <x:c r="B27" s="70"/>
      <x:c r="C27" s="70"/>
      <x:c r="D27" s="70"/>
      <x:c r="E27" s="70"/>
      <x:c r="F27" s="70"/>
      <x:c r="G27" s="70"/>
    </x:row>
    <x:row r="28" ht="15" hidden="0" customHeight="1">
      <x:c r="A28" s="70"/>
      <x:c r="B28" s="70"/>
      <x:c r="C28" s="70"/>
      <x:c r="D28" s="70"/>
      <x:c r="E28" s="70"/>
      <x:c r="F28" s="70"/>
      <x:c r="G28" s="70"/>
    </x:row>
    <x:row r="29" ht="15" hidden="0" customHeight="1">
      <x:c r="A29" s="70"/>
      <x:c r="B29" s="70"/>
      <x:c r="C29" s="70"/>
      <x:c r="D29" s="70"/>
      <x:c r="E29" s="70"/>
      <x:c r="F29" s="70"/>
      <x:c r="G29" s="70"/>
    </x:row>
    <x:row r="30" ht="15" hidden="0" customHeight="1">
      <x:c r="A30" s="70"/>
      <x:c r="B30" s="70"/>
      <x:c r="C30" s="70"/>
      <x:c r="D30" s="70"/>
      <x:c r="E30" s="70"/>
      <x:c r="F30" s="70"/>
      <x:c r="G30" s="70"/>
    </x:row>
    <x:row r="31" ht="15" hidden="0" customHeight="1">
      <x:c r="A31" s="70"/>
      <x:c r="B31" s="70"/>
      <x:c r="C31" s="70"/>
      <x:c r="D31" s="70"/>
      <x:c r="E31" s="70"/>
      <x:c r="F31" s="70"/>
      <x:c r="G31" s="70"/>
    </x:row>
    <x:row r="32" ht="15" hidden="0" customHeight="1">
      <x:c r="A32" s="70"/>
      <x:c r="B32" s="70"/>
      <x:c r="C32" s="70"/>
      <x:c r="D32" s="70"/>
      <x:c r="E32" s="70"/>
      <x:c r="F32" s="70"/>
      <x:c r="G32" s="70"/>
    </x:row>
    <x:row r="33" ht="15" hidden="0" customHeight="1">
      <x:c r="A33" s="70"/>
      <x:c r="B33" s="70"/>
      <x:c r="C33" s="70"/>
      <x:c r="D33" s="70"/>
      <x:c r="E33" s="70"/>
      <x:c r="F33" s="70"/>
      <x:c r="G33" s="70"/>
    </x:row>
    <x:row r="34" ht="15" hidden="0" customHeight="1">
      <x:c r="A34" s="70"/>
      <x:c r="B34" s="70"/>
      <x:c r="C34" s="70"/>
      <x:c r="D34" s="70"/>
      <x:c r="E34" s="70"/>
      <x:c r="F34" s="70"/>
      <x:c r="G34" s="70"/>
    </x:row>
    <x:row r="35" ht="15" hidden="0" customHeight="1">
      <x:c r="A35" s="70"/>
      <x:c r="B35" s="70"/>
      <x:c r="C35" s="70"/>
      <x:c r="D35" s="70"/>
      <x:c r="E35" s="70"/>
      <x:c r="F35" s="70"/>
      <x:c r="G35" s="70"/>
    </x:row>
    <x:row r="36" ht="15" hidden="0" customHeight="1">
      <x:c r="A36" s="70"/>
      <x:c r="B36" s="70"/>
      <x:c r="C36" s="70"/>
      <x:c r="D36" s="70"/>
      <x:c r="E36" s="70"/>
      <x:c r="F36" s="70"/>
      <x:c r="G36" s="70"/>
    </x:row>
    <x:row r="37" ht="15" hidden="0" customHeight="1">
      <x:c r="A37" s="70"/>
      <x:c r="B37" s="70"/>
      <x:c r="C37" s="70"/>
      <x:c r="D37" s="70"/>
      <x:c r="E37" s="70"/>
      <x:c r="F37" s="70"/>
      <x:c r="G37" s="70"/>
    </x:row>
    <x:row r="38" ht="15" hidden="0" customHeight="1">
      <x:c r="A38" s="70"/>
      <x:c r="B38" s="70"/>
      <x:c r="C38" s="70"/>
      <x:c r="D38" s="70"/>
      <x:c r="E38" s="70"/>
      <x:c r="F38" s="70"/>
      <x:c r="G38" s="70"/>
    </x:row>
    <x:row r="39" ht="15" hidden="0" customHeight="1">
      <x:c r="A39" s="70"/>
      <x:c r="B39" s="70"/>
      <x:c r="C39" s="70"/>
      <x:c r="D39" s="70"/>
      <x:c r="E39" s="70"/>
      <x:c r="F39" s="70"/>
      <x:c r="G39" s="70"/>
    </x:row>
    <x:row r="40" ht="15" hidden="0" customHeight="1">
      <x:c r="A40" s="70"/>
      <x:c r="B40" s="70"/>
      <x:c r="C40" s="70"/>
      <x:c r="D40" s="70"/>
      <x:c r="E40" s="70"/>
      <x:c r="F40" s="70"/>
      <x:c r="G40" s="70"/>
    </x:row>
    <x:row r="41" ht="15" hidden="0" customHeight="1">
      <x:c r="A41" s="70"/>
      <x:c r="B41" s="70"/>
      <x:c r="C41" s="70"/>
      <x:c r="D41" s="70"/>
      <x:c r="E41" s="70"/>
      <x:c r="F41" s="70"/>
      <x:c r="G41" s="70"/>
    </x:row>
    <x:row r="42" ht="15" hidden="0" customHeight="1">
      <x:c r="A42" s="70"/>
      <x:c r="B42" s="70"/>
      <x:c r="C42" s="70"/>
      <x:c r="D42" s="70"/>
      <x:c r="E42" s="70"/>
      <x:c r="F42" s="70"/>
      <x:c r="G42" s="70"/>
    </x:row>
    <x:row r="43" ht="15" hidden="0" customHeight="1">
      <x:c r="A43" s="70"/>
      <x:c r="B43" s="70"/>
      <x:c r="C43" s="70"/>
      <x:c r="D43" s="70"/>
      <x:c r="E43" s="70"/>
      <x:c r="F43" s="70"/>
      <x:c r="G43" s="70"/>
    </x:row>
    <x:row r="44" ht="15" hidden="0" customHeight="1">
      <x:c r="A44" s="70"/>
      <x:c r="B44" s="70"/>
      <x:c r="C44" s="70"/>
      <x:c r="D44" s="70"/>
      <x:c r="E44" s="70"/>
      <x:c r="F44" s="70"/>
      <x:c r="G44" s="70"/>
    </x:row>
    <x:row r="45" ht="15" hidden="0" customHeight="1">
      <x:c r="A45" s="70"/>
      <x:c r="B45" s="70"/>
      <x:c r="C45" s="70"/>
      <x:c r="D45" s="70"/>
      <x:c r="E45" s="70"/>
      <x:c r="F45" s="70"/>
      <x:c r="G45" s="70"/>
    </x:row>
    <x:row r="46" ht="15" hidden="0" customHeight="1">
      <x:c r="A46" s="70"/>
      <x:c r="B46" s="70"/>
      <x:c r="C46" s="70"/>
      <x:c r="D46" s="70"/>
      <x:c r="E46" s="70"/>
      <x:c r="F46" s="70"/>
      <x:c r="G46" s="70"/>
    </x:row>
    <x:row r="47" ht="15" hidden="0" customHeight="1">
      <x:c r="A47" s="70"/>
      <x:c r="B47" s="70"/>
      <x:c r="C47" s="70"/>
      <x:c r="D47" s="70"/>
      <x:c r="E47" s="70"/>
      <x:c r="F47" s="70"/>
      <x:c r="G47" s="70"/>
    </x:row>
    <x:row r="48" ht="15" hidden="0" customHeight="1">
      <x:c r="A48" s="70"/>
      <x:c r="B48" s="70"/>
      <x:c r="C48" s="70"/>
      <x:c r="D48" s="70"/>
      <x:c r="E48" s="70"/>
      <x:c r="F48" s="70"/>
      <x:c r="G48" s="70"/>
    </x:row>
    <x:row r="49" ht="15" hidden="0" customHeight="1">
      <x:c r="A49" s="70"/>
      <x:c r="B49" s="70"/>
      <x:c r="C49" s="70"/>
      <x:c r="D49" s="70"/>
      <x:c r="E49" s="70"/>
      <x:c r="F49" s="70"/>
      <x:c r="G49" s="70"/>
    </x:row>
    <x:row r="50" ht="15" hidden="0" customHeight="1">
      <x:c r="A50" s="70"/>
      <x:c r="B50" s="70"/>
      <x:c r="C50" s="70"/>
      <x:c r="D50" s="70"/>
      <x:c r="E50" s="70"/>
      <x:c r="F50" s="70"/>
      <x:c r="G50" s="70"/>
    </x:row>
    <x:row r="51" ht="15" hidden="0" customHeight="1">
      <x:c r="A51" s="70"/>
      <x:c r="B51" s="70"/>
      <x:c r="C51" s="70"/>
      <x:c r="D51" s="70"/>
      <x:c r="E51" s="70"/>
      <x:c r="F51" s="70"/>
      <x:c r="G51" s="70"/>
    </x:row>
    <x:row r="52" ht="15" hidden="0" customHeight="1">
      <x:c r="A52" s="70"/>
      <x:c r="B52" s="70"/>
      <x:c r="C52" s="70"/>
      <x:c r="D52" s="70"/>
      <x:c r="E52" s="70"/>
      <x:c r="F52" s="70"/>
      <x:c r="G52" s="70"/>
    </x:row>
    <x:row r="53" ht="15" hidden="0" customHeight="1">
      <x:c r="A53" s="70"/>
      <x:c r="B53" s="70"/>
      <x:c r="C53" s="70"/>
      <x:c r="D53" s="70"/>
      <x:c r="E53" s="70"/>
      <x:c r="F53" s="70"/>
      <x:c r="G53" s="70"/>
    </x:row>
    <x:row r="54" ht="15" hidden="0" customHeight="1">
      <x:c r="A54" s="70"/>
      <x:c r="B54" s="70"/>
      <x:c r="C54" s="70"/>
      <x:c r="D54" s="70"/>
      <x:c r="E54" s="70"/>
      <x:c r="F54" s="70"/>
      <x:c r="G54" s="70"/>
    </x:row>
    <x:row r="55" ht="15" hidden="0" customHeight="1">
      <x:c r="A55" s="70"/>
      <x:c r="B55" s="70"/>
      <x:c r="C55" s="70"/>
      <x:c r="D55" s="70"/>
      <x:c r="E55" s="70"/>
      <x:c r="F55" s="70"/>
      <x:c r="G55" s="70"/>
    </x:row>
    <x:row r="56" ht="15" hidden="0" customHeight="1">
      <x:c r="A56" s="70"/>
      <x:c r="B56" s="70"/>
      <x:c r="C56" s="70"/>
      <x:c r="D56" s="70"/>
      <x:c r="E56" s="70"/>
      <x:c r="F56" s="70"/>
      <x:c r="G56" s="70"/>
    </x:row>
    <x:row r="57" ht="15" hidden="0" customHeight="1">
      <x:c r="A57" s="70"/>
      <x:c r="B57" s="70"/>
      <x:c r="C57" s="70"/>
      <x:c r="D57" s="70"/>
      <x:c r="E57" s="70"/>
      <x:c r="F57" s="70"/>
      <x:c r="G57" s="70"/>
    </x:row>
    <x:row r="58" ht="15" hidden="0" customHeight="1">
      <x:c r="A58" s="70"/>
      <x:c r="B58" s="70"/>
      <x:c r="C58" s="70"/>
      <x:c r="D58" s="70"/>
      <x:c r="E58" s="70"/>
      <x:c r="F58" s="70"/>
      <x:c r="G58" s="70"/>
    </x:row>
    <x:row r="59" ht="15" hidden="0" customHeight="1">
      <x:c r="A59" s="70"/>
      <x:c r="B59" s="70"/>
      <x:c r="C59" s="70"/>
      <x:c r="D59" s="70"/>
      <x:c r="E59" s="70"/>
      <x:c r="F59" s="70"/>
      <x:c r="G59" s="70"/>
    </x:row>
    <x:row r="60" ht="15" hidden="0" customHeight="1">
      <x:c r="A60" s="70"/>
      <x:c r="B60" s="70"/>
      <x:c r="C60" s="70"/>
      <x:c r="D60" s="70"/>
      <x:c r="E60" s="70"/>
      <x:c r="F60" s="70"/>
      <x:c r="G60" s="70"/>
    </x:row>
    <x:row r="61" ht="15" hidden="0" customHeight="1">
      <x:c r="A61" s="70"/>
      <x:c r="B61" s="70"/>
      <x:c r="C61" s="70"/>
      <x:c r="D61" s="70"/>
      <x:c r="E61" s="70"/>
      <x:c r="F61" s="70"/>
      <x:c r="G61" s="70"/>
    </x:row>
    <x:row r="62" ht="15" hidden="0" customHeight="1">
      <x:c r="A62" s="70"/>
      <x:c r="B62" s="70"/>
      <x:c r="C62" s="70"/>
      <x:c r="D62" s="70"/>
      <x:c r="E62" s="70"/>
      <x:c r="F62" s="70"/>
      <x:c r="G62" s="70"/>
    </x:row>
    <x:row r="63" ht="15" hidden="0" customHeight="1">
      <x:c r="A63" s="70"/>
      <x:c r="B63" s="70"/>
      <x:c r="C63" s="70"/>
      <x:c r="D63" s="70"/>
      <x:c r="E63" s="70"/>
      <x:c r="F63" s="70"/>
      <x:c r="G63" s="70"/>
    </x:row>
    <x:row r="64" ht="15" hidden="0" customHeight="1">
      <x:c r="A64" s="70"/>
      <x:c r="B64" s="70"/>
      <x:c r="C64" s="70"/>
      <x:c r="D64" s="70"/>
      <x:c r="E64" s="70"/>
      <x:c r="F64" s="70"/>
      <x:c r="G64" s="70"/>
    </x:row>
    <x:row r="65" ht="15" hidden="0" customHeight="1">
      <x:c r="A65" s="70"/>
      <x:c r="B65" s="70"/>
      <x:c r="C65" s="70"/>
      <x:c r="D65" s="70"/>
      <x:c r="E65" s="70"/>
      <x:c r="F65" s="70"/>
      <x:c r="G65" s="70"/>
    </x:row>
    <x:row r="66" ht="15" hidden="0" customHeight="1">
      <x:c r="A66" s="70"/>
      <x:c r="B66" s="70"/>
      <x:c r="C66" s="70"/>
      <x:c r="D66" s="70"/>
      <x:c r="E66" s="70"/>
      <x:c r="F66" s="70"/>
      <x:c r="G66" s="70"/>
    </x:row>
    <x:row r="67" ht="15" hidden="0" customHeight="1">
      <x:c r="A67" s="70"/>
      <x:c r="B67" s="70"/>
      <x:c r="C67" s="70"/>
      <x:c r="D67" s="70"/>
      <x:c r="E67" s="70"/>
      <x:c r="F67" s="70"/>
      <x:c r="G67" s="70"/>
    </x:row>
    <x:row r="68" ht="15" hidden="0" customHeight="1">
      <x:c r="A68" s="70"/>
      <x:c r="B68" s="70"/>
      <x:c r="C68" s="70"/>
      <x:c r="D68" s="70"/>
      <x:c r="E68" s="70"/>
      <x:c r="F68" s="70"/>
      <x:c r="G68" s="70"/>
    </x:row>
    <x:row r="69" ht="15" hidden="0" customHeight="1">
      <x:c r="A69" s="70"/>
      <x:c r="B69" s="70"/>
      <x:c r="C69" s="70"/>
      <x:c r="D69" s="70"/>
      <x:c r="E69" s="70"/>
      <x:c r="F69" s="70"/>
      <x:c r="G69" s="70"/>
    </x:row>
    <x:row r="70" ht="15" hidden="0" customHeight="1">
      <x:c r="A70" s="70"/>
      <x:c r="B70" s="70"/>
      <x:c r="C70" s="70"/>
      <x:c r="D70" s="70"/>
      <x:c r="E70" s="70"/>
      <x:c r="F70" s="70"/>
      <x:c r="G70" s="70"/>
    </x:row>
    <x:row r="71" ht="15" hidden="0" customHeight="1">
      <x:c r="A71" s="70"/>
      <x:c r="B71" s="70"/>
      <x:c r="C71" s="70"/>
      <x:c r="D71" s="70"/>
      <x:c r="E71" s="70"/>
      <x:c r="F71" s="70"/>
      <x:c r="G71" s="70"/>
    </x:row>
    <x:row r="72" ht="15" hidden="0" customHeight="1">
      <x:c r="A72" s="70"/>
      <x:c r="B72" s="70"/>
      <x:c r="C72" s="70"/>
      <x:c r="D72" s="70"/>
      <x:c r="E72" s="70"/>
      <x:c r="F72" s="70"/>
      <x:c r="G72" s="70"/>
    </x:row>
    <x:row r="73" ht="15" hidden="0" customHeight="1">
      <x:c r="A73" s="70"/>
      <x:c r="B73" s="70"/>
      <x:c r="C73" s="70"/>
      <x:c r="D73" s="70"/>
      <x:c r="E73" s="70"/>
      <x:c r="F73" s="70"/>
      <x:c r="G73" s="70"/>
    </x:row>
    <x:row r="74" ht="15" hidden="0" customHeight="1">
      <x:c r="A74" s="70"/>
      <x:c r="B74" s="70"/>
      <x:c r="C74" s="70"/>
      <x:c r="D74" s="70"/>
      <x:c r="E74" s="70"/>
      <x:c r="F74" s="70"/>
      <x:c r="G74" s="70"/>
    </x:row>
    <x:row r="75" ht="15" hidden="0" customHeight="1">
      <x:c r="A75" s="70"/>
      <x:c r="B75" s="70"/>
      <x:c r="C75" s="70"/>
      <x:c r="D75" s="70"/>
      <x:c r="E75" s="70"/>
      <x:c r="F75" s="70"/>
      <x:c r="G75" s="70"/>
    </x:row>
    <x:row r="76" ht="15" hidden="0" customHeight="1">
      <x:c r="A76" s="70"/>
      <x:c r="B76" s="70"/>
      <x:c r="C76" s="70"/>
      <x:c r="D76" s="70"/>
      <x:c r="E76" s="70"/>
      <x:c r="F76" s="70"/>
      <x:c r="G76" s="70"/>
    </x:row>
    <x:row r="77" ht="15" hidden="0" customHeight="1">
      <x:c r="A77" s="70"/>
      <x:c r="B77" s="70"/>
      <x:c r="C77" s="70"/>
      <x:c r="D77" s="70"/>
      <x:c r="E77" s="70"/>
      <x:c r="F77" s="70"/>
      <x:c r="G77" s="70"/>
    </x:row>
    <x:row r="78" ht="15" hidden="0" customHeight="1">
      <x:c r="A78" s="70"/>
      <x:c r="B78" s="70"/>
      <x:c r="C78" s="70"/>
      <x:c r="D78" s="70"/>
      <x:c r="E78" s="70"/>
      <x:c r="F78" s="70"/>
      <x:c r="G78" s="70"/>
    </x:row>
    <x:row r="79" ht="15" hidden="0" customHeight="1">
      <x:c r="A79" s="70"/>
      <x:c r="B79" s="70"/>
      <x:c r="C79" s="70"/>
      <x:c r="D79" s="70"/>
      <x:c r="E79" s="70"/>
      <x:c r="F79" s="70"/>
      <x:c r="G79" s="70"/>
    </x:row>
    <x:row r="80" ht="15" hidden="0" customHeight="1">
      <x:c r="A80" s="70"/>
      <x:c r="B80" s="70"/>
      <x:c r="C80" s="70"/>
      <x:c r="D80" s="70"/>
      <x:c r="E80" s="70"/>
      <x:c r="F80" s="70"/>
      <x:c r="G80" s="70"/>
    </x:row>
    <x:row r="81" ht="15" hidden="0" customHeight="1">
      <x:c r="A81" s="70"/>
      <x:c r="B81" s="70"/>
      <x:c r="C81" s="70"/>
      <x:c r="D81" s="70"/>
      <x:c r="E81" s="70"/>
      <x:c r="F81" s="70"/>
      <x:c r="G81" s="70"/>
    </x:row>
    <x:row r="82" ht="15" hidden="0" customHeight="1">
      <x:c r="A82" s="70"/>
      <x:c r="B82" s="70"/>
      <x:c r="C82" s="70"/>
      <x:c r="D82" s="70"/>
      <x:c r="E82" s="70"/>
      <x:c r="F82" s="70"/>
      <x:c r="G82" s="70"/>
    </x:row>
    <x:row r="83" ht="15" hidden="0" customHeight="1">
      <x:c r="A83" s="70"/>
      <x:c r="B83" s="70"/>
      <x:c r="C83" s="70"/>
      <x:c r="D83" s="70"/>
      <x:c r="E83" s="70"/>
      <x:c r="F83" s="70"/>
      <x:c r="G83" s="70"/>
    </x:row>
    <x:row r="84" ht="15" hidden="0" customHeight="1">
      <x:c r="A84" s="70"/>
      <x:c r="B84" s="70"/>
      <x:c r="C84" s="70"/>
      <x:c r="D84" s="70"/>
      <x:c r="E84" s="70"/>
      <x:c r="F84" s="70"/>
      <x:c r="G84" s="70"/>
    </x:row>
    <x:row r="85" ht="15" hidden="0" customHeight="1">
      <x:c r="A85" s="70"/>
      <x:c r="B85" s="70"/>
      <x:c r="C85" s="70"/>
      <x:c r="D85" s="70"/>
      <x:c r="E85" s="70"/>
      <x:c r="F85" s="70"/>
      <x:c r="G85" s="70"/>
    </x:row>
    <x:row r="86" ht="15" hidden="0" customHeight="1">
      <x:c r="A86" s="70"/>
      <x:c r="B86" s="70"/>
      <x:c r="C86" s="70"/>
      <x:c r="D86" s="70"/>
      <x:c r="E86" s="70"/>
      <x:c r="F86" s="70"/>
      <x:c r="G86" s="70"/>
    </x:row>
    <x:row r="87" ht="15" hidden="0" customHeight="1">
      <x:c r="A87" s="70"/>
      <x:c r="B87" s="70"/>
      <x:c r="C87" s="70"/>
      <x:c r="D87" s="70"/>
      <x:c r="E87" s="70"/>
      <x:c r="F87" s="70"/>
      <x:c r="G87" s="70"/>
    </x:row>
    <x:row r="88" ht="15" hidden="0" customHeight="1">
      <x:c r="A88" s="70"/>
      <x:c r="B88" s="70"/>
      <x:c r="C88" s="70"/>
      <x:c r="D88" s="70"/>
      <x:c r="E88" s="70"/>
      <x:c r="F88" s="70"/>
      <x:c r="G88" s="70"/>
    </x:row>
    <x:row r="89" ht="15" hidden="0" customHeight="1">
      <x:c r="A89" s="70"/>
      <x:c r="B89" s="70"/>
      <x:c r="C89" s="70"/>
      <x:c r="D89" s="70"/>
      <x:c r="E89" s="70"/>
      <x:c r="F89" s="70"/>
      <x:c r="G89" s="70"/>
    </x:row>
    <x:row r="90" ht="15" hidden="0" customHeight="1">
      <x:c r="A90" s="70"/>
      <x:c r="B90" s="70"/>
      <x:c r="C90" s="70"/>
      <x:c r="D90" s="70"/>
      <x:c r="E90" s="70"/>
      <x:c r="F90" s="70"/>
      <x:c r="G90" s="70"/>
    </x:row>
    <x:row r="91" ht="15" hidden="0" customHeight="1">
      <x:c r="A91" s="70"/>
      <x:c r="B91" s="70"/>
      <x:c r="C91" s="70"/>
      <x:c r="D91" s="70"/>
      <x:c r="E91" s="70"/>
      <x:c r="F91" s="70"/>
      <x:c r="G91" s="70"/>
    </x:row>
    <x:row r="92" ht="15" hidden="0" customHeight="1">
      <x:c r="A92" s="70"/>
      <x:c r="B92" s="70"/>
      <x:c r="C92" s="70"/>
      <x:c r="D92" s="70"/>
      <x:c r="E92" s="70"/>
      <x:c r="F92" s="70"/>
      <x:c r="G92" s="70"/>
    </x:row>
    <x:row r="93" ht="15" hidden="0" customHeight="1">
      <x:c r="A93" s="70"/>
      <x:c r="B93" s="70"/>
      <x:c r="C93" s="70"/>
      <x:c r="D93" s="70"/>
      <x:c r="E93" s="70"/>
      <x:c r="F93" s="70"/>
      <x:c r="G93" s="70"/>
    </x:row>
    <x:row r="94" ht="15" hidden="0" customHeight="1">
      <x:c r="A94" s="70"/>
      <x:c r="B94" s="70"/>
      <x:c r="C94" s="70"/>
      <x:c r="D94" s="70"/>
      <x:c r="E94" s="70"/>
      <x:c r="F94" s="70"/>
      <x:c r="G94" s="70"/>
    </x:row>
    <x:row r="95" ht="15" hidden="0" customHeight="1">
      <x:c r="A95" s="70"/>
      <x:c r="B95" s="70"/>
      <x:c r="C95" s="70"/>
      <x:c r="D95" s="70"/>
      <x:c r="E95" s="70"/>
      <x:c r="F95" s="70"/>
      <x:c r="G95" s="70"/>
    </x:row>
    <x:row r="96" ht="15" hidden="0" customHeight="1">
      <x:c r="A96" s="70"/>
      <x:c r="B96" s="70"/>
      <x:c r="C96" s="70"/>
      <x:c r="D96" s="70"/>
      <x:c r="E96" s="70"/>
      <x:c r="F96" s="70"/>
      <x:c r="G96" s="70"/>
    </x:row>
    <x:row r="97" ht="15" hidden="0" customHeight="1">
      <x:c r="A97" s="70"/>
      <x:c r="B97" s="70"/>
      <x:c r="C97" s="70"/>
      <x:c r="D97" s="70"/>
      <x:c r="E97" s="70"/>
      <x:c r="F97" s="70"/>
      <x:c r="G97" s="70"/>
    </x:row>
    <x:row r="98" ht="15" hidden="0" customHeight="1">
      <x:c r="A98" s="70"/>
      <x:c r="B98" s="70"/>
      <x:c r="C98" s="70"/>
      <x:c r="D98" s="70"/>
      <x:c r="E98" s="70"/>
      <x:c r="F98" s="70"/>
      <x:c r="G98" s="70"/>
    </x:row>
    <x:row r="99" ht="15" hidden="0" customHeight="1">
      <x:c r="A99" s="70"/>
      <x:c r="B99" s="70"/>
      <x:c r="C99" s="70"/>
      <x:c r="D99" s="70"/>
      <x:c r="E99" s="70"/>
      <x:c r="F99" s="70"/>
      <x:c r="G99" s="70"/>
    </x:row>
    <x:row r="100" ht="15" hidden="0" customHeight="1">
      <x:c r="A100" s="70"/>
      <x:c r="B100" s="70"/>
      <x:c r="C100" s="70"/>
      <x:c r="D100" s="70"/>
      <x:c r="E100" s="70"/>
      <x:c r="F100" s="70"/>
      <x:c r="G100" s="70"/>
    </x:row>
    <x:row r="101" ht="15" hidden="0" customHeight="1">
      <x:c r="A101" s="70"/>
      <x:c r="B101" s="70"/>
      <x:c r="C101" s="70"/>
      <x:c r="D101" s="70"/>
      <x:c r="E101" s="70"/>
      <x:c r="F101" s="70"/>
      <x:c r="G101" s="70"/>
    </x:row>
    <x:row r="102" ht="15" hidden="0" customHeight="1">
      <x:c r="A102" s="70"/>
      <x:c r="B102" s="70"/>
      <x:c r="C102" s="70"/>
      <x:c r="D102" s="70"/>
      <x:c r="E102" s="70"/>
      <x:c r="F102" s="70"/>
      <x:c r="G102" s="70"/>
    </x:row>
    <x:row r="103" ht="15" hidden="0" customHeight="1">
      <x:c r="A103" s="70"/>
      <x:c r="B103" s="70"/>
      <x:c r="C103" s="70"/>
      <x:c r="D103" s="70"/>
      <x:c r="E103" s="70"/>
      <x:c r="F103" s="70"/>
      <x:c r="G103" s="70"/>
    </x:row>
    <x:row r="104" ht="15" hidden="0" customHeight="1">
      <x:c r="A104" s="70"/>
      <x:c r="B104" s="70"/>
      <x:c r="C104" s="70"/>
      <x:c r="D104" s="70"/>
      <x:c r="E104" s="70"/>
      <x:c r="F104" s="70"/>
      <x:c r="G104" s="70"/>
    </x:row>
    <x:row r="105" ht="15" hidden="0" customHeight="1">
      <x:c r="A105" s="70"/>
      <x:c r="B105" s="70"/>
      <x:c r="C105" s="70"/>
      <x:c r="D105" s="70"/>
      <x:c r="E105" s="70"/>
      <x:c r="F105" s="70"/>
      <x:c r="G105" s="70"/>
    </x:row>
    <x:row r="106" ht="15" hidden="0" customHeight="1">
      <x:c r="A106" s="70"/>
      <x:c r="B106" s="70"/>
      <x:c r="C106" s="70"/>
      <x:c r="D106" s="70"/>
      <x:c r="E106" s="70"/>
      <x:c r="F106" s="70"/>
      <x:c r="G106" s="70"/>
    </x:row>
    <x:row r="107" ht="15" hidden="0" customHeight="1">
      <x:c r="A107" s="70"/>
      <x:c r="B107" s="70"/>
      <x:c r="C107" s="70"/>
      <x:c r="D107" s="70"/>
      <x:c r="E107" s="70"/>
      <x:c r="F107" s="70"/>
      <x:c r="G107" s="70"/>
    </x:row>
    <x:row r="108" ht="15" hidden="0" customHeight="1">
      <x:c r="A108" s="70"/>
      <x:c r="B108" s="70"/>
      <x:c r="C108" s="70"/>
      <x:c r="D108" s="70"/>
      <x:c r="E108" s="70"/>
      <x:c r="F108" s="70"/>
      <x:c r="G108" s="70"/>
    </x:row>
    <x:row r="109" ht="15" hidden="0" customHeight="1">
      <x:c r="A109" s="70"/>
      <x:c r="B109" s="70"/>
      <x:c r="C109" s="70"/>
      <x:c r="D109" s="70"/>
      <x:c r="E109" s="70"/>
      <x:c r="F109" s="70"/>
      <x:c r="G109" s="70"/>
    </x:row>
    <x:row r="110" ht="15" hidden="0" customHeight="1">
      <x:c r="A110" s="70"/>
      <x:c r="B110" s="70"/>
      <x:c r="C110" s="70"/>
      <x:c r="D110" s="70"/>
      <x:c r="E110" s="70"/>
      <x:c r="F110" s="70"/>
      <x:c r="G110" s="70"/>
    </x:row>
    <x:row r="111" ht="15" hidden="0" customHeight="1">
      <x:c r="A111" s="70"/>
      <x:c r="B111" s="70"/>
      <x:c r="C111" s="70"/>
      <x:c r="D111" s="70"/>
      <x:c r="E111" s="70"/>
      <x:c r="F111" s="70"/>
      <x:c r="G111" s="70"/>
    </x:row>
    <x:row r="112" ht="15" hidden="0" customHeight="1">
      <x:c r="A112" s="70"/>
      <x:c r="B112" s="70"/>
      <x:c r="C112" s="70"/>
      <x:c r="D112" s="70"/>
      <x:c r="E112" s="70"/>
      <x:c r="F112" s="70"/>
      <x:c r="G112" s="70"/>
    </x:row>
    <x:row r="113" ht="15" hidden="0" customHeight="1">
      <x:c r="A113" s="70"/>
      <x:c r="B113" s="70"/>
      <x:c r="C113" s="70"/>
      <x:c r="D113" s="70"/>
      <x:c r="E113" s="70"/>
      <x:c r="F113" s="70"/>
      <x:c r="G113" s="70"/>
    </x:row>
    <x:row r="114" ht="15" hidden="0" customHeight="1">
      <x:c r="A114" s="70"/>
      <x:c r="B114" s="70"/>
      <x:c r="C114" s="70"/>
      <x:c r="D114" s="70"/>
      <x:c r="E114" s="70"/>
      <x:c r="F114" s="70"/>
      <x:c r="G114" s="70"/>
    </x:row>
    <x:row r="115" ht="15" hidden="0" customHeight="1">
      <x:c r="A115" s="70"/>
      <x:c r="B115" s="70"/>
      <x:c r="C115" s="70"/>
      <x:c r="D115" s="70"/>
      <x:c r="E115" s="70"/>
      <x:c r="F115" s="70"/>
      <x:c r="G115" s="70"/>
    </x:row>
    <x:row r="116" ht="15" hidden="0" customHeight="1">
      <x:c r="A116" s="70"/>
      <x:c r="B116" s="70"/>
      <x:c r="C116" s="70"/>
      <x:c r="D116" s="70"/>
      <x:c r="E116" s="70"/>
      <x:c r="F116" s="70"/>
      <x:c r="G116" s="70"/>
    </x:row>
    <x:row r="117" ht="15" hidden="0" customHeight="1">
      <x:c r="A117" s="70"/>
      <x:c r="B117" s="70"/>
      <x:c r="C117" s="70"/>
      <x:c r="D117" s="70"/>
      <x:c r="E117" s="70"/>
      <x:c r="F117" s="70"/>
      <x:c r="G117" s="70"/>
    </x:row>
    <x:row r="118" ht="15" hidden="0" customHeight="1">
      <x:c r="A118" s="70"/>
      <x:c r="B118" s="70"/>
      <x:c r="C118" s="70"/>
      <x:c r="D118" s="70"/>
      <x:c r="E118" s="70"/>
      <x:c r="F118" s="70"/>
      <x:c r="G118" s="70"/>
    </x:row>
    <x:row r="119" ht="15" hidden="0" customHeight="1">
      <x:c r="A119" s="70"/>
      <x:c r="B119" s="70"/>
      <x:c r="C119" s="70"/>
      <x:c r="D119" s="70"/>
      <x:c r="E119" s="70"/>
      <x:c r="F119" s="70"/>
      <x:c r="G119" s="70"/>
    </x:row>
    <x:row r="120" ht="15" hidden="0" customHeight="1">
      <x:c r="A120" s="70"/>
      <x:c r="B120" s="70"/>
      <x:c r="C120" s="70"/>
      <x:c r="D120" s="70"/>
      <x:c r="E120" s="70"/>
      <x:c r="F120" s="70"/>
      <x:c r="G120" s="70"/>
    </x:row>
    <x:row r="121" ht="15" hidden="0" customHeight="1">
      <x:c r="A121" s="70"/>
      <x:c r="B121" s="70"/>
      <x:c r="C121" s="70"/>
      <x:c r="D121" s="70"/>
      <x:c r="E121" s="70"/>
      <x:c r="F121" s="70"/>
      <x:c r="G121" s="70"/>
    </x:row>
    <x:row r="122" ht="15" hidden="0" customHeight="1">
      <x:c r="A122" s="70"/>
      <x:c r="B122" s="70"/>
      <x:c r="C122" s="70"/>
      <x:c r="D122" s="70"/>
      <x:c r="E122" s="70"/>
      <x:c r="F122" s="70"/>
      <x:c r="G122" s="70"/>
    </x:row>
    <x:row r="123" ht="15" hidden="0" customHeight="1">
      <x:c r="A123" s="70"/>
      <x:c r="B123" s="70"/>
      <x:c r="C123" s="70"/>
      <x:c r="D123" s="70"/>
      <x:c r="E123" s="70"/>
      <x:c r="F123" s="70"/>
      <x:c r="G123" s="70"/>
    </x:row>
    <x:row r="124" ht="15" hidden="0" customHeight="1">
      <x:c r="A124" s="70"/>
      <x:c r="B124" s="70"/>
      <x:c r="C124" s="70"/>
      <x:c r="D124" s="70"/>
      <x:c r="E124" s="70"/>
      <x:c r="F124" s="70"/>
      <x:c r="G124" s="70"/>
    </x:row>
    <x:row r="125" ht="15" hidden="0" customHeight="1">
      <x:c r="A125" s="70"/>
      <x:c r="B125" s="70"/>
      <x:c r="C125" s="70"/>
      <x:c r="D125" s="70"/>
      <x:c r="E125" s="70"/>
      <x:c r="F125" s="70"/>
      <x:c r="G125" s="70"/>
    </x:row>
    <x:row r="126" ht="15" hidden="0" customHeight="1">
      <x:c r="A126" s="70"/>
      <x:c r="B126" s="70"/>
      <x:c r="C126" s="70"/>
      <x:c r="D126" s="70"/>
      <x:c r="E126" s="70"/>
      <x:c r="F126" s="70"/>
      <x:c r="G126" s="70"/>
    </x:row>
    <x:row r="127" ht="15" hidden="0" customHeight="1">
      <x:c r="A127" s="70"/>
      <x:c r="B127" s="70"/>
      <x:c r="C127" s="70"/>
      <x:c r="D127" s="70"/>
      <x:c r="E127" s="70"/>
      <x:c r="F127" s="70"/>
      <x:c r="G127" s="70"/>
    </x:row>
    <x:row r="128" ht="15" hidden="0" customHeight="1">
      <x:c r="A128" s="70"/>
      <x:c r="B128" s="70"/>
      <x:c r="C128" s="70"/>
      <x:c r="D128" s="70"/>
      <x:c r="E128" s="70"/>
      <x:c r="F128" s="70"/>
      <x:c r="G128" s="70"/>
    </x:row>
    <x:row r="129" ht="15" hidden="0" customHeight="1">
      <x:c r="A129" s="70"/>
      <x:c r="B129" s="70"/>
      <x:c r="C129" s="70"/>
      <x:c r="D129" s="70"/>
      <x:c r="E129" s="70"/>
      <x:c r="F129" s="70"/>
      <x:c r="G129" s="70"/>
    </x:row>
    <x:row r="130" ht="15" hidden="0" customHeight="1">
      <x:c r="A130" s="70"/>
      <x:c r="B130" s="70"/>
      <x:c r="C130" s="70"/>
      <x:c r="D130" s="70"/>
      <x:c r="E130" s="70"/>
      <x:c r="F130" s="70"/>
      <x:c r="G130" s="70"/>
    </x:row>
    <x:row r="131" ht="15" hidden="0" customHeight="1">
      <x:c r="A131" s="70"/>
      <x:c r="B131" s="70"/>
      <x:c r="C131" s="70"/>
      <x:c r="D131" s="70"/>
      <x:c r="E131" s="70"/>
      <x:c r="F131" s="70"/>
      <x:c r="G131" s="70"/>
    </x:row>
    <x:row r="132" ht="15" hidden="0" customHeight="1">
      <x:c r="A132" s="70"/>
      <x:c r="B132" s="70"/>
      <x:c r="C132" s="70"/>
      <x:c r="D132" s="70"/>
      <x:c r="E132" s="70"/>
      <x:c r="F132" s="70"/>
      <x:c r="G132" s="70"/>
    </x:row>
    <x:row r="133" ht="15" hidden="0" customHeight="1">
      <x:c r="A133" s="70"/>
      <x:c r="B133" s="70"/>
      <x:c r="C133" s="70"/>
      <x:c r="D133" s="70"/>
      <x:c r="E133" s="70"/>
      <x:c r="F133" s="70"/>
      <x:c r="G133" s="70"/>
    </x:row>
    <x:row r="134" ht="15" hidden="0" customHeight="1">
      <x:c r="A134" s="70"/>
      <x:c r="B134" s="70"/>
      <x:c r="C134" s="70"/>
      <x:c r="D134" s="70"/>
      <x:c r="E134" s="70"/>
      <x:c r="F134" s="70"/>
      <x:c r="G134" s="70"/>
    </x:row>
    <x:row r="135" ht="15" hidden="0" customHeight="1">
      <x:c r="A135" s="70"/>
      <x:c r="B135" s="70"/>
      <x:c r="C135" s="70"/>
      <x:c r="D135" s="70"/>
      <x:c r="E135" s="70"/>
      <x:c r="F135" s="70"/>
      <x:c r="G135" s="70"/>
    </x:row>
    <x:row r="136" ht="15" hidden="0" customHeight="1">
      <x:c r="A136" s="70"/>
      <x:c r="B136" s="70"/>
      <x:c r="C136" s="70"/>
      <x:c r="D136" s="70"/>
      <x:c r="E136" s="70"/>
      <x:c r="F136" s="70"/>
      <x:c r="G136" s="70"/>
    </x:row>
    <x:row r="137" ht="15" hidden="0" customHeight="1">
      <x:c r="A137" s="70"/>
      <x:c r="B137" s="70"/>
      <x:c r="C137" s="70"/>
      <x:c r="D137" s="70"/>
      <x:c r="E137" s="70"/>
      <x:c r="F137" s="70"/>
      <x:c r="G137" s="70"/>
    </x:row>
    <x:row r="138" ht="15" hidden="0" customHeight="1">
      <x:c r="A138" s="70"/>
      <x:c r="B138" s="70"/>
      <x:c r="C138" s="70"/>
      <x:c r="D138" s="70"/>
      <x:c r="E138" s="70"/>
      <x:c r="F138" s="70"/>
      <x:c r="G138" s="70"/>
    </x:row>
    <x:row r="139" ht="15" hidden="0" customHeight="1">
      <x:c r="A139" s="70"/>
      <x:c r="B139" s="70"/>
      <x:c r="C139" s="70"/>
      <x:c r="D139" s="70"/>
      <x:c r="E139" s="70"/>
      <x:c r="F139" s="70"/>
      <x:c r="G139" s="70"/>
    </x:row>
    <x:row r="140" ht="15" hidden="0" customHeight="1">
      <x:c r="A140" s="70"/>
      <x:c r="B140" s="70"/>
      <x:c r="C140" s="70"/>
      <x:c r="D140" s="70"/>
      <x:c r="E140" s="70"/>
      <x:c r="F140" s="70"/>
      <x:c r="G140" s="70"/>
    </x:row>
    <x:row r="141" ht="15" hidden="0" customHeight="1">
      <x:c r="A141" s="70"/>
      <x:c r="B141" s="70"/>
      <x:c r="C141" s="70"/>
      <x:c r="D141" s="70"/>
      <x:c r="E141" s="70"/>
      <x:c r="F141" s="70"/>
      <x:c r="G141" s="70"/>
    </x:row>
    <x:row r="142" ht="15" hidden="0" customHeight="1">
      <x:c r="A142" s="70"/>
      <x:c r="B142" s="70"/>
      <x:c r="C142" s="70"/>
      <x:c r="D142" s="70"/>
      <x:c r="E142" s="70"/>
      <x:c r="F142" s="70"/>
      <x:c r="G142" s="70"/>
    </x:row>
    <x:row r="143" ht="15" hidden="0" customHeight="1">
      <x:c r="A143" s="70"/>
      <x:c r="B143" s="70"/>
      <x:c r="C143" s="70"/>
      <x:c r="D143" s="70"/>
      <x:c r="E143" s="70"/>
      <x:c r="F143" s="70"/>
      <x:c r="G143" s="70"/>
    </x:row>
    <x:row r="144" ht="15" hidden="0" customHeight="1">
      <x:c r="A144" s="70"/>
      <x:c r="B144" s="70"/>
      <x:c r="C144" s="70"/>
      <x:c r="D144" s="70"/>
      <x:c r="E144" s="70"/>
      <x:c r="F144" s="70"/>
      <x:c r="G144" s="70"/>
    </x:row>
    <x:row r="145" ht="15" hidden="0" customHeight="1">
      <x:c r="A145" s="70"/>
      <x:c r="B145" s="70"/>
      <x:c r="C145" s="70"/>
      <x:c r="D145" s="70"/>
      <x:c r="E145" s="70"/>
      <x:c r="F145" s="70"/>
      <x:c r="G145" s="70"/>
    </x:row>
    <x:row r="146" ht="15" hidden="0" customHeight="1">
      <x:c r="A146" s="70"/>
      <x:c r="B146" s="70"/>
      <x:c r="C146" s="70"/>
      <x:c r="D146" s="70"/>
      <x:c r="E146" s="70"/>
      <x:c r="F146" s="70"/>
      <x:c r="G146" s="70"/>
    </x:row>
    <x:row r="147" ht="15" hidden="0" customHeight="1">
      <x:c r="A147" s="70"/>
      <x:c r="B147" s="70"/>
      <x:c r="C147" s="70"/>
      <x:c r="D147" s="70"/>
      <x:c r="E147" s="70"/>
      <x:c r="F147" s="70"/>
      <x:c r="G147" s="70"/>
    </x:row>
    <x:row r="148" ht="15" hidden="0" customHeight="1">
      <x:c r="A148" s="70"/>
      <x:c r="B148" s="70"/>
      <x:c r="C148" s="70"/>
      <x:c r="D148" s="70"/>
      <x:c r="E148" s="70"/>
      <x:c r="F148" s="70"/>
      <x:c r="G148" s="70"/>
    </x:row>
    <x:row r="149" ht="15" hidden="0" customHeight="1">
      <x:c r="A149" s="70"/>
      <x:c r="B149" s="70"/>
      <x:c r="C149" s="70"/>
      <x:c r="D149" s="70"/>
      <x:c r="E149" s="70"/>
      <x:c r="F149" s="70"/>
      <x:c r="G149" s="70"/>
    </x:row>
    <x:row r="150" ht="15" hidden="0" customHeight="1">
      <x:c r="A150" s="70"/>
      <x:c r="B150" s="70"/>
      <x:c r="C150" s="70"/>
      <x:c r="D150" s="70"/>
      <x:c r="E150" s="70"/>
      <x:c r="F150" s="70"/>
      <x:c r="G150" s="70"/>
    </x:row>
    <x:row r="151" ht="15" hidden="0" customHeight="1">
      <x:c r="A151" s="70"/>
      <x:c r="B151" s="70"/>
      <x:c r="C151" s="70"/>
      <x:c r="D151" s="70"/>
      <x:c r="E151" s="70"/>
      <x:c r="F151" s="70"/>
      <x:c r="G151" s="70"/>
    </x:row>
    <x:row r="152" ht="15" hidden="0" customHeight="1">
      <x:c r="A152" s="70"/>
      <x:c r="B152" s="70"/>
      <x:c r="C152" s="70"/>
      <x:c r="D152" s="70"/>
      <x:c r="E152" s="70"/>
      <x:c r="F152" s="70"/>
      <x:c r="G152" s="70"/>
    </x:row>
    <x:row r="153" ht="15" hidden="0" customHeight="1">
      <x:c r="A153" s="70"/>
      <x:c r="B153" s="70"/>
      <x:c r="C153" s="70"/>
      <x:c r="D153" s="70"/>
      <x:c r="E153" s="70"/>
      <x:c r="F153" s="70"/>
      <x:c r="G153" s="70"/>
    </x:row>
    <x:row r="154" ht="15" hidden="0" customHeight="1">
      <x:c r="A154" s="70"/>
      <x:c r="B154" s="70"/>
      <x:c r="C154" s="70"/>
      <x:c r="D154" s="70"/>
      <x:c r="E154" s="70"/>
      <x:c r="F154" s="70"/>
      <x:c r="G154" s="70"/>
    </x:row>
    <x:row r="155" ht="15" hidden="0" customHeight="1">
      <x:c r="A155" s="70"/>
      <x:c r="B155" s="70"/>
      <x:c r="C155" s="70"/>
      <x:c r="D155" s="70"/>
      <x:c r="E155" s="70"/>
      <x:c r="F155" s="70"/>
      <x:c r="G155" s="70"/>
    </x:row>
    <x:row r="156" ht="15" hidden="0" customHeight="1">
      <x:c r="A156" s="70"/>
      <x:c r="B156" s="70"/>
      <x:c r="C156" s="70"/>
      <x:c r="D156" s="70"/>
      <x:c r="E156" s="70"/>
      <x:c r="F156" s="70"/>
      <x:c r="G156" s="70"/>
    </x:row>
    <x:row r="157" ht="15" hidden="0" customHeight="1">
      <x:c r="A157" s="70"/>
      <x:c r="B157" s="70"/>
      <x:c r="C157" s="70"/>
      <x:c r="D157" s="70"/>
      <x:c r="E157" s="70"/>
      <x:c r="F157" s="70"/>
      <x:c r="G157" s="70"/>
    </x:row>
    <x:row r="158" ht="15" hidden="0" customHeight="1">
      <x:c r="A158" s="70"/>
      <x:c r="B158" s="70"/>
      <x:c r="C158" s="70"/>
      <x:c r="D158" s="70"/>
      <x:c r="E158" s="70"/>
      <x:c r="F158" s="70"/>
      <x:c r="G158" s="70"/>
    </x:row>
    <x:row r="159" ht="15" hidden="0" customHeight="1">
      <x:c r="A159" s="70"/>
      <x:c r="B159" s="70"/>
      <x:c r="C159" s="70"/>
      <x:c r="D159" s="70"/>
      <x:c r="E159" s="70"/>
      <x:c r="F159" s="70"/>
      <x:c r="G159" s="70"/>
    </x:row>
    <x:row r="160" ht="15" hidden="0" customHeight="1">
      <x:c r="A160" s="70"/>
      <x:c r="B160" s="70"/>
      <x:c r="C160" s="70"/>
      <x:c r="D160" s="70"/>
      <x:c r="E160" s="70"/>
      <x:c r="F160" s="70"/>
      <x:c r="G160" s="70"/>
    </x:row>
    <x:row r="161" ht="15" hidden="0" customHeight="1">
      <x:c r="A161" s="70"/>
      <x:c r="B161" s="70"/>
      <x:c r="C161" s="70"/>
      <x:c r="D161" s="70"/>
      <x:c r="E161" s="70"/>
      <x:c r="F161" s="70"/>
      <x:c r="G161" s="70"/>
    </x:row>
    <x:row r="162" ht="15" hidden="0" customHeight="1">
      <x:c r="A162" s="70"/>
      <x:c r="B162" s="70"/>
      <x:c r="C162" s="70"/>
      <x:c r="D162" s="70"/>
      <x:c r="E162" s="70"/>
      <x:c r="F162" s="70"/>
      <x:c r="G162" s="70"/>
    </x:row>
    <x:row r="163" ht="15" hidden="0" customHeight="1">
      <x:c r="A163" s="70"/>
      <x:c r="B163" s="70"/>
      <x:c r="C163" s="70"/>
      <x:c r="D163" s="70"/>
      <x:c r="E163" s="70"/>
      <x:c r="F163" s="70"/>
      <x:c r="G163" s="70"/>
    </x:row>
    <x:row r="164" ht="15" hidden="0" customHeight="1">
      <x:c r="A164" s="70"/>
      <x:c r="B164" s="70"/>
      <x:c r="C164" s="70"/>
      <x:c r="D164" s="70"/>
      <x:c r="E164" s="70"/>
      <x:c r="F164" s="70"/>
      <x:c r="G164" s="70"/>
    </x:row>
    <x:row r="165" ht="15" hidden="0" customHeight="1">
      <x:c r="A165" s="70"/>
      <x:c r="B165" s="70"/>
      <x:c r="C165" s="70"/>
      <x:c r="D165" s="70"/>
      <x:c r="E165" s="70"/>
      <x:c r="F165" s="70"/>
      <x:c r="G165" s="70"/>
    </x:row>
    <x:row r="166" ht="15" hidden="0" customHeight="1">
      <x:c r="A166" s="70"/>
      <x:c r="B166" s="70"/>
      <x:c r="C166" s="70"/>
      <x:c r="D166" s="70"/>
      <x:c r="E166" s="70"/>
      <x:c r="F166" s="70"/>
      <x:c r="G166" s="70"/>
    </x:row>
    <x:row r="167" ht="15" hidden="0" customHeight="1">
      <x:c r="A167" s="70"/>
      <x:c r="B167" s="70"/>
      <x:c r="C167" s="70"/>
      <x:c r="D167" s="70"/>
      <x:c r="E167" s="70"/>
      <x:c r="F167" s="70"/>
      <x:c r="G167" s="70"/>
    </x:row>
    <x:row r="168" ht="15" hidden="0" customHeight="1">
      <x:c r="A168" s="70"/>
      <x:c r="B168" s="70"/>
      <x:c r="C168" s="70"/>
      <x:c r="D168" s="70"/>
      <x:c r="E168" s="70"/>
      <x:c r="F168" s="70"/>
      <x:c r="G168" s="70"/>
    </x:row>
    <x:row r="169" ht="15" hidden="0" customHeight="1">
      <x:c r="A169" s="70"/>
      <x:c r="B169" s="70"/>
      <x:c r="C169" s="70"/>
      <x:c r="D169" s="70"/>
      <x:c r="E169" s="70"/>
      <x:c r="F169" s="70"/>
      <x:c r="G169" s="70"/>
    </x:row>
    <x:row r="170" ht="15" hidden="0" customHeight="1">
      <x:c r="A170" s="70"/>
      <x:c r="B170" s="70"/>
      <x:c r="C170" s="70"/>
      <x:c r="D170" s="70"/>
      <x:c r="E170" s="70"/>
      <x:c r="F170" s="70"/>
      <x:c r="G170" s="70"/>
    </x:row>
    <x:row r="171" ht="15" hidden="0" customHeight="1">
      <x:c r="A171" s="70"/>
      <x:c r="B171" s="70"/>
      <x:c r="C171" s="70"/>
      <x:c r="D171" s="70"/>
      <x:c r="E171" s="70"/>
      <x:c r="F171" s="70"/>
      <x:c r="G171" s="70"/>
    </x:row>
    <x:row r="172" ht="15" hidden="0" customHeight="1">
      <x:c r="A172" s="70"/>
      <x:c r="B172" s="70"/>
      <x:c r="C172" s="70"/>
      <x:c r="D172" s="70"/>
      <x:c r="E172" s="70"/>
      <x:c r="F172" s="70"/>
      <x:c r="G172" s="70"/>
    </x:row>
    <x:row r="173" ht="15" hidden="0" customHeight="1">
      <x:c r="A173" s="70"/>
      <x:c r="B173" s="70"/>
      <x:c r="C173" s="70"/>
      <x:c r="D173" s="70"/>
      <x:c r="E173" s="70"/>
      <x:c r="F173" s="70"/>
      <x:c r="G173" s="70"/>
    </x:row>
    <x:row r="174" ht="15" hidden="0" customHeight="1">
      <x:c r="A174" s="70"/>
      <x:c r="B174" s="70"/>
      <x:c r="C174" s="70"/>
      <x:c r="D174" s="70"/>
      <x:c r="E174" s="70"/>
      <x:c r="F174" s="70"/>
      <x:c r="G174" s="70"/>
    </x:row>
    <x:row r="175" ht="15" hidden="0" customHeight="1">
      <x:c r="A175" s="70"/>
      <x:c r="B175" s="70"/>
      <x:c r="C175" s="70"/>
      <x:c r="D175" s="70"/>
      <x:c r="E175" s="70"/>
      <x:c r="F175" s="70"/>
      <x:c r="G175" s="70"/>
    </x:row>
    <x:row r="176" ht="15" hidden="0" customHeight="1">
      <x:c r="A176" s="70"/>
      <x:c r="B176" s="70"/>
      <x:c r="C176" s="70"/>
      <x:c r="D176" s="70"/>
      <x:c r="E176" s="70"/>
      <x:c r="F176" s="70"/>
      <x:c r="G176" s="70"/>
    </x:row>
    <x:row r="177" ht="15" hidden="0" customHeight="1">
      <x:c r="A177" s="70"/>
      <x:c r="B177" s="70"/>
      <x:c r="C177" s="70"/>
      <x:c r="D177" s="70"/>
      <x:c r="E177" s="70"/>
      <x:c r="F177" s="70"/>
      <x:c r="G177" s="70"/>
    </x:row>
    <x:row r="178" ht="15" hidden="0" customHeight="1">
      <x:c r="A178" s="70"/>
      <x:c r="B178" s="70"/>
      <x:c r="C178" s="70"/>
      <x:c r="D178" s="70"/>
      <x:c r="E178" s="70"/>
      <x:c r="F178" s="70"/>
      <x:c r="G178" s="70"/>
    </x:row>
    <x:row r="179" ht="15" hidden="0" customHeight="1">
      <x:c r="A179" s="70"/>
      <x:c r="B179" s="70"/>
      <x:c r="C179" s="70"/>
      <x:c r="D179" s="70"/>
      <x:c r="E179" s="70"/>
      <x:c r="F179" s="70"/>
      <x:c r="G179" s="70"/>
    </x:row>
    <x:row r="180" ht="15" hidden="0" customHeight="1">
      <x:c r="A180" s="70"/>
      <x:c r="B180" s="70"/>
      <x:c r="C180" s="70"/>
      <x:c r="D180" s="70"/>
      <x:c r="E180" s="70"/>
      <x:c r="F180" s="70"/>
      <x:c r="G180" s="70"/>
    </x:row>
    <x:row r="181" ht="15" hidden="0" customHeight="1">
      <x:c r="A181" s="70"/>
      <x:c r="B181" s="70"/>
      <x:c r="C181" s="70"/>
      <x:c r="D181" s="70"/>
      <x:c r="E181" s="70"/>
      <x:c r="F181" s="70"/>
      <x:c r="G181" s="70"/>
    </x:row>
    <x:row r="182" ht="15" hidden="0" customHeight="1">
      <x:c r="A182" s="70"/>
      <x:c r="B182" s="70"/>
      <x:c r="C182" s="70"/>
      <x:c r="D182" s="70"/>
      <x:c r="E182" s="70"/>
      <x:c r="F182" s="70"/>
      <x:c r="G182" s="70"/>
    </x:row>
    <x:row r="183" ht="15" hidden="0" customHeight="1">
      <x:c r="A183" s="70"/>
      <x:c r="B183" s="70"/>
      <x:c r="C183" s="70"/>
      <x:c r="D183" s="70"/>
      <x:c r="E183" s="70"/>
      <x:c r="F183" s="70"/>
      <x:c r="G183" s="70"/>
    </x:row>
    <x:row r="184" ht="15" hidden="0" customHeight="1">
      <x:c r="A184" s="70"/>
      <x:c r="B184" s="70"/>
      <x:c r="C184" s="70"/>
      <x:c r="D184" s="70"/>
      <x:c r="E184" s="70"/>
      <x:c r="F184" s="70"/>
      <x:c r="G184" s="70"/>
    </x:row>
    <x:row r="185" ht="15" hidden="0" customHeight="1">
      <x:c r="A185" s="70"/>
      <x:c r="B185" s="70"/>
      <x:c r="C185" s="70"/>
      <x:c r="D185" s="70"/>
      <x:c r="E185" s="70"/>
      <x:c r="F185" s="70"/>
      <x:c r="G185" s="70"/>
    </x:row>
    <x:row r="186" ht="15" hidden="0" customHeight="1">
      <x:c r="A186" s="70"/>
      <x:c r="B186" s="70"/>
      <x:c r="C186" s="70"/>
      <x:c r="D186" s="70"/>
      <x:c r="E186" s="70"/>
      <x:c r="F186" s="70"/>
      <x:c r="G186" s="70"/>
    </x:row>
    <x:row r="187" ht="15" hidden="0" customHeight="1">
      <x:c r="A187" s="70"/>
      <x:c r="B187" s="70"/>
      <x:c r="C187" s="70"/>
      <x:c r="D187" s="70"/>
      <x:c r="E187" s="70"/>
      <x:c r="F187" s="70"/>
      <x:c r="G187" s="70"/>
    </x:row>
    <x:row r="188" ht="15" hidden="0" customHeight="1">
      <x:c r="A188" s="70"/>
      <x:c r="B188" s="70"/>
      <x:c r="C188" s="70"/>
      <x:c r="D188" s="70"/>
      <x:c r="E188" s="70"/>
      <x:c r="F188" s="70"/>
      <x:c r="G188" s="70"/>
    </x:row>
    <x:row r="189" ht="15" hidden="0" customHeight="1">
      <x:c r="A189" s="70"/>
      <x:c r="B189" s="70"/>
      <x:c r="C189" s="70"/>
      <x:c r="D189" s="70"/>
      <x:c r="E189" s="70"/>
      <x:c r="F189" s="70"/>
      <x:c r="G189" s="70"/>
    </x:row>
    <x:row r="190" ht="15" hidden="0" customHeight="1">
      <x:c r="A190" s="70"/>
      <x:c r="B190" s="70"/>
      <x:c r="C190" s="70"/>
      <x:c r="D190" s="70"/>
      <x:c r="E190" s="70"/>
      <x:c r="F190" s="70"/>
      <x:c r="G190" s="70"/>
    </x:row>
    <x:row r="191" ht="15" hidden="0" customHeight="1">
      <x:c r="A191" s="70"/>
      <x:c r="B191" s="70"/>
      <x:c r="C191" s="70"/>
      <x:c r="D191" s="70"/>
      <x:c r="E191" s="70"/>
      <x:c r="F191" s="70"/>
      <x:c r="G191" s="70"/>
    </x:row>
    <x:row r="192" ht="15" hidden="0" customHeight="1">
      <x:c r="A192" s="70"/>
      <x:c r="B192" s="70"/>
      <x:c r="C192" s="70"/>
      <x:c r="D192" s="70"/>
      <x:c r="E192" s="70"/>
      <x:c r="F192" s="70"/>
      <x:c r="G192" s="70"/>
    </x:row>
    <x:row r="193" ht="15" hidden="0" customHeight="1">
      <x:c r="A193" s="70"/>
      <x:c r="B193" s="70"/>
      <x:c r="C193" s="70"/>
      <x:c r="D193" s="70"/>
      <x:c r="E193" s="70"/>
      <x:c r="F193" s="70"/>
      <x:c r="G193" s="70"/>
    </x:row>
    <x:row r="194" ht="15" hidden="0" customHeight="1">
      <x:c r="A194" s="70"/>
      <x:c r="B194" s="70"/>
      <x:c r="C194" s="70"/>
      <x:c r="D194" s="70"/>
      <x:c r="E194" s="70"/>
      <x:c r="F194" s="70"/>
      <x:c r="G194" s="70"/>
    </x:row>
    <x:row r="195" ht="15" hidden="0" customHeight="1">
      <x:c r="A195" s="70"/>
      <x:c r="B195" s="70"/>
      <x:c r="C195" s="70"/>
      <x:c r="D195" s="70"/>
      <x:c r="E195" s="70"/>
      <x:c r="F195" s="70"/>
      <x:c r="G195" s="70"/>
    </x:row>
    <x:row r="196" ht="15" hidden="0" customHeight="1">
      <x:c r="A196" s="70"/>
      <x:c r="B196" s="70"/>
      <x:c r="C196" s="70"/>
      <x:c r="D196" s="70"/>
      <x:c r="E196" s="70"/>
      <x:c r="F196" s="70"/>
      <x:c r="G196" s="70"/>
    </x:row>
    <x:row r="197" ht="15" hidden="0" customHeight="1">
      <x:c r="A197" s="70"/>
      <x:c r="B197" s="70"/>
      <x:c r="C197" s="70"/>
      <x:c r="D197" s="70"/>
      <x:c r="E197" s="70"/>
      <x:c r="F197" s="70"/>
      <x:c r="G197" s="70"/>
    </x:row>
    <x:row r="198" ht="15" hidden="0" customHeight="1">
      <x:c r="A198" s="70"/>
      <x:c r="B198" s="70"/>
      <x:c r="C198" s="70"/>
      <x:c r="D198" s="70"/>
      <x:c r="E198" s="70"/>
      <x:c r="F198" s="70"/>
      <x:c r="G198" s="70"/>
    </x:row>
    <x:row r="199" ht="15" hidden="0" customHeight="1">
      <x:c r="A199" s="70"/>
      <x:c r="B199" s="70"/>
      <x:c r="C199" s="70"/>
      <x:c r="D199" s="70"/>
      <x:c r="E199" s="70"/>
      <x:c r="F199" s="70"/>
      <x:c r="G199" s="70"/>
    </x:row>
    <x:row r="200" ht="15" hidden="0" customHeight="1">
      <x:c r="A200" s="70"/>
      <x:c r="B200" s="70"/>
      <x:c r="C200" s="70"/>
      <x:c r="D200" s="70"/>
      <x:c r="E200" s="70"/>
      <x:c r="F200" s="70"/>
      <x:c r="G200" s="70"/>
    </x:row>
    <x:row r="201" ht="15" hidden="0" customHeight="1">
      <x:c r="A201" s="70"/>
      <x:c r="B201" s="70"/>
      <x:c r="C201" s="70"/>
      <x:c r="D201" s="70"/>
      <x:c r="E201" s="70"/>
      <x:c r="F201" s="70"/>
      <x:c r="G201" s="70"/>
    </x:row>
    <x:row r="202" ht="15" hidden="0" customHeight="1">
      <x:c r="A202" s="70"/>
      <x:c r="B202" s="70"/>
      <x:c r="C202" s="70"/>
      <x:c r="D202" s="70"/>
      <x:c r="E202" s="70"/>
      <x:c r="F202" s="70"/>
      <x:c r="G202" s="70"/>
    </x:row>
    <x:row r="203" ht="15" hidden="0" customHeight="1">
      <x:c r="A203" s="70"/>
      <x:c r="B203" s="70"/>
      <x:c r="C203" s="70"/>
      <x:c r="D203" s="70"/>
      <x:c r="E203" s="70"/>
      <x:c r="F203" s="70"/>
      <x:c r="G203" s="70"/>
    </x:row>
    <x:row r="204" ht="15" hidden="0" customHeight="1">
      <x:c r="A204" s="70"/>
      <x:c r="B204" s="70"/>
      <x:c r="C204" s="70"/>
      <x:c r="D204" s="70"/>
      <x:c r="E204" s="70"/>
      <x:c r="F204" s="70"/>
      <x:c r="G204" s="70"/>
    </x:row>
    <x:row r="205" ht="15" hidden="0" customHeight="1">
      <x:c r="A205" s="70"/>
      <x:c r="B205" s="70"/>
      <x:c r="C205" s="70"/>
      <x:c r="D205" s="70"/>
      <x:c r="E205" s="70"/>
      <x:c r="F205" s="70"/>
      <x:c r="G205" s="70"/>
    </x:row>
    <x:row r="206" ht="15" hidden="0" customHeight="1">
      <x:c r="A206" s="70"/>
      <x:c r="B206" s="70"/>
      <x:c r="C206" s="70"/>
      <x:c r="D206" s="70"/>
      <x:c r="E206" s="70"/>
      <x:c r="F206" s="70"/>
      <x:c r="G206" s="70"/>
    </x:row>
    <x:row r="207" ht="15" hidden="0" customHeight="1">
      <x:c r="A207" s="70"/>
      <x:c r="B207" s="70"/>
      <x:c r="C207" s="70"/>
      <x:c r="D207" s="70"/>
      <x:c r="E207" s="70"/>
      <x:c r="F207" s="70"/>
      <x:c r="G207" s="70"/>
    </x:row>
    <x:row r="208" ht="15" hidden="0" customHeight="1">
      <x:c r="A208" s="70"/>
      <x:c r="B208" s="70"/>
      <x:c r="C208" s="70"/>
      <x:c r="D208" s="70"/>
      <x:c r="E208" s="70"/>
      <x:c r="F208" s="70"/>
      <x:c r="G208" s="70"/>
    </x:row>
    <x:row r="209" ht="15" hidden="0" customHeight="1">
      <x:c r="A209" s="70"/>
      <x:c r="B209" s="70"/>
      <x:c r="C209" s="70"/>
      <x:c r="D209" s="70"/>
      <x:c r="E209" s="70"/>
      <x:c r="F209" s="70"/>
      <x:c r="G209" s="70"/>
    </x:row>
    <x:row r="210" ht="15" hidden="0" customHeight="1">
      <x:c r="A210" s="70"/>
      <x:c r="B210" s="70"/>
      <x:c r="C210" s="70"/>
      <x:c r="D210" s="70"/>
      <x:c r="E210" s="70"/>
      <x:c r="F210" s="70"/>
      <x:c r="G210" s="70"/>
    </x:row>
    <x:row r="211" ht="15" hidden="0" customHeight="1">
      <x:c r="A211" s="70"/>
      <x:c r="B211" s="70"/>
      <x:c r="C211" s="70"/>
      <x:c r="D211" s="70"/>
      <x:c r="E211" s="70"/>
      <x:c r="F211" s="70"/>
      <x:c r="G211" s="70"/>
    </x:row>
    <x:row r="212" ht="15" hidden="0" customHeight="1">
      <x:c r="A212" s="70"/>
      <x:c r="B212" s="70"/>
      <x:c r="C212" s="70"/>
      <x:c r="D212" s="70"/>
      <x:c r="E212" s="70"/>
      <x:c r="F212" s="70"/>
      <x:c r="G212" s="70"/>
    </x:row>
    <x:row r="213" ht="15" hidden="0" customHeight="1">
      <x:c r="A213" s="70"/>
      <x:c r="B213" s="70"/>
      <x:c r="C213" s="70"/>
      <x:c r="D213" s="70"/>
      <x:c r="E213" s="70"/>
      <x:c r="F213" s="70"/>
      <x:c r="G213" s="70"/>
    </x:row>
    <x:row r="214" ht="15" hidden="0" customHeight="1">
      <x:c r="A214" s="70"/>
      <x:c r="B214" s="70"/>
      <x:c r="C214" s="70"/>
      <x:c r="D214" s="70"/>
      <x:c r="E214" s="70"/>
      <x:c r="F214" s="70"/>
      <x:c r="G214" s="70"/>
    </x:row>
    <x:row r="215" ht="15" hidden="0" customHeight="1">
      <x:c r="A215" s="70"/>
      <x:c r="B215" s="70"/>
      <x:c r="C215" s="70"/>
      <x:c r="D215" s="70"/>
      <x:c r="E215" s="70"/>
      <x:c r="F215" s="70"/>
      <x:c r="G215" s="70"/>
    </x:row>
    <x:row r="216" ht="15" hidden="0" customHeight="1">
      <x:c r="A216" s="70"/>
      <x:c r="B216" s="70"/>
      <x:c r="C216" s="70"/>
      <x:c r="D216" s="70"/>
      <x:c r="E216" s="70"/>
      <x:c r="F216" s="70"/>
      <x:c r="G216" s="70"/>
    </x:row>
    <x:row r="217" ht="15" hidden="0" customHeight="1">
      <x:c r="A217" s="70"/>
      <x:c r="B217" s="70"/>
      <x:c r="C217" s="70"/>
      <x:c r="D217" s="70"/>
      <x:c r="E217" s="70"/>
      <x:c r="F217" s="70"/>
      <x:c r="G217" s="70"/>
    </x:row>
    <x:row r="218" ht="15" hidden="0" customHeight="1">
      <x:c r="A218" s="70"/>
      <x:c r="B218" s="70"/>
      <x:c r="C218" s="70"/>
      <x:c r="D218" s="70"/>
      <x:c r="E218" s="70"/>
      <x:c r="F218" s="70"/>
      <x:c r="G218" s="70"/>
    </x:row>
    <x:row r="219" ht="15" hidden="0" customHeight="1">
      <x:c r="A219" s="70"/>
      <x:c r="B219" s="70"/>
      <x:c r="C219" s="70"/>
      <x:c r="D219" s="70"/>
      <x:c r="E219" s="70"/>
      <x:c r="F219" s="70"/>
      <x:c r="G219" s="70"/>
    </x:row>
    <x:row r="220" ht="15" hidden="0" customHeight="1">
      <x:c r="A220" s="70"/>
      <x:c r="B220" s="70"/>
      <x:c r="C220" s="70"/>
      <x:c r="D220" s="70"/>
      <x:c r="E220" s="70"/>
      <x:c r="F220" s="70"/>
      <x:c r="G220" s="70"/>
    </x:row>
    <x:row r="221" ht="15" hidden="0" customHeight="1">
      <x:c r="A221" s="70"/>
      <x:c r="B221" s="70"/>
      <x:c r="C221" s="70"/>
      <x:c r="D221" s="70"/>
      <x:c r="E221" s="70"/>
      <x:c r="F221" s="70"/>
      <x:c r="G221" s="70"/>
    </x:row>
    <x:row r="222" ht="15" hidden="0" customHeight="1">
      <x:c r="A222" s="70"/>
      <x:c r="B222" s="70"/>
      <x:c r="C222" s="70"/>
      <x:c r="D222" s="70"/>
      <x:c r="E222" s="70"/>
      <x:c r="F222" s="70"/>
      <x:c r="G222" s="70"/>
    </x:row>
    <x:row r="223" ht="15" hidden="0" customHeight="1">
      <x:c r="A223" s="70"/>
      <x:c r="B223" s="70"/>
      <x:c r="C223" s="70"/>
      <x:c r="D223" s="70"/>
      <x:c r="E223" s="70"/>
      <x:c r="F223" s="70"/>
      <x:c r="G223" s="70"/>
    </x:row>
    <x:row r="224" ht="15" hidden="0" customHeight="1">
      <x:c r="A224" s="70"/>
      <x:c r="B224" s="70"/>
      <x:c r="C224" s="70"/>
      <x:c r="D224" s="70"/>
      <x:c r="E224" s="70"/>
      <x:c r="F224" s="70"/>
      <x:c r="G224" s="70"/>
    </x:row>
    <x:row r="225" ht="15" hidden="0" customHeight="1">
      <x:c r="A225" s="70"/>
      <x:c r="B225" s="70"/>
      <x:c r="C225" s="70"/>
      <x:c r="D225" s="70"/>
      <x:c r="E225" s="70"/>
      <x:c r="F225" s="70"/>
      <x:c r="G225" s="70"/>
    </x:row>
    <x:row r="226" ht="15" hidden="0" customHeight="1">
      <x:c r="A226" s="70"/>
      <x:c r="B226" s="70"/>
      <x:c r="C226" s="70"/>
      <x:c r="D226" s="70"/>
      <x:c r="E226" s="70"/>
      <x:c r="F226" s="70"/>
      <x:c r="G226" s="70"/>
    </x:row>
    <x:row r="227" ht="15" hidden="0" customHeight="1">
      <x:c r="A227" s="70"/>
      <x:c r="B227" s="70"/>
      <x:c r="C227" s="70"/>
      <x:c r="D227" s="70"/>
      <x:c r="E227" s="70"/>
      <x:c r="F227" s="70"/>
      <x:c r="G227" s="70"/>
    </x:row>
    <x:row r="228" ht="15" hidden="0" customHeight="1">
      <x:c r="A228" s="70"/>
      <x:c r="B228" s="70"/>
      <x:c r="C228" s="70"/>
      <x:c r="D228" s="70"/>
      <x:c r="E228" s="70"/>
      <x:c r="F228" s="70"/>
      <x:c r="G228" s="70"/>
    </x:row>
    <x:row r="229" ht="15" hidden="0" customHeight="1">
      <x:c r="A229" s="70"/>
      <x:c r="B229" s="70"/>
      <x:c r="C229" s="70"/>
      <x:c r="D229" s="70"/>
      <x:c r="E229" s="70"/>
      <x:c r="F229" s="70"/>
      <x:c r="G229" s="70"/>
    </x:row>
    <x:row r="230" ht="15" hidden="0" customHeight="1">
      <x:c r="A230" s="70"/>
      <x:c r="B230" s="70"/>
      <x:c r="C230" s="70"/>
      <x:c r="D230" s="70"/>
      <x:c r="E230" s="70"/>
      <x:c r="F230" s="70"/>
      <x:c r="G230" s="70"/>
    </x:row>
    <x:row r="231" ht="15" hidden="0" customHeight="1">
      <x:c r="A231" s="70"/>
      <x:c r="B231" s="70"/>
      <x:c r="C231" s="70"/>
      <x:c r="D231" s="70"/>
      <x:c r="E231" s="70"/>
      <x:c r="F231" s="70"/>
      <x:c r="G231" s="70"/>
    </x:row>
    <x:row r="232" ht="15" hidden="0" customHeight="1">
      <x:c r="A232" s="70"/>
      <x:c r="B232" s="70"/>
      <x:c r="C232" s="70"/>
      <x:c r="D232" s="70"/>
      <x:c r="E232" s="70"/>
      <x:c r="F232" s="70"/>
      <x:c r="G232" s="70"/>
    </x:row>
    <x:row r="233" ht="15" hidden="0" customHeight="1">
      <x:c r="A233" s="70"/>
      <x:c r="B233" s="70"/>
      <x:c r="C233" s="70"/>
      <x:c r="D233" s="70"/>
      <x:c r="E233" s="70"/>
      <x:c r="F233" s="70"/>
      <x:c r="G233" s="70"/>
    </x:row>
    <x:row r="234" ht="15" hidden="0" customHeight="1">
      <x:c r="A234" s="70"/>
      <x:c r="B234" s="70"/>
      <x:c r="C234" s="70"/>
      <x:c r="D234" s="70"/>
      <x:c r="E234" s="70"/>
      <x:c r="F234" s="70"/>
      <x:c r="G234" s="70"/>
    </x:row>
    <x:row r="235" ht="15" hidden="0" customHeight="1">
      <x:c r="A235" s="70"/>
      <x:c r="B235" s="70"/>
      <x:c r="C235" s="70"/>
      <x:c r="D235" s="70"/>
      <x:c r="E235" s="70"/>
      <x:c r="F235" s="70"/>
      <x:c r="G235" s="70"/>
    </x:row>
    <x:row r="236" ht="15" hidden="0" customHeight="1">
      <x:c r="A236" s="70"/>
      <x:c r="B236" s="70"/>
      <x:c r="C236" s="70"/>
      <x:c r="D236" s="70"/>
      <x:c r="E236" s="70"/>
      <x:c r="F236" s="70"/>
      <x:c r="G236" s="70"/>
    </x:row>
    <x:row r="237" ht="15" hidden="0" customHeight="1">
      <x:c r="A237" s="70"/>
      <x:c r="B237" s="70"/>
      <x:c r="C237" s="70"/>
      <x:c r="D237" s="70"/>
      <x:c r="E237" s="70"/>
      <x:c r="F237" s="70"/>
      <x:c r="G237" s="70"/>
    </x:row>
    <x:row r="238" ht="15" hidden="0" customHeight="1">
      <x:c r="A238" s="70"/>
      <x:c r="B238" s="70"/>
      <x:c r="C238" s="70"/>
      <x:c r="D238" s="70"/>
      <x:c r="E238" s="70"/>
      <x:c r="F238" s="70"/>
      <x:c r="G238" s="70"/>
    </x:row>
    <x:row r="239" ht="15" hidden="0" customHeight="1">
      <x:c r="A239" s="70"/>
      <x:c r="B239" s="70"/>
      <x:c r="C239" s="70"/>
      <x:c r="D239" s="70"/>
      <x:c r="E239" s="70"/>
      <x:c r="F239" s="70"/>
      <x:c r="G239" s="70"/>
    </x:row>
    <x:row r="240" ht="15" hidden="0" customHeight="1">
      <x:c r="A240" s="70"/>
      <x:c r="B240" s="70"/>
      <x:c r="C240" s="70"/>
      <x:c r="D240" s="70"/>
      <x:c r="E240" s="70"/>
      <x:c r="F240" s="70"/>
      <x:c r="G240" s="70"/>
    </x:row>
    <x:row r="241" ht="15" hidden="0" customHeight="1">
      <x:c r="A241" s="70"/>
      <x:c r="B241" s="70"/>
      <x:c r="C241" s="70"/>
      <x:c r="D241" s="70"/>
      <x:c r="E241" s="70"/>
      <x:c r="F241" s="70"/>
      <x:c r="G241" s="70"/>
    </x:row>
    <x:row r="242" ht="15" hidden="0" customHeight="1">
      <x:c r="A242" s="70"/>
      <x:c r="B242" s="70"/>
      <x:c r="C242" s="70"/>
      <x:c r="D242" s="70"/>
      <x:c r="E242" s="70"/>
      <x:c r="F242" s="70"/>
      <x:c r="G242" s="70"/>
    </x:row>
    <x:row r="243" ht="15" hidden="0" customHeight="1">
      <x:c r="A243" s="70"/>
      <x:c r="B243" s="70"/>
      <x:c r="C243" s="70"/>
      <x:c r="D243" s="70"/>
      <x:c r="E243" s="70"/>
      <x:c r="F243" s="70"/>
      <x:c r="G243" s="70"/>
    </x:row>
    <x:row r="244" ht="15" hidden="0" customHeight="1">
      <x:c r="A244" s="70"/>
      <x:c r="B244" s="70"/>
      <x:c r="C244" s="70"/>
      <x:c r="D244" s="70"/>
      <x:c r="E244" s="70"/>
      <x:c r="F244" s="70"/>
      <x:c r="G244" s="70"/>
    </x:row>
    <x:row r="245" ht="15" hidden="0" customHeight="1">
      <x:c r="A245" s="70"/>
      <x:c r="B245" s="70"/>
      <x:c r="C245" s="70"/>
      <x:c r="D245" s="70"/>
      <x:c r="E245" s="70"/>
      <x:c r="F245" s="70"/>
      <x:c r="G245" s="70"/>
    </x:row>
    <x:row r="246" ht="15" hidden="0" customHeight="1">
      <x:c r="A246" s="70"/>
      <x:c r="B246" s="70"/>
      <x:c r="C246" s="70"/>
      <x:c r="D246" s="70"/>
      <x:c r="E246" s="70"/>
      <x:c r="F246" s="70"/>
      <x:c r="G246" s="70"/>
    </x:row>
    <x:row r="247" ht="15" hidden="0" customHeight="1">
      <x:c r="A247" s="70"/>
      <x:c r="B247" s="70"/>
      <x:c r="C247" s="70"/>
      <x:c r="D247" s="70"/>
      <x:c r="E247" s="70"/>
      <x:c r="F247" s="70"/>
      <x:c r="G247" s="70"/>
    </x:row>
    <x:row r="248" ht="15" hidden="0" customHeight="1">
      <x:c r="A248" s="70"/>
      <x:c r="B248" s="70"/>
      <x:c r="C248" s="70"/>
      <x:c r="D248" s="70"/>
      <x:c r="E248" s="70"/>
      <x:c r="F248" s="70"/>
      <x:c r="G248" s="70"/>
    </x:row>
    <x:row r="249" ht="15" hidden="0" customHeight="1">
      <x:c r="A249" s="70"/>
      <x:c r="B249" s="70"/>
      <x:c r="C249" s="70"/>
      <x:c r="D249" s="70"/>
      <x:c r="E249" s="70"/>
      <x:c r="F249" s="70"/>
      <x:c r="G249" s="70"/>
    </x:row>
    <x:row r="250" ht="15" hidden="0" customHeight="1">
      <x:c r="A250" s="70"/>
      <x:c r="B250" s="70"/>
      <x:c r="C250" s="70"/>
      <x:c r="D250" s="70"/>
      <x:c r="E250" s="70"/>
      <x:c r="F250" s="70"/>
      <x:c r="G250" s="70"/>
    </x:row>
    <x:row r="251" ht="15" hidden="0" customHeight="1">
      <x:c r="A251" s="70"/>
      <x:c r="B251" s="70"/>
      <x:c r="C251" s="70"/>
      <x:c r="D251" s="70"/>
      <x:c r="E251" s="70"/>
      <x:c r="F251" s="70"/>
      <x:c r="G251" s="70"/>
    </x:row>
    <x:row r="252" ht="15" hidden="0" customHeight="1">
      <x:c r="A252" s="70"/>
      <x:c r="B252" s="70"/>
      <x:c r="C252" s="70"/>
      <x:c r="D252" s="70"/>
      <x:c r="E252" s="70"/>
      <x:c r="F252" s="70"/>
      <x:c r="G252" s="70"/>
    </x:row>
    <x:row r="253" ht="15" hidden="0" customHeight="1">
      <x:c r="A253" s="70"/>
      <x:c r="B253" s="70"/>
      <x:c r="C253" s="70"/>
      <x:c r="D253" s="70"/>
      <x:c r="E253" s="70"/>
      <x:c r="F253" s="70"/>
      <x:c r="G253" s="70"/>
    </x:row>
    <x:row r="254" ht="15" hidden="0" customHeight="1">
      <x:c r="A254" s="70"/>
      <x:c r="B254" s="70"/>
      <x:c r="C254" s="70"/>
      <x:c r="D254" s="70"/>
      <x:c r="E254" s="70"/>
      <x:c r="F254" s="70"/>
      <x:c r="G254" s="70"/>
    </x:row>
    <x:row r="255" ht="15" hidden="0" customHeight="1">
      <x:c r="A255" s="70"/>
      <x:c r="B255" s="70"/>
      <x:c r="C255" s="70"/>
      <x:c r="D255" s="70"/>
      <x:c r="E255" s="70"/>
      <x:c r="F255" s="70"/>
      <x:c r="G255" s="70"/>
    </x:row>
    <x:row r="256" ht="15" hidden="0" customHeight="1">
      <x:c r="A256" s="70"/>
      <x:c r="B256" s="70"/>
      <x:c r="C256" s="70"/>
      <x:c r="D256" s="70"/>
      <x:c r="E256" s="70"/>
      <x:c r="F256" s="70"/>
      <x:c r="G256" s="70"/>
    </x:row>
    <x:row r="257" ht="15" hidden="0" customHeight="1">
      <x:c r="A257" s="70"/>
      <x:c r="B257" s="70"/>
      <x:c r="C257" s="70"/>
      <x:c r="D257" s="70"/>
      <x:c r="E257" s="70"/>
      <x:c r="F257" s="70"/>
      <x:c r="G257" s="70"/>
    </x:row>
    <x:row r="258" ht="15" hidden="0" customHeight="1">
      <x:c r="A258" s="70"/>
      <x:c r="B258" s="70"/>
      <x:c r="C258" s="70"/>
      <x:c r="D258" s="70"/>
      <x:c r="E258" s="70"/>
      <x:c r="F258" s="70"/>
      <x:c r="G258" s="70"/>
    </x:row>
    <x:row r="259" ht="15" hidden="0" customHeight="1">
      <x:c r="A259" s="70"/>
      <x:c r="B259" s="70"/>
      <x:c r="C259" s="70"/>
      <x:c r="D259" s="70"/>
      <x:c r="E259" s="70"/>
      <x:c r="F259" s="70"/>
      <x:c r="G259" s="70"/>
    </x:row>
    <x:row r="260" ht="15" hidden="0" customHeight="1">
      <x:c r="A260" s="70"/>
      <x:c r="B260" s="70"/>
      <x:c r="C260" s="70"/>
      <x:c r="D260" s="70"/>
      <x:c r="E260" s="70"/>
      <x:c r="F260" s="70"/>
      <x:c r="G260" s="70"/>
    </x:row>
    <x:row r="261" ht="15" hidden="0" customHeight="1">
      <x:c r="A261" s="70"/>
      <x:c r="B261" s="70"/>
      <x:c r="C261" s="70"/>
      <x:c r="D261" s="70"/>
      <x:c r="E261" s="70"/>
      <x:c r="F261" s="70"/>
      <x:c r="G261" s="70"/>
    </x:row>
    <x:row r="262" ht="15" hidden="0" customHeight="1">
      <x:c r="A262" s="70"/>
      <x:c r="B262" s="70"/>
      <x:c r="C262" s="70"/>
      <x:c r="D262" s="70"/>
      <x:c r="E262" s="70"/>
      <x:c r="F262" s="70"/>
      <x:c r="G262" s="70"/>
    </x:row>
    <x:row r="263" ht="15" hidden="0" customHeight="1">
      <x:c r="A263" s="70"/>
      <x:c r="B263" s="70"/>
      <x:c r="C263" s="70"/>
      <x:c r="D263" s="70"/>
      <x:c r="E263" s="70"/>
      <x:c r="F263" s="70"/>
      <x:c r="G263" s="70"/>
    </x:row>
    <x:row r="264" ht="15" hidden="0" customHeight="1">
      <x:c r="A264" s="70"/>
      <x:c r="B264" s="70"/>
      <x:c r="C264" s="70"/>
      <x:c r="D264" s="70"/>
      <x:c r="E264" s="70"/>
      <x:c r="F264" s="70"/>
      <x:c r="G264" s="70"/>
    </x:row>
    <x:row r="265" ht="15" hidden="0" customHeight="1">
      <x:c r="A265" s="70"/>
      <x:c r="B265" s="70"/>
      <x:c r="C265" s="70"/>
      <x:c r="D265" s="70"/>
      <x:c r="E265" s="70"/>
      <x:c r="F265" s="70"/>
      <x:c r="G265" s="70"/>
    </x:row>
    <x:row r="266" ht="15" hidden="0" customHeight="1">
      <x:c r="A266" s="70"/>
      <x:c r="B266" s="70"/>
      <x:c r="C266" s="70"/>
      <x:c r="D266" s="70"/>
      <x:c r="E266" s="70"/>
      <x:c r="F266" s="70"/>
      <x:c r="G266" s="70"/>
    </x:row>
    <x:row r="267" ht="15" hidden="0" customHeight="1">
      <x:c r="A267" s="70"/>
      <x:c r="B267" s="70"/>
      <x:c r="C267" s="70"/>
      <x:c r="D267" s="70"/>
      <x:c r="E267" s="70"/>
      <x:c r="F267" s="70"/>
      <x:c r="G267" s="70"/>
    </x:row>
    <x:row r="268" ht="15" hidden="0" customHeight="1">
      <x:c r="A268" s="70"/>
      <x:c r="B268" s="70"/>
      <x:c r="C268" s="70"/>
      <x:c r="D268" s="70"/>
      <x:c r="E268" s="70"/>
      <x:c r="F268" s="70"/>
      <x:c r="G268" s="70"/>
    </x:row>
    <x:row r="269" ht="15" hidden="0" customHeight="1">
      <x:c r="A269" s="70"/>
      <x:c r="B269" s="70"/>
      <x:c r="C269" s="70"/>
      <x:c r="D269" s="70"/>
      <x:c r="E269" s="70"/>
      <x:c r="F269" s="70"/>
      <x:c r="G269" s="70"/>
    </x:row>
    <x:row r="270" ht="15" hidden="0" customHeight="1">
      <x:c r="A270" s="70"/>
      <x:c r="B270" s="70"/>
      <x:c r="C270" s="70"/>
      <x:c r="D270" s="70"/>
      <x:c r="E270" s="70"/>
      <x:c r="F270" s="70"/>
      <x:c r="G270" s="70"/>
    </x:row>
    <x:row r="271" ht="15" hidden="0" customHeight="1">
      <x:c r="A271" s="70"/>
      <x:c r="B271" s="70"/>
      <x:c r="C271" s="70"/>
      <x:c r="D271" s="70"/>
      <x:c r="E271" s="70"/>
      <x:c r="F271" s="70"/>
      <x:c r="G271" s="70"/>
    </x:row>
    <x:row r="272" ht="15" hidden="0" customHeight="1">
      <x:c r="A272" s="70"/>
      <x:c r="B272" s="70"/>
      <x:c r="C272" s="70"/>
      <x:c r="D272" s="70"/>
      <x:c r="E272" s="70"/>
      <x:c r="F272" s="70"/>
      <x:c r="G272" s="70"/>
    </x:row>
    <x:row r="273" ht="15" hidden="0" customHeight="1">
      <x:c r="A273" s="70"/>
      <x:c r="B273" s="70"/>
      <x:c r="C273" s="70"/>
      <x:c r="D273" s="70"/>
      <x:c r="E273" s="70"/>
      <x:c r="F273" s="70"/>
      <x:c r="G273" s="70"/>
    </x:row>
    <x:row r="274" ht="15" hidden="0" customHeight="1">
      <x:c r="A274" s="70"/>
      <x:c r="B274" s="70"/>
      <x:c r="C274" s="70"/>
      <x:c r="D274" s="70"/>
      <x:c r="E274" s="70"/>
      <x:c r="F274" s="70"/>
      <x:c r="G274" s="70"/>
    </x:row>
    <x:row r="275" ht="15" hidden="0" customHeight="1">
      <x:c r="A275" s="70"/>
      <x:c r="B275" s="70"/>
      <x:c r="C275" s="70"/>
      <x:c r="D275" s="70"/>
      <x:c r="E275" s="70"/>
      <x:c r="F275" s="70"/>
      <x:c r="G275" s="70"/>
    </x:row>
    <x:row r="276" ht="15" hidden="0" customHeight="1">
      <x:c r="A276" s="70"/>
      <x:c r="B276" s="70"/>
      <x:c r="C276" s="70"/>
      <x:c r="D276" s="70"/>
      <x:c r="E276" s="70"/>
      <x:c r="F276" s="70"/>
      <x:c r="G276" s="70"/>
    </x:row>
    <x:row r="277" ht="15" hidden="0" customHeight="1">
      <x:c r="A277" s="70"/>
      <x:c r="B277" s="70"/>
      <x:c r="C277" s="70"/>
      <x:c r="D277" s="70"/>
      <x:c r="E277" s="70"/>
      <x:c r="F277" s="70"/>
      <x:c r="G277" s="70"/>
    </x:row>
    <x:row r="278" ht="15" hidden="0" customHeight="1">
      <x:c r="A278" s="70"/>
      <x:c r="B278" s="70"/>
      <x:c r="C278" s="70"/>
      <x:c r="D278" s="70"/>
      <x:c r="E278" s="70"/>
      <x:c r="F278" s="70"/>
      <x:c r="G278" s="70"/>
    </x:row>
    <x:row r="279" ht="15" hidden="0" customHeight="1">
      <x:c r="A279" s="70"/>
      <x:c r="B279" s="70"/>
      <x:c r="C279" s="70"/>
      <x:c r="D279" s="70"/>
      <x:c r="E279" s="70"/>
      <x:c r="F279" s="70"/>
      <x:c r="G279" s="70"/>
    </x:row>
    <x:row r="280" ht="15" hidden="0" customHeight="1">
      <x:c r="A280" s="70"/>
      <x:c r="B280" s="70"/>
      <x:c r="C280" s="70"/>
      <x:c r="D280" s="70"/>
      <x:c r="E280" s="70"/>
      <x:c r="F280" s="70"/>
      <x:c r="G280" s="70"/>
    </x:row>
    <x:row r="281" ht="15" hidden="0" customHeight="1">
      <x:c r="A281" s="70"/>
      <x:c r="B281" s="70"/>
      <x:c r="C281" s="70"/>
      <x:c r="D281" s="70"/>
      <x:c r="E281" s="70"/>
      <x:c r="F281" s="70"/>
      <x:c r="G281" s="70"/>
    </x:row>
    <x:row r="282" ht="15" hidden="0" customHeight="1">
      <x:c r="A282" s="70"/>
      <x:c r="B282" s="70"/>
      <x:c r="C282" s="70"/>
      <x:c r="D282" s="70"/>
      <x:c r="E282" s="70"/>
      <x:c r="F282" s="70"/>
      <x:c r="G282" s="70"/>
    </x:row>
    <x:row r="283" ht="15" hidden="0" customHeight="1">
      <x:c r="A283" s="70"/>
      <x:c r="B283" s="70"/>
      <x:c r="C283" s="70"/>
      <x:c r="D283" s="70"/>
      <x:c r="E283" s="70"/>
      <x:c r="F283" s="70"/>
      <x:c r="G283" s="70"/>
    </x:row>
    <x:row r="284" ht="15" hidden="0" customHeight="1">
      <x:c r="A284" s="70"/>
      <x:c r="B284" s="70"/>
      <x:c r="C284" s="70"/>
      <x:c r="D284" s="70"/>
      <x:c r="E284" s="70"/>
      <x:c r="F284" s="70"/>
      <x:c r="G284" s="70"/>
    </x:row>
    <x:row r="285" ht="15" hidden="0" customHeight="1">
      <x:c r="A285" s="70"/>
      <x:c r="B285" s="70"/>
      <x:c r="C285" s="70"/>
      <x:c r="D285" s="70"/>
      <x:c r="E285" s="70"/>
      <x:c r="F285" s="70"/>
      <x:c r="G285" s="70"/>
    </x:row>
    <x:row r="286" ht="15" hidden="0" customHeight="1">
      <x:c r="A286" s="70"/>
      <x:c r="B286" s="70"/>
      <x:c r="C286" s="70"/>
      <x:c r="D286" s="70"/>
      <x:c r="E286" s="70"/>
      <x:c r="F286" s="70"/>
      <x:c r="G286" s="70"/>
    </x:row>
    <x:row r="287" ht="15" hidden="0" customHeight="1">
      <x:c r="A287" s="70"/>
      <x:c r="B287" s="70"/>
      <x:c r="C287" s="70"/>
      <x:c r="D287" s="70"/>
      <x:c r="E287" s="70"/>
      <x:c r="F287" s="70"/>
      <x:c r="G287" s="70"/>
    </x:row>
    <x:row r="288" ht="15" hidden="0" customHeight="1">
      <x:c r="A288" s="70"/>
      <x:c r="B288" s="70"/>
      <x:c r="C288" s="70"/>
      <x:c r="D288" s="70"/>
      <x:c r="E288" s="70"/>
      <x:c r="F288" s="70"/>
      <x:c r="G288" s="70"/>
    </x:row>
    <x:row r="289" ht="15" hidden="0" customHeight="1">
      <x:c r="A289" s="70"/>
      <x:c r="B289" s="70"/>
      <x:c r="C289" s="70"/>
      <x:c r="D289" s="70"/>
      <x:c r="E289" s="70"/>
      <x:c r="F289" s="70"/>
      <x:c r="G289" s="70"/>
    </x:row>
    <x:row r="290" ht="15" hidden="0" customHeight="1">
      <x:c r="A290" s="70"/>
      <x:c r="B290" s="70"/>
      <x:c r="C290" s="70"/>
      <x:c r="D290" s="70"/>
      <x:c r="E290" s="70"/>
      <x:c r="F290" s="70"/>
      <x:c r="G290" s="70"/>
    </x:row>
    <x:row r="291" ht="15" hidden="0" customHeight="1">
      <x:c r="A291" s="70"/>
      <x:c r="B291" s="70"/>
      <x:c r="C291" s="70"/>
      <x:c r="D291" s="70"/>
      <x:c r="E291" s="70"/>
      <x:c r="F291" s="70"/>
      <x:c r="G291" s="70"/>
    </x:row>
    <x:row r="292" ht="15" hidden="0" customHeight="1">
      <x:c r="A292" s="70"/>
      <x:c r="B292" s="70"/>
      <x:c r="C292" s="70"/>
      <x:c r="D292" s="70"/>
      <x:c r="E292" s="70"/>
      <x:c r="F292" s="70"/>
      <x:c r="G292" s="70"/>
    </x:row>
    <x:row r="293" ht="15" hidden="0" customHeight="1">
      <x:c r="A293" s="70"/>
      <x:c r="B293" s="70"/>
      <x:c r="C293" s="70"/>
      <x:c r="D293" s="70"/>
      <x:c r="E293" s="70"/>
      <x:c r="F293" s="70"/>
      <x:c r="G293" s="70"/>
    </x:row>
    <x:row r="294" ht="15" hidden="0" customHeight="1">
      <x:c r="A294" s="70"/>
      <x:c r="B294" s="70"/>
      <x:c r="C294" s="70"/>
      <x:c r="D294" s="70"/>
      <x:c r="E294" s="70"/>
      <x:c r="F294" s="70"/>
      <x:c r="G294" s="70"/>
    </x:row>
    <x:row r="295" ht="15" hidden="0" customHeight="1">
      <x:c r="A295" s="70"/>
      <x:c r="B295" s="70"/>
      <x:c r="C295" s="70"/>
      <x:c r="D295" s="70"/>
      <x:c r="E295" s="70"/>
      <x:c r="F295" s="70"/>
      <x:c r="G295" s="70"/>
    </x:row>
    <x:row r="296" ht="15" hidden="0" customHeight="1">
      <x:c r="A296" s="70"/>
      <x:c r="B296" s="70"/>
      <x:c r="C296" s="70"/>
      <x:c r="D296" s="70"/>
      <x:c r="E296" s="70"/>
      <x:c r="F296" s="70"/>
      <x:c r="G296" s="70"/>
    </x:row>
    <x:row r="297" ht="15" hidden="0" customHeight="1">
      <x:c r="A297" s="70"/>
      <x:c r="B297" s="70"/>
      <x:c r="C297" s="70"/>
      <x:c r="D297" s="70"/>
      <x:c r="E297" s="70"/>
      <x:c r="F297" s="70"/>
      <x:c r="G297" s="70"/>
    </x:row>
    <x:row r="298" ht="15" hidden="0" customHeight="1">
      <x:c r="A298" s="70"/>
      <x:c r="B298" s="70"/>
      <x:c r="C298" s="70"/>
      <x:c r="D298" s="70"/>
      <x:c r="E298" s="70"/>
      <x:c r="F298" s="70"/>
      <x:c r="G298" s="70"/>
    </x:row>
    <x:row r="299" ht="15" hidden="0" customHeight="1">
      <x:c r="A299" s="70"/>
      <x:c r="B299" s="70"/>
      <x:c r="C299" s="70"/>
      <x:c r="D299" s="70"/>
      <x:c r="E299" s="70"/>
      <x:c r="F299" s="70"/>
      <x:c r="G299" s="70"/>
    </x:row>
    <x:row r="300" ht="15" hidden="0" customHeight="1">
      <x:c r="A300" s="70"/>
      <x:c r="B300" s="70"/>
      <x:c r="C300" s="70"/>
      <x:c r="D300" s="70"/>
      <x:c r="E300" s="70"/>
      <x:c r="F300" s="70"/>
      <x:c r="G300" s="70"/>
    </x:row>
    <x:row r="301" ht="15" hidden="0" customHeight="1">
      <x:c r="A301" s="70"/>
      <x:c r="B301" s="70"/>
      <x:c r="C301" s="70"/>
      <x:c r="D301" s="70"/>
      <x:c r="E301" s="70"/>
      <x:c r="F301" s="70"/>
      <x:c r="G301" s="70"/>
    </x:row>
    <x:row r="302" ht="15" hidden="0" customHeight="1">
      <x:c r="A302" s="70"/>
      <x:c r="B302" s="70"/>
      <x:c r="C302" s="70"/>
      <x:c r="D302" s="70"/>
      <x:c r="E302" s="70"/>
      <x:c r="F302" s="70"/>
      <x:c r="G302" s="70"/>
    </x:row>
    <x:row r="303" ht="15" hidden="0" customHeight="1">
      <x:c r="A303" s="70"/>
      <x:c r="B303" s="70"/>
      <x:c r="C303" s="70"/>
      <x:c r="D303" s="70"/>
      <x:c r="E303" s="70"/>
      <x:c r="F303" s="70"/>
      <x:c r="G303" s="70"/>
    </x:row>
    <x:row r="304" ht="15" hidden="0" customHeight="1">
      <x:c r="A304" s="70"/>
      <x:c r="B304" s="70"/>
      <x:c r="C304" s="70"/>
      <x:c r="D304" s="70"/>
      <x:c r="E304" s="70"/>
      <x:c r="F304" s="70"/>
      <x:c r="G304" s="70"/>
    </x:row>
    <x:row r="305" ht="15" hidden="0" customHeight="1">
      <x:c r="A305" s="70"/>
      <x:c r="B305" s="70"/>
      <x:c r="C305" s="70"/>
      <x:c r="D305" s="70"/>
      <x:c r="E305" s="70"/>
      <x:c r="F305" s="70"/>
      <x:c r="G305" s="70"/>
    </x:row>
    <x:row r="306" ht="15" hidden="0" customHeight="1">
      <x:c r="A306" s="70"/>
      <x:c r="B306" s="70"/>
      <x:c r="C306" s="70"/>
      <x:c r="D306" s="70"/>
      <x:c r="E306" s="70"/>
      <x:c r="F306" s="70"/>
      <x:c r="G306" s="70"/>
    </x:row>
    <x:row r="307" ht="15" hidden="0" customHeight="1">
      <x:c r="A307" s="70"/>
      <x:c r="B307" s="70"/>
      <x:c r="C307" s="70"/>
      <x:c r="D307" s="70"/>
      <x:c r="E307" s="70"/>
      <x:c r="F307" s="70"/>
      <x:c r="G307" s="70"/>
    </x:row>
    <x:row r="308" ht="15" hidden="0" customHeight="1">
      <x:c r="A308" s="70"/>
      <x:c r="B308" s="70"/>
      <x:c r="C308" s="70"/>
      <x:c r="D308" s="70"/>
      <x:c r="E308" s="70"/>
      <x:c r="F308" s="70"/>
      <x:c r="G308" s="70"/>
    </x:row>
    <x:row r="309" ht="15" hidden="0" customHeight="1">
      <x:c r="A309" s="70"/>
      <x:c r="B309" s="70"/>
      <x:c r="C309" s="70"/>
      <x:c r="D309" s="70"/>
      <x:c r="E309" s="70"/>
      <x:c r="F309" s="70"/>
      <x:c r="G309" s="70"/>
    </x:row>
    <x:row r="310" ht="15" hidden="0" customHeight="1">
      <x:c r="A310" s="70"/>
      <x:c r="B310" s="70"/>
      <x:c r="C310" s="70"/>
      <x:c r="D310" s="70"/>
      <x:c r="E310" s="70"/>
      <x:c r="F310" s="70"/>
      <x:c r="G310" s="70"/>
    </x:row>
    <x:row r="311" ht="15" hidden="0" customHeight="1">
      <x:c r="A311" s="70"/>
      <x:c r="B311" s="70"/>
      <x:c r="C311" s="70"/>
      <x:c r="D311" s="70"/>
      <x:c r="E311" s="70"/>
      <x:c r="F311" s="70"/>
      <x:c r="G311" s="70"/>
    </x:row>
    <x:row r="312" ht="15" hidden="0" customHeight="1">
      <x:c r="A312" s="70"/>
      <x:c r="B312" s="70"/>
      <x:c r="C312" s="70"/>
      <x:c r="D312" s="70"/>
      <x:c r="E312" s="70"/>
      <x:c r="F312" s="70"/>
      <x:c r="G312" s="70"/>
    </x:row>
    <x:row r="313" ht="15" hidden="0" customHeight="1">
      <x:c r="A313" s="70"/>
      <x:c r="B313" s="70"/>
      <x:c r="C313" s="70"/>
      <x:c r="D313" s="70"/>
      <x:c r="E313" s="70"/>
      <x:c r="F313" s="70"/>
      <x:c r="G313" s="70"/>
    </x:row>
    <x:row r="314" ht="15" hidden="0" customHeight="1">
      <x:c r="A314" s="70"/>
      <x:c r="B314" s="70"/>
      <x:c r="C314" s="70"/>
      <x:c r="D314" s="70"/>
      <x:c r="E314" s="70"/>
      <x:c r="F314" s="70"/>
      <x:c r="G314" s="70"/>
    </x:row>
    <x:row r="315" ht="15" hidden="0" customHeight="1">
      <x:c r="A315" s="70"/>
      <x:c r="B315" s="70"/>
      <x:c r="C315" s="70"/>
      <x:c r="D315" s="70"/>
      <x:c r="E315" s="70"/>
      <x:c r="F315" s="70"/>
      <x:c r="G315" s="70"/>
    </x:row>
    <x:row r="316" ht="15" hidden="0" customHeight="1">
      <x:c r="A316" s="70"/>
      <x:c r="B316" s="70"/>
      <x:c r="C316" s="70"/>
      <x:c r="D316" s="70"/>
      <x:c r="E316" s="70"/>
      <x:c r="F316" s="70"/>
      <x:c r="G316" s="70"/>
    </x:row>
    <x:row r="317" ht="15" hidden="0" customHeight="1">
      <x:c r="A317" s="70"/>
      <x:c r="B317" s="70"/>
      <x:c r="C317" s="70"/>
      <x:c r="D317" s="70"/>
      <x:c r="E317" s="70"/>
      <x:c r="F317" s="70"/>
      <x:c r="G317" s="70"/>
    </x:row>
    <x:row r="318" ht="15" hidden="0" customHeight="1">
      <x:c r="A318" s="70"/>
      <x:c r="B318" s="70"/>
      <x:c r="C318" s="70"/>
      <x:c r="D318" s="70"/>
      <x:c r="E318" s="70"/>
      <x:c r="F318" s="70"/>
      <x:c r="G318" s="70"/>
    </x:row>
    <x:row r="319" ht="15" hidden="0" customHeight="1">
      <x:c r="A319" s="70"/>
      <x:c r="B319" s="70"/>
      <x:c r="C319" s="70"/>
      <x:c r="D319" s="70"/>
      <x:c r="E319" s="70"/>
      <x:c r="F319" s="70"/>
      <x:c r="G319" s="70"/>
    </x:row>
    <x:row r="320" ht="15" hidden="0" customHeight="1">
      <x:c r="A320" s="70"/>
      <x:c r="B320" s="70"/>
      <x:c r="C320" s="70"/>
      <x:c r="D320" s="70"/>
      <x:c r="E320" s="70"/>
      <x:c r="F320" s="70"/>
      <x:c r="G320" s="70"/>
    </x:row>
    <x:row r="321" ht="15" hidden="0" customHeight="1">
      <x:c r="A321" s="70"/>
      <x:c r="B321" s="70"/>
      <x:c r="C321" s="70"/>
      <x:c r="D321" s="70"/>
      <x:c r="E321" s="70"/>
      <x:c r="F321" s="70"/>
      <x:c r="G321" s="70"/>
    </x:row>
    <x:row r="322" ht="15" hidden="0" customHeight="1">
      <x:c r="A322" s="70"/>
      <x:c r="B322" s="70"/>
      <x:c r="C322" s="70"/>
      <x:c r="D322" s="70"/>
      <x:c r="E322" s="70"/>
      <x:c r="F322" s="70"/>
      <x:c r="G322" s="70"/>
    </x:row>
    <x:row r="323" ht="15" hidden="0" customHeight="1">
      <x:c r="A323" s="70"/>
      <x:c r="B323" s="70"/>
      <x:c r="C323" s="70"/>
      <x:c r="D323" s="70"/>
      <x:c r="E323" s="70"/>
      <x:c r="F323" s="70"/>
      <x:c r="G323" s="70"/>
    </x:row>
    <x:row r="324" ht="15" hidden="0" customHeight="1">
      <x:c r="A324" s="70"/>
      <x:c r="B324" s="70"/>
      <x:c r="C324" s="70"/>
      <x:c r="D324" s="70"/>
      <x:c r="E324" s="70"/>
      <x:c r="F324" s="70"/>
      <x:c r="G324" s="70"/>
    </x:row>
    <x:row r="325" ht="15" hidden="0" customHeight="1">
      <x:c r="A325" s="70"/>
      <x:c r="B325" s="70"/>
      <x:c r="C325" s="70"/>
      <x:c r="D325" s="70"/>
      <x:c r="E325" s="70"/>
      <x:c r="F325" s="70"/>
      <x:c r="G325" s="70"/>
    </x:row>
    <x:row r="326" ht="15" hidden="0" customHeight="1">
      <x:c r="A326" s="70"/>
      <x:c r="B326" s="70"/>
      <x:c r="C326" s="70"/>
      <x:c r="D326" s="70"/>
      <x:c r="E326" s="70"/>
      <x:c r="F326" s="70"/>
      <x:c r="G326" s="70"/>
    </x:row>
    <x:row r="327" ht="15" hidden="0" customHeight="1">
      <x:c r="A327" s="70"/>
      <x:c r="B327" s="70"/>
      <x:c r="C327" s="70"/>
      <x:c r="D327" s="70"/>
      <x:c r="E327" s="70"/>
      <x:c r="F327" s="70"/>
      <x:c r="G327" s="70"/>
    </x:row>
    <x:row r="328" ht="15" hidden="0" customHeight="1">
      <x:c r="A328" s="70"/>
      <x:c r="B328" s="70"/>
      <x:c r="C328" s="70"/>
      <x:c r="D328" s="70"/>
      <x:c r="E328" s="70"/>
      <x:c r="F328" s="70"/>
      <x:c r="G328" s="70"/>
    </x:row>
    <x:row r="329" ht="15" hidden="0" customHeight="1">
      <x:c r="A329" s="70"/>
      <x:c r="B329" s="70"/>
      <x:c r="C329" s="70"/>
      <x:c r="D329" s="70"/>
      <x:c r="E329" s="70"/>
      <x:c r="F329" s="70"/>
      <x:c r="G329" s="70"/>
    </x:row>
    <x:row r="330" ht="15" hidden="0" customHeight="1">
      <x:c r="A330" s="70"/>
      <x:c r="B330" s="70"/>
      <x:c r="C330" s="70"/>
      <x:c r="D330" s="70"/>
      <x:c r="E330" s="70"/>
      <x:c r="F330" s="70"/>
      <x:c r="G330" s="70"/>
    </x:row>
    <x:row r="331" ht="15" hidden="0" customHeight="1">
      <x:c r="A331" s="70"/>
      <x:c r="B331" s="70"/>
      <x:c r="C331" s="70"/>
      <x:c r="D331" s="70"/>
      <x:c r="E331" s="70"/>
      <x:c r="F331" s="70"/>
      <x:c r="G331" s="70"/>
    </x:row>
    <x:row r="332" ht="15" hidden="0" customHeight="1">
      <x:c r="A332" s="70"/>
      <x:c r="B332" s="70"/>
      <x:c r="C332" s="70"/>
      <x:c r="D332" s="70"/>
      <x:c r="E332" s="70"/>
      <x:c r="F332" s="70"/>
      <x:c r="G332" s="70"/>
    </x:row>
    <x:row r="333" ht="15" hidden="0" customHeight="1">
      <x:c r="A333" s="70"/>
      <x:c r="B333" s="70"/>
      <x:c r="C333" s="70"/>
      <x:c r="D333" s="70"/>
      <x:c r="E333" s="70"/>
      <x:c r="F333" s="70"/>
      <x:c r="G333" s="70"/>
    </x:row>
    <x:row r="334" ht="15" hidden="0" customHeight="1">
      <x:c r="A334" s="70"/>
      <x:c r="B334" s="70"/>
      <x:c r="C334" s="70"/>
      <x:c r="D334" s="70"/>
      <x:c r="E334" s="70"/>
      <x:c r="F334" s="70"/>
      <x:c r="G334" s="70"/>
    </x:row>
    <x:row r="335" ht="15" hidden="0" customHeight="1">
      <x:c r="A335" s="70"/>
      <x:c r="B335" s="70"/>
      <x:c r="C335" s="70"/>
      <x:c r="D335" s="70"/>
      <x:c r="E335" s="70"/>
      <x:c r="F335" s="70"/>
      <x:c r="G335" s="70"/>
    </x:row>
    <x:row r="336" ht="15" hidden="0" customHeight="1">
      <x:c r="A336" s="70"/>
      <x:c r="B336" s="70"/>
      <x:c r="C336" s="70"/>
      <x:c r="D336" s="70"/>
      <x:c r="E336" s="70"/>
      <x:c r="F336" s="70"/>
      <x:c r="G336" s="70"/>
    </x:row>
    <x:row r="337" ht="15" hidden="0" customHeight="1">
      <x:c r="A337" s="70"/>
      <x:c r="B337" s="70"/>
      <x:c r="C337" s="70"/>
      <x:c r="D337" s="70"/>
      <x:c r="E337" s="70"/>
      <x:c r="F337" s="70"/>
      <x:c r="G337" s="70"/>
    </x:row>
    <x:row r="338" ht="15" hidden="0" customHeight="1">
      <x:c r="A338" s="70"/>
      <x:c r="B338" s="70"/>
      <x:c r="C338" s="70"/>
      <x:c r="D338" s="70"/>
      <x:c r="E338" s="70"/>
      <x:c r="F338" s="70"/>
      <x:c r="G338" s="70"/>
    </x:row>
    <x:row r="339" ht="15" hidden="0" customHeight="1">
      <x:c r="A339" s="70"/>
      <x:c r="B339" s="70"/>
      <x:c r="C339" s="70"/>
      <x:c r="D339" s="70"/>
      <x:c r="E339" s="70"/>
      <x:c r="F339" s="70"/>
      <x:c r="G339" s="70"/>
    </x:row>
    <x:row r="340" ht="15" hidden="0" customHeight="1">
      <x:c r="A340" s="70"/>
      <x:c r="B340" s="70"/>
      <x:c r="C340" s="70"/>
      <x:c r="D340" s="70"/>
      <x:c r="E340" s="70"/>
      <x:c r="F340" s="70"/>
      <x:c r="G340" s="70"/>
    </x:row>
    <x:row r="341" ht="15" hidden="0" customHeight="1">
      <x:c r="A341" s="70"/>
      <x:c r="B341" s="70"/>
      <x:c r="C341" s="70"/>
      <x:c r="D341" s="70"/>
      <x:c r="E341" s="70"/>
      <x:c r="F341" s="70"/>
      <x:c r="G341" s="70"/>
    </x:row>
    <x:row r="342" ht="15" hidden="0" customHeight="1">
      <x:c r="A342" s="70"/>
      <x:c r="B342" s="70"/>
      <x:c r="C342" s="70"/>
      <x:c r="D342" s="70"/>
      <x:c r="E342" s="70"/>
      <x:c r="F342" s="70"/>
      <x:c r="G342" s="70"/>
    </x:row>
    <x:row r="343" ht="15" hidden="0" customHeight="1">
      <x:c r="A343" s="70"/>
      <x:c r="B343" s="70"/>
      <x:c r="C343" s="70"/>
      <x:c r="D343" s="70"/>
      <x:c r="E343" s="70"/>
      <x:c r="F343" s="70"/>
      <x:c r="G343" s="70"/>
    </x:row>
    <x:row r="344" ht="15" hidden="0" customHeight="1">
      <x:c r="A344" s="70"/>
      <x:c r="B344" s="70"/>
      <x:c r="C344" s="70"/>
      <x:c r="D344" s="70"/>
      <x:c r="E344" s="70"/>
      <x:c r="F344" s="70"/>
      <x:c r="G344" s="70"/>
    </x:row>
    <x:row r="345" ht="15" hidden="0" customHeight="1">
      <x:c r="A345" s="70"/>
      <x:c r="B345" s="70"/>
      <x:c r="C345" s="70"/>
      <x:c r="D345" s="70"/>
      <x:c r="E345" s="70"/>
      <x:c r="F345" s="70"/>
      <x:c r="G345" s="70"/>
    </x:row>
    <x:row r="346" ht="15" hidden="0" customHeight="1">
      <x:c r="A346" s="70"/>
      <x:c r="B346" s="70"/>
      <x:c r="C346" s="70"/>
      <x:c r="D346" s="70"/>
      <x:c r="E346" s="70"/>
      <x:c r="F346" s="70"/>
      <x:c r="G346" s="70"/>
    </x:row>
    <x:row r="347" ht="15" hidden="0" customHeight="1">
      <x:c r="A347" s="70"/>
      <x:c r="B347" s="70"/>
      <x:c r="C347" s="70"/>
      <x:c r="D347" s="70"/>
      <x:c r="E347" s="70"/>
      <x:c r="F347" s="70"/>
      <x:c r="G347" s="70"/>
    </x:row>
    <x:row r="348" ht="15" hidden="0" customHeight="1">
      <x:c r="A348" s="70"/>
      <x:c r="B348" s="70"/>
      <x:c r="C348" s="70"/>
      <x:c r="D348" s="70"/>
      <x:c r="E348" s="70"/>
      <x:c r="F348" s="70"/>
      <x:c r="G348" s="70"/>
    </x:row>
    <x:row r="349" ht="15" hidden="0" customHeight="1">
      <x:c r="A349" s="70"/>
      <x:c r="B349" s="70"/>
      <x:c r="C349" s="70"/>
      <x:c r="D349" s="70"/>
      <x:c r="E349" s="70"/>
      <x:c r="F349" s="70"/>
      <x:c r="G349" s="70"/>
    </x:row>
    <x:row r="350" ht="15" hidden="0" customHeight="1">
      <x:c r="A350" s="70"/>
      <x:c r="B350" s="70"/>
      <x:c r="C350" s="70"/>
      <x:c r="D350" s="70"/>
      <x:c r="E350" s="70"/>
      <x:c r="F350" s="70"/>
      <x:c r="G350" s="70"/>
    </x:row>
    <x:row r="351" ht="15" hidden="0" customHeight="1">
      <x:c r="A351" s="70"/>
      <x:c r="B351" s="70"/>
      <x:c r="C351" s="70"/>
      <x:c r="D351" s="70"/>
      <x:c r="E351" s="70"/>
      <x:c r="F351" s="70"/>
      <x:c r="G351" s="70"/>
    </x:row>
    <x:row r="352" ht="15" hidden="0" customHeight="1">
      <x:c r="A352" s="70"/>
      <x:c r="B352" s="70"/>
      <x:c r="C352" s="70"/>
      <x:c r="D352" s="70"/>
      <x:c r="E352" s="70"/>
      <x:c r="F352" s="70"/>
      <x:c r="G352" s="70"/>
    </x:row>
    <x:row r="353" ht="15" hidden="0" customHeight="1">
      <x:c r="A353" s="70"/>
      <x:c r="B353" s="70"/>
      <x:c r="C353" s="70"/>
      <x:c r="D353" s="70"/>
      <x:c r="E353" s="70"/>
      <x:c r="F353" s="70"/>
      <x:c r="G353" s="70"/>
    </x:row>
    <x:row r="354" ht="15" hidden="0" customHeight="1">
      <x:c r="A354" s="70"/>
      <x:c r="B354" s="70"/>
      <x:c r="C354" s="70"/>
      <x:c r="D354" s="70"/>
      <x:c r="E354" s="70"/>
      <x:c r="F354" s="70"/>
      <x:c r="G354" s="70"/>
    </x:row>
    <x:row r="355" ht="15" hidden="0" customHeight="1">
      <x:c r="A355" s="70"/>
      <x:c r="B355" s="70"/>
      <x:c r="C355" s="70"/>
      <x:c r="D355" s="70"/>
      <x:c r="E355" s="70"/>
      <x:c r="F355" s="70"/>
      <x:c r="G355" s="70"/>
    </x:row>
    <x:row r="356" ht="15" hidden="0" customHeight="1">
      <x:c r="A356" s="70"/>
      <x:c r="B356" s="70"/>
      <x:c r="C356" s="70"/>
      <x:c r="D356" s="70"/>
      <x:c r="E356" s="70"/>
      <x:c r="F356" s="70"/>
      <x:c r="G356" s="70"/>
    </x:row>
    <x:row r="357" ht="15" hidden="0" customHeight="1">
      <x:c r="A357" s="70"/>
      <x:c r="B357" s="70"/>
      <x:c r="C357" s="70"/>
      <x:c r="D357" s="70"/>
      <x:c r="E357" s="70"/>
      <x:c r="F357" s="70"/>
      <x:c r="G357" s="70"/>
    </x:row>
    <x:row r="358" ht="15" hidden="0" customHeight="1">
      <x:c r="A358" s="70"/>
      <x:c r="B358" s="70"/>
      <x:c r="C358" s="70"/>
      <x:c r="D358" s="70"/>
      <x:c r="E358" s="70"/>
      <x:c r="F358" s="70"/>
      <x:c r="G358" s="70"/>
    </x:row>
    <x:row r="359" ht="15" hidden="0" customHeight="1">
      <x:c r="A359" s="70"/>
      <x:c r="B359" s="70"/>
      <x:c r="C359" s="70"/>
      <x:c r="D359" s="70"/>
      <x:c r="E359" s="70"/>
      <x:c r="F359" s="70"/>
      <x:c r="G359" s="70"/>
    </x:row>
    <x:row r="360" ht="15" hidden="0" customHeight="1">
      <x:c r="A360" s="70"/>
      <x:c r="B360" s="70"/>
      <x:c r="C360" s="70"/>
      <x:c r="D360" s="70"/>
      <x:c r="E360" s="70"/>
      <x:c r="F360" s="70"/>
      <x:c r="G360" s="70"/>
    </x:row>
    <x:row r="361" ht="15" hidden="0" customHeight="1">
      <x:c r="A361" s="70"/>
      <x:c r="B361" s="70"/>
      <x:c r="C361" s="70"/>
      <x:c r="D361" s="70"/>
      <x:c r="E361" s="70"/>
      <x:c r="F361" s="70"/>
      <x:c r="G361" s="70"/>
    </x:row>
    <x:row r="362" ht="15" hidden="0" customHeight="1">
      <x:c r="A362" s="70"/>
      <x:c r="B362" s="70"/>
      <x:c r="C362" s="70"/>
      <x:c r="D362" s="70"/>
      <x:c r="E362" s="70"/>
      <x:c r="F362" s="70"/>
      <x:c r="G362" s="70"/>
    </x:row>
    <x:row r="363" ht="15" hidden="0" customHeight="1">
      <x:c r="A363" s="70"/>
      <x:c r="B363" s="70"/>
      <x:c r="C363" s="70"/>
      <x:c r="D363" s="70"/>
      <x:c r="E363" s="70"/>
      <x:c r="F363" s="70"/>
      <x:c r="G363" s="70"/>
    </x:row>
    <x:row r="364" ht="15" hidden="0" customHeight="1">
      <x:c r="A364" s="70"/>
      <x:c r="B364" s="70"/>
      <x:c r="C364" s="70"/>
      <x:c r="D364" s="70"/>
      <x:c r="E364" s="70"/>
      <x:c r="F364" s="70"/>
      <x:c r="G364" s="70"/>
    </x:row>
    <x:row r="365" ht="15" hidden="0" customHeight="1">
      <x:c r="A365" s="70"/>
      <x:c r="B365" s="70"/>
      <x:c r="C365" s="70"/>
      <x:c r="D365" s="70"/>
      <x:c r="E365" s="70"/>
      <x:c r="F365" s="70"/>
      <x:c r="G365" s="70"/>
    </x:row>
    <x:row r="366" ht="15" hidden="0" customHeight="1">
      <x:c r="A366" s="70"/>
      <x:c r="B366" s="70"/>
      <x:c r="C366" s="70"/>
      <x:c r="D366" s="70"/>
      <x:c r="E366" s="70"/>
      <x:c r="F366" s="70"/>
      <x:c r="G366" s="70"/>
    </x:row>
    <x:row r="367" ht="15" hidden="0" customHeight="1">
      <x:c r="A367" s="70"/>
      <x:c r="B367" s="70"/>
      <x:c r="C367" s="70"/>
      <x:c r="D367" s="70"/>
      <x:c r="E367" s="70"/>
      <x:c r="F367" s="70"/>
      <x:c r="G367" s="70"/>
    </x:row>
    <x:row r="368" ht="15" hidden="0" customHeight="1">
      <x:c r="A368" s="70"/>
      <x:c r="B368" s="70"/>
      <x:c r="C368" s="70"/>
      <x:c r="D368" s="70"/>
      <x:c r="E368" s="70"/>
      <x:c r="F368" s="70"/>
      <x:c r="G368" s="70"/>
    </x:row>
    <x:row r="369" ht="15" hidden="0" customHeight="1">
      <x:c r="A369" s="70"/>
      <x:c r="B369" s="70"/>
      <x:c r="C369" s="70"/>
      <x:c r="D369" s="70"/>
      <x:c r="E369" s="70"/>
      <x:c r="F369" s="70"/>
      <x:c r="G369" s="70"/>
    </x:row>
    <x:row r="370" ht="15" hidden="0" customHeight="1">
      <x:c r="A370" s="70"/>
      <x:c r="B370" s="70"/>
      <x:c r="C370" s="70"/>
      <x:c r="D370" s="70"/>
      <x:c r="E370" s="70"/>
      <x:c r="F370" s="70"/>
      <x:c r="G370" s="70"/>
    </x:row>
    <x:row r="371" ht="15" hidden="0" customHeight="1">
      <x:c r="A371" s="70"/>
      <x:c r="B371" s="70"/>
      <x:c r="C371" s="70"/>
      <x:c r="D371" s="70"/>
      <x:c r="E371" s="70"/>
      <x:c r="F371" s="70"/>
      <x:c r="G371" s="70"/>
    </x:row>
    <x:row r="372" ht="15" hidden="0" customHeight="1">
      <x:c r="A372" s="70"/>
      <x:c r="B372" s="70"/>
      <x:c r="C372" s="70"/>
      <x:c r="D372" s="70"/>
      <x:c r="E372" s="70"/>
      <x:c r="F372" s="70"/>
      <x:c r="G372" s="70"/>
    </x:row>
    <x:row r="373" ht="15" hidden="0" customHeight="1">
      <x:c r="A373" s="70"/>
      <x:c r="B373" s="70"/>
      <x:c r="C373" s="70"/>
      <x:c r="D373" s="70"/>
      <x:c r="E373" s="70"/>
      <x:c r="F373" s="70"/>
      <x:c r="G373" s="70"/>
    </x:row>
    <x:row r="374" ht="15" hidden="0" customHeight="1">
      <x:c r="A374" s="70"/>
      <x:c r="B374" s="70"/>
      <x:c r="C374" s="70"/>
      <x:c r="D374" s="70"/>
      <x:c r="E374" s="70"/>
      <x:c r="F374" s="70"/>
      <x:c r="G374" s="70"/>
    </x:row>
    <x:row r="375" ht="15" hidden="0" customHeight="1">
      <x:c r="A375" s="70"/>
      <x:c r="B375" s="70"/>
      <x:c r="C375" s="70"/>
      <x:c r="D375" s="70"/>
      <x:c r="E375" s="70"/>
      <x:c r="F375" s="70"/>
      <x:c r="G375" s="70"/>
    </x:row>
    <x:row r="376" ht="15" hidden="0" customHeight="1">
      <x:c r="A376" s="70"/>
      <x:c r="B376" s="70"/>
      <x:c r="C376" s="70"/>
      <x:c r="D376" s="70"/>
      <x:c r="E376" s="70"/>
      <x:c r="F376" s="70"/>
      <x:c r="G376" s="70"/>
    </x:row>
    <x:row r="377" ht="15" hidden="0" customHeight="1">
      <x:c r="A377" s="70"/>
      <x:c r="B377" s="70"/>
      <x:c r="C377" s="70"/>
      <x:c r="D377" s="70"/>
      <x:c r="E377" s="70"/>
      <x:c r="F377" s="70"/>
      <x:c r="G377" s="70"/>
    </x:row>
    <x:row r="378" ht="15" hidden="0" customHeight="1">
      <x:c r="A378" s="70"/>
      <x:c r="B378" s="70"/>
      <x:c r="C378" s="70"/>
      <x:c r="D378" s="70"/>
      <x:c r="E378" s="70"/>
      <x:c r="F378" s="70"/>
      <x:c r="G378" s="70"/>
    </x:row>
    <x:row r="379" ht="15" hidden="0" customHeight="1">
      <x:c r="A379" s="70"/>
      <x:c r="B379" s="70"/>
      <x:c r="C379" s="70"/>
      <x:c r="D379" s="70"/>
      <x:c r="E379" s="70"/>
      <x:c r="F379" s="70"/>
      <x:c r="G379" s="70"/>
    </x:row>
    <x:row r="380" ht="15" hidden="0" customHeight="1">
      <x:c r="A380" s="70"/>
      <x:c r="B380" s="70"/>
      <x:c r="C380" s="70"/>
      <x:c r="D380" s="70"/>
      <x:c r="E380" s="70"/>
      <x:c r="F380" s="70"/>
      <x:c r="G380" s="70"/>
    </x:row>
    <x:row r="381" ht="15" hidden="0" customHeight="1">
      <x:c r="A381" s="70"/>
      <x:c r="B381" s="70"/>
      <x:c r="C381" s="70"/>
      <x:c r="D381" s="70"/>
      <x:c r="E381" s="70"/>
      <x:c r="F381" s="70"/>
      <x:c r="G381" s="70"/>
    </x:row>
    <x:row r="382" ht="15" hidden="0" customHeight="1">
      <x:c r="A382" s="70"/>
      <x:c r="B382" s="70"/>
      <x:c r="C382" s="70"/>
      <x:c r="D382" s="70"/>
      <x:c r="E382" s="70"/>
      <x:c r="F382" s="70"/>
      <x:c r="G382" s="70"/>
    </x:row>
    <x:row r="383" ht="15" hidden="0" customHeight="1">
      <x:c r="A383" s="70"/>
      <x:c r="B383" s="70"/>
      <x:c r="C383" s="70"/>
      <x:c r="D383" s="70"/>
      <x:c r="E383" s="70"/>
      <x:c r="F383" s="70"/>
      <x:c r="G383" s="70"/>
    </x:row>
    <x:row r="384" ht="15" hidden="0" customHeight="1">
      <x:c r="A384" s="70"/>
      <x:c r="B384" s="70"/>
      <x:c r="C384" s="70"/>
      <x:c r="D384" s="70"/>
      <x:c r="E384" s="70"/>
      <x:c r="F384" s="70"/>
      <x:c r="G384" s="70"/>
    </x:row>
    <x:row r="385" ht="15" hidden="0" customHeight="1">
      <x:c r="A385" s="70"/>
      <x:c r="B385" s="70"/>
      <x:c r="C385" s="70"/>
      <x:c r="D385" s="70"/>
      <x:c r="E385" s="70"/>
      <x:c r="F385" s="70"/>
      <x:c r="G385" s="70"/>
    </x:row>
    <x:row r="386" ht="15" hidden="0" customHeight="1">
      <x:c r="A386" s="70"/>
      <x:c r="B386" s="70"/>
      <x:c r="C386" s="70"/>
      <x:c r="D386" s="70"/>
      <x:c r="E386" s="70"/>
      <x:c r="F386" s="70"/>
      <x:c r="G386" s="70"/>
    </x:row>
    <x:row r="387" ht="15" hidden="0" customHeight="1">
      <x:c r="A387" s="70"/>
      <x:c r="B387" s="70"/>
      <x:c r="C387" s="70"/>
      <x:c r="D387" s="70"/>
      <x:c r="E387" s="70"/>
      <x:c r="F387" s="70"/>
      <x:c r="G387" s="70"/>
    </x:row>
    <x:row r="388" ht="15" hidden="0" customHeight="1">
      <x:c r="A388" s="70"/>
      <x:c r="B388" s="70"/>
      <x:c r="C388" s="70"/>
      <x:c r="D388" s="70"/>
      <x:c r="E388" s="70"/>
      <x:c r="F388" s="70"/>
      <x:c r="G388" s="70"/>
    </x:row>
    <x:row r="389" ht="15" hidden="0" customHeight="1">
      <x:c r="A389" s="70"/>
      <x:c r="B389" s="70"/>
      <x:c r="C389" s="70"/>
      <x:c r="D389" s="70"/>
      <x:c r="E389" s="70"/>
      <x:c r="F389" s="70"/>
      <x:c r="G389" s="70"/>
    </x:row>
    <x:row r="390" ht="15" hidden="0" customHeight="1">
      <x:c r="A390" s="70"/>
      <x:c r="B390" s="70"/>
      <x:c r="C390" s="70"/>
      <x:c r="D390" s="70"/>
      <x:c r="E390" s="70"/>
      <x:c r="F390" s="70"/>
      <x:c r="G390" s="70"/>
    </x:row>
    <x:row r="391" ht="15" hidden="0" customHeight="1">
      <x:c r="A391" s="70"/>
      <x:c r="B391" s="70"/>
      <x:c r="C391" s="70"/>
      <x:c r="D391" s="70"/>
      <x:c r="E391" s="70"/>
      <x:c r="F391" s="70"/>
      <x:c r="G391" s="70"/>
    </x:row>
    <x:row r="392" ht="15" hidden="0" customHeight="1">
      <x:c r="A392" s="70"/>
      <x:c r="B392" s="70"/>
      <x:c r="C392" s="70"/>
      <x:c r="D392" s="70"/>
      <x:c r="E392" s="70"/>
      <x:c r="F392" s="70"/>
      <x:c r="G392" s="70"/>
    </x:row>
    <x:row r="393" ht="15" hidden="0" customHeight="1">
      <x:c r="A393" s="70"/>
      <x:c r="B393" s="70"/>
      <x:c r="C393" s="70"/>
      <x:c r="D393" s="70"/>
      <x:c r="E393" s="70"/>
      <x:c r="F393" s="70"/>
      <x:c r="G393" s="70"/>
    </x:row>
    <x:row r="394" ht="15" hidden="0" customHeight="1">
      <x:c r="A394" s="70"/>
      <x:c r="B394" s="70"/>
      <x:c r="C394" s="70"/>
      <x:c r="D394" s="70"/>
      <x:c r="E394" s="70"/>
      <x:c r="F394" s="70"/>
      <x:c r="G394" s="70"/>
    </x:row>
    <x:row r="395" ht="15" hidden="0" customHeight="1">
      <x:c r="A395" s="70"/>
      <x:c r="B395" s="70"/>
      <x:c r="C395" s="70"/>
      <x:c r="D395" s="70"/>
      <x:c r="E395" s="70"/>
      <x:c r="F395" s="70"/>
      <x:c r="G395" s="70"/>
    </x:row>
    <x:row r="396" ht="15" hidden="0" customHeight="1">
      <x:c r="A396" s="70"/>
      <x:c r="B396" s="70"/>
      <x:c r="C396" s="70"/>
      <x:c r="D396" s="70"/>
      <x:c r="E396" s="70"/>
      <x:c r="F396" s="70"/>
      <x:c r="G396" s="70"/>
    </x:row>
    <x:row r="397" ht="15" hidden="0" customHeight="1">
      <x:c r="A397" s="70"/>
      <x:c r="B397" s="70"/>
      <x:c r="C397" s="70"/>
      <x:c r="D397" s="70"/>
      <x:c r="E397" s="70"/>
      <x:c r="F397" s="70"/>
      <x:c r="G397" s="70"/>
    </x:row>
    <x:row r="398" ht="15" hidden="0" customHeight="1">
      <x:c r="A398" s="70"/>
      <x:c r="B398" s="70"/>
      <x:c r="C398" s="70"/>
      <x:c r="D398" s="70"/>
      <x:c r="E398" s="70"/>
      <x:c r="F398" s="70"/>
      <x:c r="G398" s="70"/>
    </x:row>
    <x:row r="399" ht="15" hidden="0" customHeight="1">
      <x:c r="A399" s="70"/>
      <x:c r="B399" s="70"/>
      <x:c r="C399" s="70"/>
      <x:c r="D399" s="70"/>
      <x:c r="E399" s="70"/>
      <x:c r="F399" s="70"/>
      <x:c r="G399" s="70"/>
    </x:row>
    <x:row r="400" ht="15" hidden="0" customHeight="1">
      <x:c r="A400" s="70"/>
      <x:c r="B400" s="70"/>
      <x:c r="C400" s="70"/>
      <x:c r="D400" s="70"/>
      <x:c r="E400" s="70"/>
      <x:c r="F400" s="70"/>
      <x:c r="G400" s="70"/>
    </x:row>
  </x:sheetData>
  <x:mergeCells>
    <x:mergeCell ref="A1:F1"/>
    <x:mergeCell ref="A2:F2"/>
  </x:mergeCells>
  <x:dataValidations count="1">
    <x:dataValidation type="list" sqref="D5:D16">
      <x:formula1>"NOT_CHECKED,IN_PROGRESS,FAIL,PASS,NOT_APPLICABLE"</x:formula1>
    </x:dataValidation>
  </x:dataValidations>
  <x:pageMargins left="0.7" right="0.7" top="0.75" bottom="0.75" header="0.3" footer="0.3"/>
  <x:tableParts count="1">
    <x:tablePart xmlns:r="http://schemas.openxmlformats.org/officeDocument/2006/relationships" r:id="Rdb95f00997ec4014"/>
  </x:tableParts>
</x:worksheet>
</file>

<file path=xl/worksheets/sheet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45" hidden="0" customWidth="1"/>
    <x:col min="3" max="3" width="28" hidden="0" customWidth="1"/>
    <x:col min="4" max="4" width="30" hidden="0" customWidth="1"/>
    <x:col min="5" max="5" width="40" hidden="0" customWidth="1"/>
    <x:col min="6" max="6" width="70" hidden="0" customWidth="1"/>
    <x:col min="7" max="7" width="65" hidden="0" customWidth="1"/>
    <x:col min="8" max="8" width="55" hidden="0" customWidth="1"/>
    <x:col min="9" max="9" width="40" hidden="0" customWidth="1"/>
  </x:cols>
  <x:sheetData>
    <x:row r="1" ht="34" customHeight="1">
      <x:c r="A1" s="3" t="str">
        <x:v>Q1–Q20 | Quyết định cần phê duyệt</x:v>
      </x:c>
      <x:c r="B1" s="3"/>
      <x:c r="C1" s="3"/>
      <x:c r="D1" s="3"/>
      <x:c r="E1" s="3"/>
    </x:row>
    <x:row r="2" ht="33" customHeight="1">
      <x:c r="A2" s="7" t="str">
        <x:v>Yêu cầu xuất kế hoạch không tự là lệnh deploy hoặc phê duyệt từng Q.</x:v>
      </x:c>
      <x:c r="B2" s="7"/>
      <x:c r="C2" s="7"/>
      <x:c r="D2" s="7"/>
      <x:c r="E2" s="7"/>
    </x:row>
    <x:row r="4" ht="36" customHeight="1">
      <x:c r="A4" s="68" t="str">
        <x:v>ID</x:v>
      </x:c>
      <x:c r="B4" s="68" t="str">
        <x:v>Chủ đề</x:v>
      </x:c>
      <x:c r="C4" s="68" t="str">
        <x:v>Quyết định</x:v>
      </x:c>
      <x:c r="D4" s="68" t="str">
        <x:v>Đề xuất và lý do</x:v>
      </x:c>
      <x:c r="E4" s="68" t="str">
        <x:v>Người duyệt</x:v>
      </x:c>
      <x:c r="F4" s="68" t="str">
        <x:v>Phương án và đánh đổi</x:v>
      </x:c>
      <x:c r="G4" s="68" t="str">
        <x:v>Điều kiện</x:v>
      </x:c>
      <x:c r="H4" s="68" t="str">
        <x:v>Evidence</x:v>
      </x:c>
      <x:c r="I4" s="68" t="str">
        <x:v>Thời điểm phải chốt</x:v>
      </x:c>
    </x:row>
    <x:row r="5" ht="180" hidden="0" customHeight="1">
      <x:c r="A5" s="56" t="str">
        <x:v>Q1</x:v>
      </x:c>
      <x:c r="B5" s="56" t="str">
        <x:v>Định vị tự hiểu và thiết kế đời sống</x:v>
      </x:c>
      <x:c r="C5" s="57" t="str">
        <x:v>PENDING_FOUNDER</x:v>
      </x:c>
      <x:c r="D5" s="57" t="str">
        <x:v>Q1-A
It preserves the stated vision while creating a reviewable boundary between reflection and prohibited scientific, medical or deterministic claims.
Requires ongoing Editorial, Method, Privacy and Legal review
Public copy cannot outrun evidence or product-specific gates</x:v>
      </x:c>
      <x:c r="E5" s="57" t="str">
        <x:v>Founder
Product Lead
Method Lead
Editorial Lead
Privacy/Legal</x:v>
      </x:c>
      <x:c r="F5" s="56" t="str">
        <x:v>Q1-A Bounded self-understanding and life-design positioning
Position the system as reflective decision support with explicit limits; exclude diagnosis, destiny and guaranteed outcomes.
Preserves the product vision and action orientation
Requires disciplined claim review across every surface
Q1-B Educational wellbeing content only
Restrict the offer to static education and journaling without individualized interpretations.
Lowest claim risk
Removes much of the differentiated personalized value
Q1-C Pause positioning and run discovery
Do not freeze a public position until user research and legal review are complete.
Reduces premature commitment
Delays taxonomy, copy, product contracts and demo acceptance</x:v>
      </x:c>
      <x:c r="G5" s="56" t="str">
        <x:v>No diagnosis, destiny, guaranteed outcome or high-impact decision claim
Every public claim must map to a product/method/content release</x:v>
      </x:c>
      <x:c r="H5" s="56" t="str">
        <x:v>decision_id
selected_option_id
scope_and_exclusions
conditions
baseline_sha_and_artifact_ids
approver_names_and_roles
decided_at
expiry_or_revisit_event
affected_task_and_gate_updates</x:v>
      </x:c>
      <x:c r="I5" s="56" t="str">
        <x:v>before product narrative, public copy or pilot scope is frozen</x:v>
      </x:c>
    </x:row>
    <x:row r="6" ht="168" hidden="0" customHeight="1">
      <x:c r="A6" s="56" t="str">
        <x:v>Q2</x:v>
      </x:c>
      <x:c r="B6" s="56" t="str">
        <x:v>9 cấp/12 lớp/4 phần/12 trường/K01–20</x:v>
      </x:c>
      <x:c r="C6" s="57" t="str">
        <x:v>PENDING_FOUNDER</x:v>
      </x:c>
      <x:c r="D6" s="57" t="str">
        <x:v>Q2-A
Versioning retains all requested concepts without representing the taxonomy as validated science and gives downstream schemas stable identifiers.
More documentation and migration discipline
Definitions must be testable and cannot remain marketing labels</x:v>
      </x:c>
      <x:c r="E6" s="57" t="str">
        <x:v>Founder
Product Lead
Method Lead
Data Architect
AI/Editorial Lead</x:v>
      </x:c>
      <x:c r="F6" s="56" t="str">
        <x:v>Q2-A Lock the 9-level/12-layer/4-block/12-field/K01-K20 model as a versioned taxonomy
Keep the complete model, publish definitions and version every semantic change.
Preserves all original vision and trace IDs
Creates broad governance and regression-test obligations
Q2-B Lock nine levels only and defer lower taxonomies
Use nine levels now; treat layers, blocks, fields and K families as research-only.
Smaller initial contract
Delays report differentiation and method mapping
Q2-C Redesign the taxonomy before implementation
Replace the current hierarchy after a dedicated research cycle.
May simplify the model
Breaks current product/report/trace mappings and delays development</x:v>
      </x:c>
      <x:c r="G6" s="56" t="str">
        <x:v>Taxonomy status is conceptual until evidence says otherwise
Semantic changes require migration and downstream trace review</x:v>
      </x:c>
      <x:c r="H6" s="56" t="str">
        <x:v>decision_id
selected_option_id
scope_and_exclusions
conditions
baseline_sha_and_artifact_ids
approver_names_and_roles
decided_at
expiry_or_revisit_event
affected_task_and_gate_updates</x:v>
      </x:c>
      <x:c r="I6" s="56" t="str">
        <x:v>before schema, API and nine-level report contracts are frozen</x:v>
      </x:c>
    </x:row>
    <x:row r="7" ht="168" hidden="0" customHeight="1">
      <x:c r="A7" s="56" t="str">
        <x:v>Q3</x:v>
      </x:c>
      <x:c r="B7" s="56" t="str">
        <x:v>Method độc lập theo nguồn và phiên bản</x:v>
      </x:c>
      <x:c r="C7" s="57" t="str">
        <x:v>PENDING_FOUNDER</x:v>
      </x:c>
      <x:c r="D7" s="57" t="str">
        <x:v>Q3-A
Per-method releases provide the minimum isolation needed for rights, corrections, rollback and level-specific eligibility.
Requires a release registry and independent review per method
Some catalog products remain unavailable while individual methods are blocked</x:v>
      </x:c>
      <x:c r="E7" s="57" t="str">
        <x:v>Founder
Method Council
Data Lead
Legal/Rights Reviewer
QA</x:v>
      </x:c>
      <x:c r="F7" s="56" t="str">
        <x:v>Q3-A Independent versioned method releases
Release each method by source, rights, formula, tests, limits and named approvers.
Strong provenance and selective withdrawal
Higher registry and review overhead
Q3-B One bundled method release
Approve the whole method set under one version and review.
Simpler packaging
A defect or rights issue can block or taint the entire bundle
Q3-C Content-only mode with no calculation methods
Keep method descriptions but disable computed or individualized outputs.
Lowest execution and rights risk
Cannot deliver the intended analytic product depth</x:v>
      </x:c>
      <x:c r="G7" s="56" t="str">
        <x:v>No release without source/right/formula/test/limit evidence
Withdrawal must invalidate dependent jobs, reports and exports</x:v>
      </x:c>
      <x:c r="H7" s="56" t="str">
        <x:v>decision_id
selected_option_id
scope_and_exclusions
conditions
baseline_sha_and_artifact_ids
approver_names_and_roles
decided_at
expiry_or_revisit_event
affected_task_and_gate_updates</x:v>
      </x:c>
      <x:c r="I7" s="56" t="str">
        <x:v>before any method result is eligible for a product or report</x:v>
      </x:c>
    </x:row>
    <x:row r="8" ht="168" hidden="0" customHeight="1">
      <x:c r="A8" s="56" t="str">
        <x:v>Q4</x:v>
      </x:c>
      <x:c r="B8" s="56" t="str">
        <x:v>Entitlement khác quyền và đủ dữ liệu</x:v>
      </x:c>
      <x:c r="C8" s="57" t="str">
        <x:v>PENDING_FOUNDER</x:v>
      </x:c>
      <x:c r="D8" s="57" t="str">
        <x:v>Q4-A
The four-way separation prevents payment or a client flag from becoming authorization and supports precise recovery states.
Requires a policy engine and cross-layer test matrix
More blocked states must be designed across mobile and desktop</x:v>
      </x:c>
      <x:c r="E8" s="57" t="str">
        <x:v>Founder
Product Lead
Security Lead
Privacy/Data Owner
Commerce Lead</x:v>
      </x:c>
      <x:c r="F8" s="56" t="str">
        <x:v>Q4-A Separate entitlement, authorization, eligibility and data sufficiency
Evaluate each server-side and return typed denial or missing-data reasons.
Correct security and user guidance
More policy states and negative tests
Q4-B Treat entitlement as sufficient access
A paid entitlement opens a product whenever the route exists.
Simpler commerce logic
Unsafe because payment does not prove subject rights, purpose or data sufficiency
Q4-C Manual eligibility review for every request
A reviewer approves each access and run.
Strong human control
Does not scale and increases sensitive-data handling</x:v>
      </x:c>
      <x:c r="G8" s="56" t="str">
        <x:v>Client-supplied IDs or flags cannot grant access
Every denial must avoid object-existence leakage</x:v>
      </x:c>
      <x:c r="H8" s="56" t="str">
        <x:v>decision_id
selected_option_id
scope_and_exclusions
conditions
baseline_sha_and_artifact_ids
approver_names_and_roles
decided_at
expiry_or_revisit_event
affected_task_and_gate_updates</x:v>
      </x:c>
      <x:c r="I8" s="56" t="str">
        <x:v>before entitlement, profile, analysis or report authorization contracts are frozen</x:v>
      </x:c>
    </x:row>
    <x:row r="9" ht="168" hidden="0" customHeight="1">
      <x:c r="A9" s="56" t="str">
        <x:v>Q5</x:v>
      </x:c>
      <x:c r="B9" s="56" t="str">
        <x:v>Dừng điểm giả và cho null</x:v>
      </x:c>
      <x:c r="C9" s="57" t="str">
        <x:v>PENDING_FOUNDER</x:v>
      </x:c>
      <x:c r="D9" s="57" t="str">
        <x:v>Q5-A
Typed absence is the only option consistent with the plan's evidence discipline and differentiated report contracts.
Every formula and narrative path needs null behavior
Users require clear explanations of what is missing and why</x:v>
      </x:c>
      <x:c r="E9" s="57" t="str">
        <x:v>Founder
Data Lead
Method Lead
AI/Editorial Lead
QA</x:v>
      </x:c>
      <x:c r="F9" s="56" t="str">
        <x:v>Q5-A Typed null, unknown, withheld and not-applicable results
Preserve uncertainty and block unsupported derived scores while allowing partial truthful reports.
Prevents fabricated certainty
Requires more schema and UI states
Q5-B Impute fallback scores
Fill missing values from defaults or heuristics.
Fewer visible gaps
Creates false precision and unsafe downstream inferences
Q5-C Fail the entire report on any missing input
Return no result until every field is present.
Simple consistency rule
Unnecessarily blocks safe partial value and encourages coerced data entry</x:v>
      </x:c>
      <x:c r="G9" s="56" t="str">
        <x:v>Unknown is never converted to zero
AI cannot infer or narrate unavailable deterministic values</x:v>
      </x:c>
      <x:c r="H9" s="56" t="str">
        <x:v>decision_id
selected_option_id
scope_and_exclusions
conditions
baseline_sha_and_artifact_ids
approver_names_and_roles
decided_at
expiry_or_revisit_event
affected_task_and_gate_updates</x:v>
      </x:c>
      <x:c r="I9" s="56" t="str">
        <x:v>before formula, result and report schemas are accepted</x:v>
      </x:c>
    </x:row>
    <x:row r="10" ht="168" hidden="0" customHeight="1">
      <x:c r="A10" s="56" t="str">
        <x:v>Q6</x:v>
      </x:c>
      <x:c r="B10" s="56" t="str">
        <x:v>Numbers là tham chiếu không đo số phận</x:v>
      </x:c>
      <x:c r="C10" s="57" t="str">
        <x:v>PENDING_FOUNDER</x:v>
      </x:c>
      <x:c r="D10" s="57" t="str">
        <x:v>Q6-A
A bounded reference mode keeps the vision visible without treating symbolic arithmetic as measurement or destiny.
May reduce persuasive marketing language
Some users may still over-interpret results, requiring UX safeguards</x:v>
      </x:c>
      <x:c r="E10" s="57" t="str">
        <x:v>Founder
Method Lead
Editorial Lead
Privacy/Legal
QA</x:v>
      </x:c>
      <x:c r="F10" s="56" t="str">
        <x:v>Q6-A Numbers as bounded symbolic reference
Allow clearly labeled symbolic interpretation with sources, limitations and no fate or clinical claim.
Retains the original Numbers concept
Needs prominent limitations and cultural/claim review
Q6-B Numbers as predictive life metric
Use numeric outputs to predict traits, compatibility or outcomes.
Strong marketing differentiation
Unacceptable unsupported and potentially harmful inference risk
Q6-C Remove Numbers from the active portfolio
Keep historical material only and do not expose the method.
Lowest claim risk
Discards a material part of the product vision</x:v>
      </x:c>
      <x:c r="G10" s="56" t="str">
        <x:v>No prediction, diagnosis or high-impact use
Every output includes method version, source, limitation and correction path</x:v>
      </x:c>
      <x:c r="H10" s="56" t="str">
        <x:v>decision_id
selected_option_id
scope_and_exclusions
conditions
baseline_sha_and_artifact_ids
approver_names_and_roles
decided_at
expiry_or_revisit_event
affected_task_and_gate_updates</x:v>
      </x:c>
      <x:c r="I10" s="56" t="str">
        <x:v>before Numbers content or calculation is included in a release candidate</x:v>
      </x:c>
    </x:row>
    <x:row r="11" ht="168" hidden="0" customHeight="1">
      <x:c r="A11" s="56" t="str">
        <x:v>Q7</x:v>
      </x:c>
      <x:c r="B11" s="56" t="str">
        <x:v>Báo cáo cấu trúc không filler</x:v>
      </x:c>
      <x:c r="C11" s="57" t="str">
        <x:v>PENDING_FOUNDER</x:v>
      </x:c>
      <x:c r="D11" s="57" t="str">
        <x:v>Q7-A
The structured approach is required to avoid filler and to separate deterministic facts, interpretation, uncertainty and action.
Needs nine golden fixture suites and reviewer capacity
Longer reports cannot be accepted by page count alone</x:v>
      </x:c>
      <x:c r="E11" s="57" t="str">
        <x:v>Founder
AI Lead
Editorial Lead
Method Lead
Privacy
QA</x:v>
      </x:c>
      <x:c r="F11" s="56" t="str">
        <x:v>Q7-A Differentiated structured reports with evidence blocks
Use nine level-specific contracts, deterministic inputs, provenance, unknowns, actions and review states.
High traceability and genuine level differentiation
Largest template and regression surface
Q7-B One universal report template
Reuse a single report structure and vary only length or content.
Lower authoring cost
Risks filler and fails nine-level differentiation
Q7-C Free-form AI narrative
Let the model compose reports without a fixed schema.
Fast experimentation
Cannot reliably prove provenance, limits, corrections or stable outputs</x:v>
      </x:c>
      <x:c r="G11" s="56" t="str">
        <x:v>Public auto-publish remains off
Report acceptance is content- and evidence-based, not page-count-based</x:v>
      </x:c>
      <x:c r="H11" s="56" t="str">
        <x:v>decision_id
selected_option_id
scope_and_exclusions
conditions
baseline_sha_and_artifact_ids
approver_names_and_roles
decided_at
expiry_or_revisit_event
affected_task_and_gate_updates</x:v>
      </x:c>
      <x:c r="I11" s="56" t="str">
        <x:v>before L1 report implementation and before any report template is published</x:v>
      </x:c>
    </x:row>
    <x:row r="12" ht="168" hidden="0" customHeight="1">
      <x:c r="A12" s="56" t="str">
        <x:v>Q8</x:v>
      </x:c>
      <x:c r="B12" s="56" t="str">
        <x:v>Dòng sản phẩm mở theo gates</x:v>
      </x:c>
      <x:c r="C12" s="57" t="str">
        <x:v>PENDING_FOUNDER</x:v>
      </x:c>
      <x:c r="D12" s="57" t="str">
        <x:v>Q8-A
Train-by-train release keeps all 23 products without implying that shared platform evidence clears product-specific gates.
Requires repeated candidate reviews
Commercial growth follows evidence rather than a fixed calendar</x:v>
      </x:c>
      <x:c r="E12" s="57" t="str">
        <x:v>Founder
Product Lead
Release Owner
Privacy/Legal
Security/SRE
QA</x:v>
      </x:c>
      <x:c r="F12" s="56" t="str">
        <x:v>Q8-A Open products by explicit train and exact release gates
Keep all 23 products registered but unlock only the approved product/release/market after receipts.
Preserves long-term vision and limits blast radius
Slower portfolio expansion
Q8-B Open the complete portfolio in one launch
Ship all products once the shared platform passes.
Faster catalog breadth
Unbounded legal, method, support and operating risk
Q8-C Freeze permanently to Guest and L1
Remove higher levels and advanced product lines from execution.
Smallest scope
Discards the requested portfolio vision</x:v>
      </x:c>
      <x:c r="G12" s="56" t="str">
        <x:v>No product inherits approval from another product
Exact SHA, artifact, environment, market and expiry bind every release</x:v>
      </x:c>
      <x:c r="H12" s="56" t="str">
        <x:v>decision_id
selected_option_id
scope_and_exclusions
conditions
baseline_sha_and_artifact_ids
approver_names_and_roles
decided_at
expiry_or_revisit_event
affected_task_and_gate_updates</x:v>
      </x:c>
      <x:c r="I12" s="56" t="str">
        <x:v>before a product train enters build beyond reversible design or synthetic fixtures</x:v>
      </x:c>
    </x:row>
    <x:row r="13" ht="180" hidden="0" customHeight="1">
      <x:c r="A13" s="56" t="str">
        <x:v>Q9</x:v>
      </x:c>
      <x:c r="B13" s="56" t="str">
        <x:v>Privacy, auth, delete từ đầu</x:v>
      </x:c>
      <x:c r="C13" s="57" t="str">
        <x:v>PENDING_FOUNDER</x:v>
      </x:c>
      <x:c r="D13" s="57" t="str">
        <x:v>Q9-A
Personalized life data requires rights and authorization contracts before collection; later retrofit is not a safe migration plan.
Delays real-data pilots
Requires deletion/export/correction and backup implications to be rehearsed</x:v>
      </x:c>
      <x:c r="E13" s="57" t="str">
        <x:v>Founder
Privacy/Data Owner
Security Lead
Backend Lead
Legal
QA</x:v>
      </x:c>
      <x:c r="F13" s="56" t="str">
        <x:v>Q9-A Privacy, server authorization and deletion by design
Implement identity, object/tenant policy, consent, retention, export, correction and deletion before real intake.
Strongest trust baseline
Significant early engineering and review work
Q9-B Retrofit privacy after MVP
Collect data with basic authentication and add rights later.
Faster prototype
Creates unacceptable migration, disclosure and legal risk
Q9-C Anonymous ephemeral use only
Do not persist profiles, reports or accounts.
Minimizes stored personal data
Cannot support the planned longitudinal and commerce experience</x:v>
      </x:c>
      <x:c r="G13" s="56" t="str">
        <x:v>Synthetic fixtures only until the trust baseline is evidenced
No production data access is authorized by this packet</x:v>
      </x:c>
      <x:c r="H13" s="56" t="str">
        <x:v>decision_id
selected_option_id
scope_and_exclusions
conditions
baseline_sha_and_artifact_ids
approver_names_and_roles
decided_at
expiry_or_revisit_event
affected_task_and_gate_updates</x:v>
      </x:c>
      <x:c r="I13" s="56" t="str">
        <x:v>before any real personal data intake, persistence, sharing or migration</x:v>
      </x:c>
    </x:row>
    <x:row r="14" ht="168" hidden="0" customHeight="1">
      <x:c r="A14" s="56" t="str">
        <x:v>Q10</x:v>
      </x:c>
      <x:c r="B14" s="56" t="str">
        <x:v>Tám bộ nền từ source/runtime khóa</x:v>
      </x:c>
      <x:c r="C14" s="57" t="str">
        <x:v>PENDING_FOUNDER</x:v>
      </x:c>
      <x:c r="D14" s="57" t="str">
        <x:v>Q10-A
A pre-transform receipt is necessary to prove all source content was retained and to separate planning artifacts from runtime evidence.
Larger package and catalog maintenance
Every regenerated export changes the final manifest</x:v>
      </x:c>
      <x:c r="E14" s="57" t="str">
        <x:v>Founder
Program Lead
Tech Lead
Evidence Reviewer
Release Owner</x:v>
      </x:c>
      <x:c r="F14" s="56" t="str">
        <x:v>Q10-A Build eight bundles from a locked, hashed source/runtime baseline
Bind source, generation inputs, output manifest and receipts before transformation.
Reproducible and auditable
Requires source lock and transformation tracking
Q10-B Normalize and rewrite before baseline lock
Clean the source first, then record the resulting package.
Cleaner working material
Destroys provenance and makes omissions hard to detect
Q10-C Exclude runtime and deployment evidence
Package documents and source files only.
Smaller package
Cannot substantiate current-state, integration or release claims</x:v>
      </x:c>
      <x:c r="G14" s="56" t="str">
        <x:v>The 149-file source package remains byte-preserved
Historical claims cannot be promoted without current receipts</x:v>
      </x:c>
      <x:c r="H14" s="56" t="str">
        <x:v>decision_id
selected_option_id
scope_and_exclusions
conditions
baseline_sha_and_artifact_ids
approver_names_and_roles
decided_at
expiry_or_revisit_event
affected_task_and_gate_updates</x:v>
      </x:c>
      <x:c r="I14" s="56" t="str">
        <x:v>before any bundle is declared complete or handed to implementation</x:v>
      </x:c>
    </x:row>
    <x:row r="15" ht="168" hidden="0" customHeight="1">
      <x:c r="A15" s="56" t="str">
        <x:v>Q11</x:v>
      </x:c>
      <x:c r="B15" s="56" t="str">
        <x:v>Quarantine experimental_legacy</x:v>
      </x:c>
      <x:c r="C15" s="57" t="str">
        <x:v>PENDING_FOUNDER</x:v>
      </x:c>
      <x:c r="D15" s="57" t="str">
        <x:v>Q11-A
Quarantine balances preservation with containment and makes re-entry depend on a new reviewed release rather than a hidden switch.
Storage and inventory remain
Rollback cannot simply restore the old artifact</x:v>
      </x:c>
      <x:c r="E15" s="57" t="str">
        <x:v>Founder
Tech Lead
Security Lead
Data Owner
Method Lead
QA</x:v>
      </x:c>
      <x:c r="F15" s="56" t="str">
        <x:v>Q11-A Quarantine experimental legacy code and outputs
Keep recoverable history but deny product/public selection until an explicit re-release.
Preserves forensic value and prevents unsafe reuse
Requires deny rules and migration handling
Q11-B Retain legacy behind a feature flag
Allow reactivation through runtime configuration.
Easy fallback
Feature flags can bypass product, rights and safety review
Q11-C Delete all legacy material
Remove code, data and outputs permanently.
Eliminates accidental execution
Destroys provenance, rollback analysis and potential lawful records</x:v>
      </x:c>
      <x:c r="G15" s="56" t="str">
        <x:v>No client or entitlement flag can enable quarantined output
Deletion of retained records requires separate legal/data authority</x:v>
      </x:c>
      <x:c r="H15" s="56" t="str">
        <x:v>decision_id
selected_option_id
scope_and_exclusions
conditions
baseline_sha_and_artifact_ids
approver_names_and_roles
decided_at
expiry_or_revisit_event
affected_task_and_gate_updates</x:v>
      </x:c>
      <x:c r="I15" s="56" t="str">
        <x:v>before source bundling, migration classification or public artifact construction</x:v>
      </x:c>
    </x:row>
    <x:row r="16" ht="180" hidden="0" customHeight="1">
      <x:c r="A16" s="56" t="str">
        <x:v>Q12</x:v>
      </x:c>
      <x:c r="B16" s="56" t="str">
        <x:v>Passport/rights/tests/limits/approver</x:v>
      </x:c>
      <x:c r="C16" s="57" t="str">
        <x:v>PENDING_FOUNDER</x:v>
      </x:c>
      <x:c r="D16" s="57" t="str">
        <x:v>Q12-A
The hard gate is the only option that supports reproducibility, rights control and precise withdrawal across methods and reports.
Method throughput is constrained by expert reviewers
Catalog availability may be uneven</x:v>
      </x:c>
      <x:c r="E16" s="57" t="str">
        <x:v>Founder
Method Council
Legal/Rights Reviewer
Data Lead
QA</x:v>
      </x:c>
      <x:c r="F16" s="56" t="str">
        <x:v>Q12-A Hard method-release gate
Require passport, source/right, formula/result contract, tests, limits and named approvers for each release.
Highest provenance and selective control
More work before each method becomes eligible
Q12-B Provisional method release with partial packet
Permit beta use when some source or test fields are pending.
Faster experimentation
Normalizes missing evidence and complicates withdrawal
Q12-C One product-level approval covers all methods
Treat product approval as authorization for every included method.
Simple governance
Cannot isolate rights, defect or limitation changes</x:v>
      </x:c>
      <x:c r="G16" s="56" t="str">
        <x:v>Missing evidence keeps release blocked
Approver must be independent of the sole author for high-risk methods</x:v>
      </x:c>
      <x:c r="H16" s="56" t="str">
        <x:v>decision_id
selected_option_id
scope_and_exclusions
conditions
baseline_sha_and_artifact_ids
approver_names_and_roles
decided_at
expiry_or_revisit_event
affected_task_and_gate_updates</x:v>
      </x:c>
      <x:c r="I16" s="56" t="str">
        <x:v>before any method is referenced by an eligible analysis or report release</x:v>
      </x:c>
    </x:row>
    <x:row r="17" ht="180" hidden="0" customHeight="1">
      <x:c r="A17" s="56" t="str">
        <x:v>Q13</x:v>
      </x:c>
      <x:c r="B17" s="56" t="str">
        <x:v>Free Essentials và quota minh bạch</x:v>
      </x:c>
      <x:c r="C17" s="57" t="str">
        <x:v>PENDING_FOUNDER</x:v>
      </x:c>
      <x:c r="D17" s="57" t="str">
        <x:v>Q13-A
A bounded tier preserves free entry while keeping provider and support cost measurable and explaining limits honestly.
Quota UX and abuse controls add complexity
Exact limits remain blocked until provider quotes and pilot data</x:v>
      </x:c>
      <x:c r="E17" s="57" t="str">
        <x:v>Founder
Product Lead
Commerce/Finance Owner
SRE
Privacy
Support</x:v>
      </x:c>
      <x:c r="F17" s="56" t="str">
        <x:v>Q13-A Bounded Free Essentials with transparent quota
Offer one self-managed profile, core goal/journal/privacy rights and explicit compute/storage limits with graceful degradation.
Supports entry and learning
Requires abuse, quota and unit-economics controls
Q13-B Unlimited free personalized service
Remove usage limits for all free users.
Lowest adoption friction
Unbounded AI, support and storage cost
Q13-C No free tier
Require payment before persistent personalized use.
Simpler cost recovery
Raises trust and adoption barriers</x:v>
      </x:c>
      <x:c r="G17" s="56" t="str">
        <x:v>Missing provider cost is unknown, not zero
Quota cannot remove privacy rights or corrupt paid entitlement</x:v>
      </x:c>
      <x:c r="H17" s="56" t="str">
        <x:v>decision_id
selected_option_id
scope_and_exclusions
conditions
baseline_sha_and_artifact_ids
approver_names_and_roles
decided_at
expiry_or_revisit_event
affected_task_and_gate_updates</x:v>
      </x:c>
      <x:c r="I17" s="56" t="str">
        <x:v>before public pricing, quota or free-tier launch copy is frozen</x:v>
      </x:c>
    </x:row>
    <x:row r="18" ht="168" hidden="0" customHeight="1">
      <x:c r="A18" s="56" t="str">
        <x:v>Q14</x:v>
      </x:c>
      <x:c r="B18" s="56" t="str">
        <x:v>Pháp nhân/merchant/controller</x:v>
      </x:c>
      <x:c r="C18" s="57" t="str">
        <x:v>PENDING_FOUNDER</x:v>
      </x:c>
      <x:c r="D18" s="57" t="str">
        <x:v>Q14-C
No verified entity, merchant or controller decision exists; synthetic planning can continue while commercial and real-data actions remain closed.
Revenue and real-user validation wait
Legal assessment becomes a critical-path dependency</x:v>
      </x:c>
      <x:c r="E18" s="57" t="str">
        <x:v>Founder
Legal Counsel
Privacy/Data Owner
Finance/Commerce Owner</x:v>
      </x:c>
      <x:c r="F18" s="56" t="str">
        <x:v>Q14-A Named Vietnam entity as controller and merchant
Use a selected local entity for contracting, invoicing and controller duties after legal review.
Clear local accountability
Requires entity, tax, payment and privacy analysis
Q14-B Contracting entity with documented controller/processor split
Use a selected entity and vendors under explicit data-processing and merchant responsibilities.
Flexible regional model
More contracts and cross-border analysis
Q14-C No commercial or real-data launch until roles are selected
Continue planning and synthetic work only.
Avoids inventing a legal structure
Delays payment and real-user pilots</x:v>
      </x:c>
      <x:c r="G18" s="56" t="str">
        <x:v>This packet does not name or authorize an entity
Cross-border processing and tax duties require market-specific review</x:v>
      </x:c>
      <x:c r="H18" s="56" t="str">
        <x:v>decision_id
selected_option_id
scope_and_exclusions
conditions
baseline_sha_and_artifact_ids
approver_names_and_roles
decided_at
expiry_or_revisit_event
affected_task_and_gate_updates</x:v>
      </x:c>
      <x:c r="I18" s="56" t="str">
        <x:v>before contracting, invoicing, payment onboarding or real personal-data collection</x:v>
      </x:c>
    </x:row>
    <x:row r="19" ht="180" hidden="0" customHeight="1">
      <x:c r="A19" s="56" t="str">
        <x:v>Q15</x:v>
      </x:c>
      <x:c r="B19" s="56" t="str">
        <x:v>IdP/PG/payment/AI provider selection</x:v>
      </x:c>
      <x:c r="C19" s="57" t="str">
        <x:v>PENDING_FOUNDER</x:v>
      </x:c>
      <x:c r="D19" s="57" t="str">
        <x:v>Q15-A
Category-specific assessment avoids inventing vendors and makes exit, data location, security and unit cost explicit before commitment.
Adapters and multi-vendor operations cost more
Selection cannot close until quotes and technical/legal evidence exist</x:v>
      </x:c>
      <x:c r="E19" s="57" t="str">
        <x:v>Founder
Tech Lead
Security/SRE
Privacy/Legal
Finance/Commerce Owner</x:v>
      </x:c>
      <x:c r="F19" s="56" t="str">
        <x:v>Q15-A Evidence-weighted selection per provider category with adapters
Score IdP, PostgreSQL host, payment and AI providers separately; bind decisions to contracts, regions, exits and cost caps.
Best fit and lower lock-in
More integration and vendor-management work
Q15-B Single-suite provider strategy
Choose one ecosystem for as many categories as possible.
Simpler procurement and integration
Concentrated lock-in, outage and exit risk
Q15-C Self-host all core services
Operate identity, database and AI/payment-adjacent components directly where possible.
Maximum control
Highest security, compliance and on-call burden; payment still needs regulated rails</x:v>
      </x:c>
      <x:c r="G19" s="56" t="str">
        <x:v>No provider is selected by this planning artifact
Secrets, contracts and production accounts require separate authority</x:v>
      </x:c>
      <x:c r="H19" s="56" t="str">
        <x:v>decision_id
selected_option_id
scope_and_exclusions
conditions
baseline_sha_and_artifact_ids
approver_names_and_roles
decided_at
expiry_or_revisit_event
affected_task_and_gate_updates</x:v>
      </x:c>
      <x:c r="I19" s="56" t="str">
        <x:v>before provider-specific implementation, contract signature, spend or production data transfer</x:v>
      </x:c>
    </x:row>
    <x:row r="20" ht="180" hidden="0" customHeight="1">
      <x:c r="A20" s="56" t="str">
        <x:v>Q16</x:v>
      </x:c>
      <x:c r="B20" s="56" t="str">
        <x:v>Autonomy A0–A3 và kill switches</x:v>
      </x:c>
      <x:c r="C20" s="57" t="str">
        <x:v>PENDING_FOUNDER</x:v>
      </x:c>
      <x:c r="D20" s="57" t="str">
        <x:v>Q16-A
Progressive autonomy allows useful low-risk assistance while keeping high-impact or irreversible actions behind explicit evidence and approval.
More state, review and kill-switch engineering
Some promised automation remains unavailable during early phases</x:v>
      </x:c>
      <x:c r="E20" s="57" t="str">
        <x:v>Founder
AI Lead
Security/SRE
Privacy
Product Lead
QA</x:v>
      </x:c>
      <x:c r="F20" s="56" t="str">
        <x:v>Q16-A A0-A1 default, gated A2, hold A3
Permit assistive drafting and approved reversible automation; require receipts and kill switches before higher autonomy.
Balances productivity and control
Needs action taxonomy, monitoring and human review
Q16-B A0 only
AI may suggest but never execute or schedule actions.
Smallest operational risk
Leaves automation value unrealized
Q16-C Enable A0-A3 at launch
Allow autonomous multi-step operation across eligible workflows.
Fastest automation ambition
Unacceptable without mature controls, provider and incident evidence</x:v>
      </x:c>
      <x:c r="G20" s="56" t="str">
        <x:v>No payment, publication, deletion or high-impact action without explicit human authority
Global and per-workflow kill switches must be tested</x:v>
      </x:c>
      <x:c r="H20" s="56" t="str">
        <x:v>decision_id
selected_option_id
scope_and_exclusions
conditions
baseline_sha_and_artifact_ids
approver_names_and_roles
decided_at
expiry_or_revisit_event
affected_task_and_gate_updates</x:v>
      </x:c>
      <x:c r="I20" s="56" t="str">
        <x:v>before any workflow can act beyond user-confirmed reversible assistance</x:v>
      </x:c>
    </x:row>
    <x:row r="21" ht="180" hidden="0" customHeight="1">
      <x:c r="A21" s="56" t="str">
        <x:v>Q17</x:v>
      </x:c>
      <x:c r="B21" s="56" t="str">
        <x:v>Academy/practitioner scope</x:v>
      </x:c>
      <x:c r="C21" s="57" t="str">
        <x:v>PENDING_FOUNDER</x:v>
      </x:c>
      <x:c r="D21" s="57" t="str">
        <x:v>Q17-A
A non-credential pilot preserves the Academy vision while evidence for competence, ethics, supervision and appeals is built.
Certificates cannot imply regulated or professional authority
Requires clear distinction between completion and competence</x:v>
      </x:c>
      <x:c r="E21" s="57" t="str">
        <x:v>Founder
Academic Lead
Method Council
Legal
Privacy
QA</x:v>
      </x:c>
      <x:c r="F21" s="56" t="str">
        <x:v>Q17-A Academy learning pilot without practitioner credential claims
Launch curriculum and assessments on synthetic cases; defer certification authority until standards and complaints handling are proven.
Tests learning value safely
Delays monetizable practitioner credentials
Q17-B Full practitioner certification program
Issue credentials and permit practice under a complete standard at launch.
Strong ecosystem proposition
High legal, method, assessment and supervision burden
Q17-C Defer Academy entirely
Focus only on end-user products.
Reduces scope
Removes a core adoption and quality-control channel</x:v>
      </x:c>
      <x:c r="G21" s="56" t="str">
        <x:v>No regulated-profession implication
Assessment, appeals, suspension and complaint routes precede credential release</x:v>
      </x:c>
      <x:c r="H21" s="56" t="str">
        <x:v>decision_id
selected_option_id
scope_and_exclusions
conditions
baseline_sha_and_artifact_ids
approver_names_and_roles
decided_at
expiry_or_revisit_event
affected_task_and_gate_updates</x:v>
      </x:c>
      <x:c r="I21" s="56" t="str">
        <x:v>before curriculum implementation promises certification or practitioner authority</x:v>
      </x:c>
    </x:row>
    <x:row r="22" ht="180" hidden="0" customHeight="1">
      <x:c r="A22" s="56" t="str">
        <x:v>Q18</x:v>
      </x:c>
      <x:c r="B22" s="56" t="str">
        <x:v>Organization privacy boundary</x:v>
      </x:c>
      <x:c r="C22" s="57" t="str">
        <x:v>PENDING_FOUNDER</x:v>
      </x:c>
      <x:c r="D22" s="57" t="str">
        <x:v>Q18-A
Member control, tenant isolation and aggregation thresholds are the minimum viable boundary for an organization offering.
Some enterprise requests must be rejected
Complex subject/tenant/grant testing and re-identification review</x:v>
      </x:c>
      <x:c r="E22" s="57" t="str">
        <x:v>Founder
Product Lead
Privacy/Data Owner
Security Lead
Legal
Enterprise Support</x:v>
      </x:c>
      <x:c r="F22" s="56" t="str">
        <x:v>Q18-A Tenant-isolated organization product with member-controlled private profile
Expose only purpose-bound shared or minimum-cohort aggregate data; prohibit employer access to private profiles and high-impact profiling.
Preserves organization use with privacy boundary
Limits employer analytics and requires strong RLS
Q18-B Organization-administered full member profiles
Let the organization view and manage individual analysis and reports.
High administrative utility
Creates severe consent, employment and discrimination risk
Q18-C Do not offer organization features
Keep all use individual and direct-to-user.
Smallest tenant/privacy surface
Removes an important enterprise product line</x:v>
      </x:c>
      <x:c r="G22" s="56" t="str">
        <x:v>No employment, credit, insurance or other high-impact profiling
Cross-tenant denial and aggregate re-identification tests are mandatory</x:v>
      </x:c>
      <x:c r="H22" s="56" t="str">
        <x:v>decision_id
selected_option_id
scope_and_exclusions
conditions
baseline_sha_and_artifact_ids
approver_names_and_roles
decided_at
expiry_or_revisit_event
affected_task_and_gate_updates</x:v>
      </x:c>
      <x:c r="I22" s="56" t="str">
        <x:v>before organization data model, contracts or pilot recruitment are frozen</x:v>
      </x:c>
    </x:row>
    <x:row r="23" ht="180" hidden="0" customHeight="1">
      <x:c r="A23" s="56" t="str">
        <x:v>Q19</x:v>
      </x:c>
      <x:c r="B23" s="56" t="str">
        <x:v>Country pack và license/franchise</x:v>
      </x:c>
      <x:c r="C23" s="57" t="str">
        <x:v>PENDING_FOUNDER</x:v>
      </x:c>
      <x:c r="D23" s="57" t="str">
        <x:v>Q19-A
Sequential country packs keep market-specific evidence and operating capacity reviewable and avoid calling a software license a ready franchise.
Expansion cadence is evidence-limited
Reusable core still needs local legal and claim review</x:v>
      </x:c>
      <x:c r="E23" s="57" t="str">
        <x:v>Founder
Global/Partnerships Lead
Legal/Tax
Privacy
Finance
Support/SRE</x:v>
      </x:c>
      <x:c r="F23" s="56" t="str">
        <x:v>Q19-A One reviewed country pack at a time; license before franchise
Pilot a single market with locale, legal, support, claims and tax evidence; validate licensing before operational franchise.
Contained learning and easier rollback
Slower international expansion
Q19-B Parallel multi-country launch
Prepare and open several markets together.
Faster reach
Multiplies legal, translation, support and operational risk
Q19-C Remote software license only with no country pack
Offer a generic partner license without local operating adaptation.
Lower localization effort
May still create local legal duties and weak customer experience</x:v>
      </x:c>
      <x:c r="G23" s="56" t="str">
        <x:v>Country approval is product- and release-specific
No franchise representation without operating, support and legal readiness</x:v>
      </x:c>
      <x:c r="H23" s="56" t="str">
        <x:v>decision_id
selected_option_id
scope_and_exclusions
conditions
baseline_sha_and_artifact_ids
approver_names_and_roles
decided_at
expiry_or_revisit_event
affected_task_and_gate_updates</x:v>
      </x:c>
      <x:c r="I23" s="56" t="str">
        <x:v>before selecting the first non-home market or signing a license/franchise commitment</x:v>
      </x:c>
    </x:row>
    <x:row r="24" ht="180" hidden="0" customHeight="1">
      <x:c r="A24" s="56" t="str">
        <x:v>Q20</x:v>
      </x:c>
      <x:c r="B24" s="56" t="str">
        <x:v>Budget/team/roadmap có điều kiện</x:v>
      </x:c>
      <x:c r="C24" s="57" t="str">
        <x:v>PENDING_FOUNDER</x:v>
      </x:c>
      <x:c r="D24" s="57" t="str">
        <x:v>Q20-A
Stage-gated scenarios match the 452-1,039 person-day range and preserve the longer conditional portfolio horizon without inventing rates or dates.
Budget must be revisited at checkpoints
Vendor and specialist capacity may require lead time</x:v>
      </x:c>
      <x:c r="E24" s="57" t="str">
        <x:v>Founder
Program Lead
Finance Owner
Product Lead
Tech Lead</x:v>
      </x:c>
      <x:c r="F24" s="56" t="str">
        <x:v>Q20-A Stage-gated funding and staffing with low/base/high scenarios
Fund the next bounded phase and release additional capacity only after decision and evidence checkpoints.
Controls downside and exposes uncertainty
May slow hiring and procurement
Q20-B Fixed full-portfolio budget and calendar
Approve the complete roadmap as one committed program.
Simple headline plan
False precision while scope, providers and gates remain unresolved
Q20-C No-spend planning only
Continue documentation and volunteer/internal work without budget commitment.
Avoids premature spend
Cannot responsibly promise implementation, review or support capacity</x:v>
      </x:c>
      <x:c r="G24" s="56" t="str">
        <x:v>Missing rates or quotes remain unavailable, never zero
Schedule separates raw capacity from gate, review and observation time</x:v>
      </x:c>
      <x:c r="H24" s="56" t="str">
        <x:v>decision_id
selected_option_id
scope_and_exclusions
conditions
baseline_sha_and_artifact_ids
approver_names_and_roles
decided_at
expiry_or_revisit_event
affected_task_and_gate_updates</x:v>
      </x:c>
      <x:c r="I24" s="56" t="str">
        <x:v>before hiring, procurement, paid vendor commitment or a delivery date is promised</x:v>
      </x:c>
    </x:row>
    <x:row r="25" ht="15" hidden="0" customHeight="1">
      <x:c r="A25" s="70"/>
      <x:c r="B25" s="70"/>
      <x:c r="C25" s="70"/>
      <x:c r="D25" s="70"/>
      <x:c r="E25" s="70"/>
      <x:c r="F25" s="70"/>
      <x:c r="G25" s="70"/>
      <x:c r="H25" s="70"/>
      <x:c r="I25" s="70"/>
    </x:row>
    <x:row r="26" ht="15" hidden="0" customHeight="1">
      <x:c r="A26" s="70"/>
      <x:c r="B26" s="70"/>
      <x:c r="C26" s="70"/>
      <x:c r="D26" s="70"/>
      <x:c r="E26" s="70"/>
      <x:c r="F26" s="70"/>
      <x:c r="G26" s="70"/>
      <x:c r="H26" s="70"/>
      <x:c r="I26" s="70"/>
    </x:row>
    <x:row r="27" ht="15" hidden="0" customHeight="1">
      <x:c r="A27" s="70"/>
      <x:c r="B27" s="70"/>
      <x:c r="C27" s="70"/>
      <x:c r="D27" s="70"/>
      <x:c r="E27" s="70"/>
      <x:c r="F27" s="70"/>
      <x:c r="G27" s="70"/>
      <x:c r="H27" s="70"/>
      <x:c r="I27" s="70"/>
    </x:row>
    <x:row r="28" ht="15" hidden="0" customHeight="1">
      <x:c r="A28" s="70"/>
      <x:c r="B28" s="70"/>
      <x:c r="C28" s="70"/>
      <x:c r="D28" s="70"/>
      <x:c r="E28" s="70"/>
      <x:c r="F28" s="70"/>
      <x:c r="G28" s="70"/>
      <x:c r="H28" s="70"/>
      <x:c r="I28" s="70"/>
    </x:row>
    <x:row r="29" ht="15" hidden="0" customHeight="1">
      <x:c r="A29" s="70"/>
      <x:c r="B29" s="70"/>
      <x:c r="C29" s="70"/>
      <x:c r="D29" s="70"/>
      <x:c r="E29" s="70"/>
      <x:c r="F29" s="70"/>
      <x:c r="G29" s="70"/>
      <x:c r="H29" s="70"/>
      <x:c r="I29" s="70"/>
    </x:row>
    <x:row r="30" ht="15" hidden="0" customHeight="1">
      <x:c r="A30" s="70"/>
      <x:c r="B30" s="70"/>
      <x:c r="C30" s="70"/>
      <x:c r="D30" s="70"/>
      <x:c r="E30" s="70"/>
      <x:c r="F30" s="70"/>
      <x:c r="G30" s="70"/>
      <x:c r="H30" s="70"/>
      <x:c r="I30" s="70"/>
    </x:row>
    <x:row r="31" ht="15" hidden="0" customHeight="1">
      <x:c r="A31" s="70"/>
      <x:c r="B31" s="70"/>
      <x:c r="C31" s="70"/>
      <x:c r="D31" s="70"/>
      <x:c r="E31" s="70"/>
      <x:c r="F31" s="70"/>
      <x:c r="G31" s="70"/>
      <x:c r="H31" s="70"/>
      <x:c r="I31" s="70"/>
    </x:row>
    <x:row r="32" ht="15" hidden="0" customHeight="1">
      <x:c r="A32" s="70"/>
      <x:c r="B32" s="70"/>
      <x:c r="C32" s="70"/>
      <x:c r="D32" s="70"/>
      <x:c r="E32" s="70"/>
      <x:c r="F32" s="70"/>
      <x:c r="G32" s="70"/>
      <x:c r="H32" s="70"/>
      <x:c r="I32" s="70"/>
    </x:row>
    <x:row r="33" ht="15" hidden="0" customHeight="1">
      <x:c r="A33" s="70"/>
      <x:c r="B33" s="70"/>
      <x:c r="C33" s="70"/>
      <x:c r="D33" s="70"/>
      <x:c r="E33" s="70"/>
      <x:c r="F33" s="70"/>
      <x:c r="G33" s="70"/>
      <x:c r="H33" s="70"/>
      <x:c r="I33" s="70"/>
    </x:row>
    <x:row r="34" ht="15" hidden="0" customHeight="1">
      <x:c r="A34" s="70"/>
      <x:c r="B34" s="70"/>
      <x:c r="C34" s="70"/>
      <x:c r="D34" s="70"/>
      <x:c r="E34" s="70"/>
      <x:c r="F34" s="70"/>
      <x:c r="G34" s="70"/>
      <x:c r="H34" s="70"/>
      <x:c r="I34" s="70"/>
    </x:row>
    <x:row r="35" ht="15" hidden="0" customHeight="1">
      <x:c r="A35" s="70"/>
      <x:c r="B35" s="70"/>
      <x:c r="C35" s="70"/>
      <x:c r="D35" s="70"/>
      <x:c r="E35" s="70"/>
      <x:c r="F35" s="70"/>
      <x:c r="G35" s="70"/>
      <x:c r="H35" s="70"/>
      <x:c r="I35" s="70"/>
    </x:row>
    <x:row r="36" ht="15" hidden="0" customHeight="1">
      <x:c r="A36" s="70"/>
      <x:c r="B36" s="70"/>
      <x:c r="C36" s="70"/>
      <x:c r="D36" s="70"/>
      <x:c r="E36" s="70"/>
      <x:c r="F36" s="70"/>
      <x:c r="G36" s="70"/>
      <x:c r="H36" s="70"/>
      <x:c r="I36" s="70"/>
    </x:row>
    <x:row r="37" ht="15" hidden="0" customHeight="1">
      <x:c r="A37" s="70"/>
      <x:c r="B37" s="70"/>
      <x:c r="C37" s="70"/>
      <x:c r="D37" s="70"/>
      <x:c r="E37" s="70"/>
      <x:c r="F37" s="70"/>
      <x:c r="G37" s="70"/>
      <x:c r="H37" s="70"/>
      <x:c r="I37" s="70"/>
    </x:row>
    <x:row r="38" ht="15" hidden="0" customHeight="1">
      <x:c r="A38" s="70"/>
      <x:c r="B38" s="70"/>
      <x:c r="C38" s="70"/>
      <x:c r="D38" s="70"/>
      <x:c r="E38" s="70"/>
      <x:c r="F38" s="70"/>
      <x:c r="G38" s="70"/>
      <x:c r="H38" s="70"/>
      <x:c r="I38" s="70"/>
    </x:row>
    <x:row r="39" ht="15" hidden="0" customHeight="1">
      <x:c r="A39" s="70"/>
      <x:c r="B39" s="70"/>
      <x:c r="C39" s="70"/>
      <x:c r="D39" s="70"/>
      <x:c r="E39" s="70"/>
      <x:c r="F39" s="70"/>
      <x:c r="G39" s="70"/>
      <x:c r="H39" s="70"/>
      <x:c r="I39" s="70"/>
    </x:row>
    <x:row r="40" ht="15" hidden="0" customHeight="1">
      <x:c r="A40" s="70"/>
      <x:c r="B40" s="70"/>
      <x:c r="C40" s="70"/>
      <x:c r="D40" s="70"/>
      <x:c r="E40" s="70"/>
      <x:c r="F40" s="70"/>
      <x:c r="G40" s="70"/>
      <x:c r="H40" s="70"/>
      <x:c r="I40" s="70"/>
    </x:row>
    <x:row r="41" ht="15" hidden="0" customHeight="1">
      <x:c r="A41" s="70"/>
      <x:c r="B41" s="70"/>
      <x:c r="C41" s="70"/>
      <x:c r="D41" s="70"/>
      <x:c r="E41" s="70"/>
      <x:c r="F41" s="70"/>
      <x:c r="G41" s="70"/>
      <x:c r="H41" s="70"/>
      <x:c r="I41" s="70"/>
    </x:row>
    <x:row r="42" ht="15" hidden="0" customHeight="1">
      <x:c r="A42" s="70"/>
      <x:c r="B42" s="70"/>
      <x:c r="C42" s="70"/>
      <x:c r="D42" s="70"/>
      <x:c r="E42" s="70"/>
      <x:c r="F42" s="70"/>
      <x:c r="G42" s="70"/>
      <x:c r="H42" s="70"/>
      <x:c r="I42" s="70"/>
    </x:row>
    <x:row r="43" ht="15" hidden="0" customHeight="1">
      <x:c r="A43" s="70"/>
      <x:c r="B43" s="70"/>
      <x:c r="C43" s="70"/>
      <x:c r="D43" s="70"/>
      <x:c r="E43" s="70"/>
      <x:c r="F43" s="70"/>
      <x:c r="G43" s="70"/>
      <x:c r="H43" s="70"/>
      <x:c r="I43" s="70"/>
    </x:row>
    <x:row r="44" ht="15" hidden="0" customHeight="1">
      <x:c r="A44" s="70"/>
      <x:c r="B44" s="70"/>
      <x:c r="C44" s="70"/>
      <x:c r="D44" s="70"/>
      <x:c r="E44" s="70"/>
      <x:c r="F44" s="70"/>
      <x:c r="G44" s="70"/>
      <x:c r="H44" s="70"/>
      <x:c r="I44" s="70"/>
    </x:row>
    <x:row r="45" ht="15" hidden="0" customHeight="1">
      <x:c r="A45" s="70"/>
      <x:c r="B45" s="70"/>
      <x:c r="C45" s="70"/>
      <x:c r="D45" s="70"/>
      <x:c r="E45" s="70"/>
      <x:c r="F45" s="70"/>
      <x:c r="G45" s="70"/>
      <x:c r="H45" s="70"/>
      <x:c r="I45" s="70"/>
    </x:row>
    <x:row r="46" ht="15" hidden="0" customHeight="1">
      <x:c r="A46" s="70"/>
      <x:c r="B46" s="70"/>
      <x:c r="C46" s="70"/>
      <x:c r="D46" s="70"/>
      <x:c r="E46" s="70"/>
      <x:c r="F46" s="70"/>
      <x:c r="G46" s="70"/>
      <x:c r="H46" s="70"/>
      <x:c r="I46" s="70"/>
    </x:row>
    <x:row r="47" ht="15" hidden="0" customHeight="1">
      <x:c r="A47" s="70"/>
      <x:c r="B47" s="70"/>
      <x:c r="C47" s="70"/>
      <x:c r="D47" s="70"/>
      <x:c r="E47" s="70"/>
      <x:c r="F47" s="70"/>
      <x:c r="G47" s="70"/>
      <x:c r="H47" s="70"/>
      <x:c r="I47" s="70"/>
    </x:row>
    <x:row r="48" ht="15" hidden="0" customHeight="1">
      <x:c r="A48" s="70"/>
      <x:c r="B48" s="70"/>
      <x:c r="C48" s="70"/>
      <x:c r="D48" s="70"/>
      <x:c r="E48" s="70"/>
      <x:c r="F48" s="70"/>
      <x:c r="G48" s="70"/>
      <x:c r="H48" s="70"/>
      <x:c r="I48" s="70"/>
    </x:row>
    <x:row r="49" ht="15" hidden="0" customHeight="1">
      <x:c r="A49" s="70"/>
      <x:c r="B49" s="70"/>
      <x:c r="C49" s="70"/>
      <x:c r="D49" s="70"/>
      <x:c r="E49" s="70"/>
      <x:c r="F49" s="70"/>
      <x:c r="G49" s="70"/>
      <x:c r="H49" s="70"/>
      <x:c r="I49" s="70"/>
    </x:row>
    <x:row r="50" ht="15" hidden="0" customHeight="1">
      <x:c r="A50" s="70"/>
      <x:c r="B50" s="70"/>
      <x:c r="C50" s="70"/>
      <x:c r="D50" s="70"/>
      <x:c r="E50" s="70"/>
      <x:c r="F50" s="70"/>
      <x:c r="G50" s="70"/>
      <x:c r="H50" s="70"/>
      <x:c r="I50" s="70"/>
    </x:row>
    <x:row r="51" ht="15" hidden="0" customHeight="1">
      <x:c r="A51" s="70"/>
      <x:c r="B51" s="70"/>
      <x:c r="C51" s="70"/>
      <x:c r="D51" s="70"/>
      <x:c r="E51" s="70"/>
      <x:c r="F51" s="70"/>
      <x:c r="G51" s="70"/>
      <x:c r="H51" s="70"/>
      <x:c r="I51" s="70"/>
    </x:row>
    <x:row r="52" ht="15" hidden="0" customHeight="1">
      <x:c r="A52" s="70"/>
      <x:c r="B52" s="70"/>
      <x:c r="C52" s="70"/>
      <x:c r="D52" s="70"/>
      <x:c r="E52" s="70"/>
      <x:c r="F52" s="70"/>
      <x:c r="G52" s="70"/>
      <x:c r="H52" s="70"/>
      <x:c r="I52" s="70"/>
    </x:row>
    <x:row r="53" ht="15" hidden="0" customHeight="1">
      <x:c r="A53" s="70"/>
      <x:c r="B53" s="70"/>
      <x:c r="C53" s="70"/>
      <x:c r="D53" s="70"/>
      <x:c r="E53" s="70"/>
      <x:c r="F53" s="70"/>
      <x:c r="G53" s="70"/>
      <x:c r="H53" s="70"/>
      <x:c r="I53" s="70"/>
    </x:row>
    <x:row r="54" ht="15" hidden="0" customHeight="1">
      <x:c r="A54" s="70"/>
      <x:c r="B54" s="70"/>
      <x:c r="C54" s="70"/>
      <x:c r="D54" s="70"/>
      <x:c r="E54" s="70"/>
      <x:c r="F54" s="70"/>
      <x:c r="G54" s="70"/>
      <x:c r="H54" s="70"/>
      <x:c r="I54" s="70"/>
    </x:row>
    <x:row r="55" ht="15" hidden="0" customHeight="1">
      <x:c r="A55" s="70"/>
      <x:c r="B55" s="70"/>
      <x:c r="C55" s="70"/>
      <x:c r="D55" s="70"/>
      <x:c r="E55" s="70"/>
      <x:c r="F55" s="70"/>
      <x:c r="G55" s="70"/>
      <x:c r="H55" s="70"/>
      <x:c r="I55" s="70"/>
    </x:row>
    <x:row r="56" ht="15" hidden="0" customHeight="1">
      <x:c r="A56" s="70"/>
      <x:c r="B56" s="70"/>
      <x:c r="C56" s="70"/>
      <x:c r="D56" s="70"/>
      <x:c r="E56" s="70"/>
      <x:c r="F56" s="70"/>
      <x:c r="G56" s="70"/>
      <x:c r="H56" s="70"/>
      <x:c r="I56" s="70"/>
    </x:row>
    <x:row r="57" ht="15" hidden="0" customHeight="1">
      <x:c r="A57" s="70"/>
      <x:c r="B57" s="70"/>
      <x:c r="C57" s="70"/>
      <x:c r="D57" s="70"/>
      <x:c r="E57" s="70"/>
      <x:c r="F57" s="70"/>
      <x:c r="G57" s="70"/>
      <x:c r="H57" s="70"/>
      <x:c r="I57" s="70"/>
    </x:row>
    <x:row r="58" ht="15" hidden="0" customHeight="1">
      <x:c r="A58" s="70"/>
      <x:c r="B58" s="70"/>
      <x:c r="C58" s="70"/>
      <x:c r="D58" s="70"/>
      <x:c r="E58" s="70"/>
      <x:c r="F58" s="70"/>
      <x:c r="G58" s="70"/>
      <x:c r="H58" s="70"/>
      <x:c r="I58" s="70"/>
    </x:row>
    <x:row r="59" ht="15" hidden="0" customHeight="1">
      <x:c r="A59" s="70"/>
      <x:c r="B59" s="70"/>
      <x:c r="C59" s="70"/>
      <x:c r="D59" s="70"/>
      <x:c r="E59" s="70"/>
      <x:c r="F59" s="70"/>
      <x:c r="G59" s="70"/>
      <x:c r="H59" s="70"/>
      <x:c r="I59" s="70"/>
    </x:row>
    <x:row r="60" ht="15" hidden="0" customHeight="1">
      <x:c r="A60" s="70"/>
      <x:c r="B60" s="70"/>
      <x:c r="C60" s="70"/>
      <x:c r="D60" s="70"/>
      <x:c r="E60" s="70"/>
      <x:c r="F60" s="70"/>
      <x:c r="G60" s="70"/>
      <x:c r="H60" s="70"/>
      <x:c r="I60" s="70"/>
    </x:row>
    <x:row r="61" ht="15" hidden="0" customHeight="1">
      <x:c r="A61" s="70"/>
      <x:c r="B61" s="70"/>
      <x:c r="C61" s="70"/>
      <x:c r="D61" s="70"/>
      <x:c r="E61" s="70"/>
      <x:c r="F61" s="70"/>
      <x:c r="G61" s="70"/>
      <x:c r="H61" s="70"/>
      <x:c r="I61" s="70"/>
    </x:row>
    <x:row r="62" ht="15" hidden="0" customHeight="1">
      <x:c r="A62" s="70"/>
      <x:c r="B62" s="70"/>
      <x:c r="C62" s="70"/>
      <x:c r="D62" s="70"/>
      <x:c r="E62" s="70"/>
      <x:c r="F62" s="70"/>
      <x:c r="G62" s="70"/>
      <x:c r="H62" s="70"/>
      <x:c r="I62" s="70"/>
    </x:row>
    <x:row r="63" ht="15" hidden="0" customHeight="1">
      <x:c r="A63" s="70"/>
      <x:c r="B63" s="70"/>
      <x:c r="C63" s="70"/>
      <x:c r="D63" s="70"/>
      <x:c r="E63" s="70"/>
      <x:c r="F63" s="70"/>
      <x:c r="G63" s="70"/>
      <x:c r="H63" s="70"/>
      <x:c r="I63" s="70"/>
    </x:row>
    <x:row r="64" ht="15" hidden="0" customHeight="1">
      <x:c r="A64" s="70"/>
      <x:c r="B64" s="70"/>
      <x:c r="C64" s="70"/>
      <x:c r="D64" s="70"/>
      <x:c r="E64" s="70"/>
      <x:c r="F64" s="70"/>
      <x:c r="G64" s="70"/>
      <x:c r="H64" s="70"/>
      <x:c r="I64" s="70"/>
    </x:row>
    <x:row r="65" ht="15" hidden="0" customHeight="1">
      <x:c r="A65" s="70"/>
      <x:c r="B65" s="70"/>
      <x:c r="C65" s="70"/>
      <x:c r="D65" s="70"/>
      <x:c r="E65" s="70"/>
      <x:c r="F65" s="70"/>
      <x:c r="G65" s="70"/>
      <x:c r="H65" s="70"/>
      <x:c r="I65" s="70"/>
    </x:row>
    <x:row r="66" ht="15" hidden="0" customHeight="1">
      <x:c r="A66" s="70"/>
      <x:c r="B66" s="70"/>
      <x:c r="C66" s="70"/>
      <x:c r="D66" s="70"/>
      <x:c r="E66" s="70"/>
      <x:c r="F66" s="70"/>
      <x:c r="G66" s="70"/>
      <x:c r="H66" s="70"/>
      <x:c r="I66" s="70"/>
    </x:row>
    <x:row r="67" ht="15" hidden="0" customHeight="1">
      <x:c r="A67" s="70"/>
      <x:c r="B67" s="70"/>
      <x:c r="C67" s="70"/>
      <x:c r="D67" s="70"/>
      <x:c r="E67" s="70"/>
      <x:c r="F67" s="70"/>
      <x:c r="G67" s="70"/>
      <x:c r="H67" s="70"/>
      <x:c r="I67" s="70"/>
    </x:row>
    <x:row r="68" ht="15" hidden="0" customHeight="1">
      <x:c r="A68" s="70"/>
      <x:c r="B68" s="70"/>
      <x:c r="C68" s="70"/>
      <x:c r="D68" s="70"/>
      <x:c r="E68" s="70"/>
      <x:c r="F68" s="70"/>
      <x:c r="G68" s="70"/>
      <x:c r="H68" s="70"/>
      <x:c r="I68" s="70"/>
    </x:row>
    <x:row r="69" ht="15" hidden="0" customHeight="1">
      <x:c r="A69" s="70"/>
      <x:c r="B69" s="70"/>
      <x:c r="C69" s="70"/>
      <x:c r="D69" s="70"/>
      <x:c r="E69" s="70"/>
      <x:c r="F69" s="70"/>
      <x:c r="G69" s="70"/>
      <x:c r="H69" s="70"/>
      <x:c r="I69" s="70"/>
    </x:row>
    <x:row r="70" ht="15" hidden="0" customHeight="1">
      <x:c r="A70" s="70"/>
      <x:c r="B70" s="70"/>
      <x:c r="C70" s="70"/>
      <x:c r="D70" s="70"/>
      <x:c r="E70" s="70"/>
      <x:c r="F70" s="70"/>
      <x:c r="G70" s="70"/>
      <x:c r="H70" s="70"/>
      <x:c r="I70" s="70"/>
    </x:row>
    <x:row r="71" ht="15" hidden="0" customHeight="1">
      <x:c r="A71" s="70"/>
      <x:c r="B71" s="70"/>
      <x:c r="C71" s="70"/>
      <x:c r="D71" s="70"/>
      <x:c r="E71" s="70"/>
      <x:c r="F71" s="70"/>
      <x:c r="G71" s="70"/>
      <x:c r="H71" s="70"/>
      <x:c r="I71" s="70"/>
    </x:row>
    <x:row r="72" ht="15" hidden="0" customHeight="1">
      <x:c r="A72" s="70"/>
      <x:c r="B72" s="70"/>
      <x:c r="C72" s="70"/>
      <x:c r="D72" s="70"/>
      <x:c r="E72" s="70"/>
      <x:c r="F72" s="70"/>
      <x:c r="G72" s="70"/>
      <x:c r="H72" s="70"/>
      <x:c r="I72" s="70"/>
    </x:row>
    <x:row r="73" ht="15" hidden="0" customHeight="1">
      <x:c r="A73" s="70"/>
      <x:c r="B73" s="70"/>
      <x:c r="C73" s="70"/>
      <x:c r="D73" s="70"/>
      <x:c r="E73" s="70"/>
      <x:c r="F73" s="70"/>
      <x:c r="G73" s="70"/>
      <x:c r="H73" s="70"/>
      <x:c r="I73" s="70"/>
    </x:row>
    <x:row r="74" ht="15" hidden="0" customHeight="1">
      <x:c r="A74" s="70"/>
      <x:c r="B74" s="70"/>
      <x:c r="C74" s="70"/>
      <x:c r="D74" s="70"/>
      <x:c r="E74" s="70"/>
      <x:c r="F74" s="70"/>
      <x:c r="G74" s="70"/>
      <x:c r="H74" s="70"/>
      <x:c r="I74" s="70"/>
    </x:row>
    <x:row r="75" ht="15" hidden="0" customHeight="1">
      <x:c r="A75" s="70"/>
      <x:c r="B75" s="70"/>
      <x:c r="C75" s="70"/>
      <x:c r="D75" s="70"/>
      <x:c r="E75" s="70"/>
      <x:c r="F75" s="70"/>
      <x:c r="G75" s="70"/>
      <x:c r="H75" s="70"/>
      <x:c r="I75" s="70"/>
    </x:row>
    <x:row r="76" ht="15" hidden="0" customHeight="1">
      <x:c r="A76" s="70"/>
      <x:c r="B76" s="70"/>
      <x:c r="C76" s="70"/>
      <x:c r="D76" s="70"/>
      <x:c r="E76" s="70"/>
      <x:c r="F76" s="70"/>
      <x:c r="G76" s="70"/>
      <x:c r="H76" s="70"/>
      <x:c r="I76" s="70"/>
    </x:row>
    <x:row r="77" ht="15" hidden="0" customHeight="1">
      <x:c r="A77" s="70"/>
      <x:c r="B77" s="70"/>
      <x:c r="C77" s="70"/>
      <x:c r="D77" s="70"/>
      <x:c r="E77" s="70"/>
      <x:c r="F77" s="70"/>
      <x:c r="G77" s="70"/>
      <x:c r="H77" s="70"/>
      <x:c r="I77" s="70"/>
    </x:row>
    <x:row r="78" ht="15" hidden="0" customHeight="1">
      <x:c r="A78" s="70"/>
      <x:c r="B78" s="70"/>
      <x:c r="C78" s="70"/>
      <x:c r="D78" s="70"/>
      <x:c r="E78" s="70"/>
      <x:c r="F78" s="70"/>
      <x:c r="G78" s="70"/>
      <x:c r="H78" s="70"/>
      <x:c r="I78" s="70"/>
    </x:row>
    <x:row r="79" ht="15" hidden="0" customHeight="1">
      <x:c r="A79" s="70"/>
      <x:c r="B79" s="70"/>
      <x:c r="C79" s="70"/>
      <x:c r="D79" s="70"/>
      <x:c r="E79" s="70"/>
      <x:c r="F79" s="70"/>
      <x:c r="G79" s="70"/>
      <x:c r="H79" s="70"/>
      <x:c r="I79" s="70"/>
    </x:row>
    <x:row r="80" ht="15" hidden="0" customHeight="1">
      <x:c r="A80" s="70"/>
      <x:c r="B80" s="70"/>
      <x:c r="C80" s="70"/>
      <x:c r="D80" s="70"/>
      <x:c r="E80" s="70"/>
      <x:c r="F80" s="70"/>
      <x:c r="G80" s="70"/>
      <x:c r="H80" s="70"/>
      <x:c r="I80" s="70"/>
    </x:row>
    <x:row r="81" ht="15" hidden="0" customHeight="1">
      <x:c r="A81" s="70"/>
      <x:c r="B81" s="70"/>
      <x:c r="C81" s="70"/>
      <x:c r="D81" s="70"/>
      <x:c r="E81" s="70"/>
      <x:c r="F81" s="70"/>
      <x:c r="G81" s="70"/>
      <x:c r="H81" s="70"/>
      <x:c r="I81" s="70"/>
    </x:row>
    <x:row r="82" ht="15" hidden="0" customHeight="1">
      <x:c r="A82" s="70"/>
      <x:c r="B82" s="70"/>
      <x:c r="C82" s="70"/>
      <x:c r="D82" s="70"/>
      <x:c r="E82" s="70"/>
      <x:c r="F82" s="70"/>
      <x:c r="G82" s="70"/>
      <x:c r="H82" s="70"/>
      <x:c r="I82" s="70"/>
    </x:row>
    <x:row r="83" ht="15" hidden="0" customHeight="1">
      <x:c r="A83" s="70"/>
      <x:c r="B83" s="70"/>
      <x:c r="C83" s="70"/>
      <x:c r="D83" s="70"/>
      <x:c r="E83" s="70"/>
      <x:c r="F83" s="70"/>
      <x:c r="G83" s="70"/>
      <x:c r="H83" s="70"/>
      <x:c r="I83" s="70"/>
    </x:row>
    <x:row r="84" ht="15" hidden="0" customHeight="1">
      <x:c r="A84" s="70"/>
      <x:c r="B84" s="70"/>
      <x:c r="C84" s="70"/>
      <x:c r="D84" s="70"/>
      <x:c r="E84" s="70"/>
      <x:c r="F84" s="70"/>
      <x:c r="G84" s="70"/>
      <x:c r="H84" s="70"/>
      <x:c r="I84" s="70"/>
    </x:row>
    <x:row r="85" ht="15" hidden="0" customHeight="1">
      <x:c r="A85" s="70"/>
      <x:c r="B85" s="70"/>
      <x:c r="C85" s="70"/>
      <x:c r="D85" s="70"/>
      <x:c r="E85" s="70"/>
      <x:c r="F85" s="70"/>
      <x:c r="G85" s="70"/>
      <x:c r="H85" s="70"/>
      <x:c r="I85" s="70"/>
    </x:row>
    <x:row r="86" ht="15" hidden="0" customHeight="1">
      <x:c r="A86" s="70"/>
      <x:c r="B86" s="70"/>
      <x:c r="C86" s="70"/>
      <x:c r="D86" s="70"/>
      <x:c r="E86" s="70"/>
      <x:c r="F86" s="70"/>
      <x:c r="G86" s="70"/>
      <x:c r="H86" s="70"/>
      <x:c r="I86" s="70"/>
    </x:row>
    <x:row r="87" ht="15" hidden="0" customHeight="1">
      <x:c r="A87" s="70"/>
      <x:c r="B87" s="70"/>
      <x:c r="C87" s="70"/>
      <x:c r="D87" s="70"/>
      <x:c r="E87" s="70"/>
      <x:c r="F87" s="70"/>
      <x:c r="G87" s="70"/>
      <x:c r="H87" s="70"/>
      <x:c r="I87" s="70"/>
    </x:row>
    <x:row r="88" ht="15" hidden="0" customHeight="1">
      <x:c r="A88" s="70"/>
      <x:c r="B88" s="70"/>
      <x:c r="C88" s="70"/>
      <x:c r="D88" s="70"/>
      <x:c r="E88" s="70"/>
      <x:c r="F88" s="70"/>
      <x:c r="G88" s="70"/>
      <x:c r="H88" s="70"/>
      <x:c r="I88" s="70"/>
    </x:row>
    <x:row r="89" ht="15" hidden="0" customHeight="1">
      <x:c r="A89" s="70"/>
      <x:c r="B89" s="70"/>
      <x:c r="C89" s="70"/>
      <x:c r="D89" s="70"/>
      <x:c r="E89" s="70"/>
      <x:c r="F89" s="70"/>
      <x:c r="G89" s="70"/>
      <x:c r="H89" s="70"/>
      <x:c r="I89" s="70"/>
    </x:row>
    <x:row r="90" ht="15" hidden="0" customHeight="1">
      <x:c r="A90" s="70"/>
      <x:c r="B90" s="70"/>
      <x:c r="C90" s="70"/>
      <x:c r="D90" s="70"/>
      <x:c r="E90" s="70"/>
      <x:c r="F90" s="70"/>
      <x:c r="G90" s="70"/>
      <x:c r="H90" s="70"/>
      <x:c r="I90" s="70"/>
    </x:row>
    <x:row r="91" ht="15" hidden="0" customHeight="1">
      <x:c r="A91" s="70"/>
      <x:c r="B91" s="70"/>
      <x:c r="C91" s="70"/>
      <x:c r="D91" s="70"/>
      <x:c r="E91" s="70"/>
      <x:c r="F91" s="70"/>
      <x:c r="G91" s="70"/>
      <x:c r="H91" s="70"/>
      <x:c r="I91" s="70"/>
    </x:row>
    <x:row r="92" ht="15" hidden="0" customHeight="1">
      <x:c r="A92" s="70"/>
      <x:c r="B92" s="70"/>
      <x:c r="C92" s="70"/>
      <x:c r="D92" s="70"/>
      <x:c r="E92" s="70"/>
      <x:c r="F92" s="70"/>
      <x:c r="G92" s="70"/>
      <x:c r="H92" s="70"/>
      <x:c r="I92" s="70"/>
    </x:row>
    <x:row r="93" ht="15" hidden="0" customHeight="1">
      <x:c r="A93" s="70"/>
      <x:c r="B93" s="70"/>
      <x:c r="C93" s="70"/>
      <x:c r="D93" s="70"/>
      <x:c r="E93" s="70"/>
      <x:c r="F93" s="70"/>
      <x:c r="G93" s="70"/>
      <x:c r="H93" s="70"/>
      <x:c r="I93" s="70"/>
    </x:row>
    <x:row r="94" ht="15" hidden="0" customHeight="1">
      <x:c r="A94" s="70"/>
      <x:c r="B94" s="70"/>
      <x:c r="C94" s="70"/>
      <x:c r="D94" s="70"/>
      <x:c r="E94" s="70"/>
      <x:c r="F94" s="70"/>
      <x:c r="G94" s="70"/>
      <x:c r="H94" s="70"/>
      <x:c r="I94" s="70"/>
    </x:row>
    <x:row r="95" ht="15" hidden="0" customHeight="1">
      <x:c r="A95" s="70"/>
      <x:c r="B95" s="70"/>
      <x:c r="C95" s="70"/>
      <x:c r="D95" s="70"/>
      <x:c r="E95" s="70"/>
      <x:c r="F95" s="70"/>
      <x:c r="G95" s="70"/>
      <x:c r="H95" s="70"/>
      <x:c r="I95" s="70"/>
    </x:row>
    <x:row r="96" ht="15" hidden="0" customHeight="1">
      <x:c r="A96" s="70"/>
      <x:c r="B96" s="70"/>
      <x:c r="C96" s="70"/>
      <x:c r="D96" s="70"/>
      <x:c r="E96" s="70"/>
      <x:c r="F96" s="70"/>
      <x:c r="G96" s="70"/>
      <x:c r="H96" s="70"/>
      <x:c r="I96" s="70"/>
    </x:row>
    <x:row r="97" ht="15" hidden="0" customHeight="1">
      <x:c r="A97" s="70"/>
      <x:c r="B97" s="70"/>
      <x:c r="C97" s="70"/>
      <x:c r="D97" s="70"/>
      <x:c r="E97" s="70"/>
      <x:c r="F97" s="70"/>
      <x:c r="G97" s="70"/>
      <x:c r="H97" s="70"/>
      <x:c r="I97" s="70"/>
    </x:row>
    <x:row r="98" ht="15" hidden="0" customHeight="1">
      <x:c r="A98" s="70"/>
      <x:c r="B98" s="70"/>
      <x:c r="C98" s="70"/>
      <x:c r="D98" s="70"/>
      <x:c r="E98" s="70"/>
      <x:c r="F98" s="70"/>
      <x:c r="G98" s="70"/>
      <x:c r="H98" s="70"/>
      <x:c r="I98" s="70"/>
    </x:row>
    <x:row r="99" ht="15" hidden="0" customHeight="1">
      <x:c r="A99" s="70"/>
      <x:c r="B99" s="70"/>
      <x:c r="C99" s="70"/>
      <x:c r="D99" s="70"/>
      <x:c r="E99" s="70"/>
      <x:c r="F99" s="70"/>
      <x:c r="G99" s="70"/>
      <x:c r="H99" s="70"/>
      <x:c r="I99" s="70"/>
    </x:row>
    <x:row r="100" ht="15" hidden="0" customHeight="1">
      <x:c r="A100" s="70"/>
      <x:c r="B100" s="70"/>
      <x:c r="C100" s="70"/>
      <x:c r="D100" s="70"/>
      <x:c r="E100" s="70"/>
      <x:c r="F100" s="70"/>
      <x:c r="G100" s="70"/>
      <x:c r="H100" s="70"/>
      <x:c r="I100" s="70"/>
    </x:row>
    <x:row r="101" ht="15" hidden="0" customHeight="1">
      <x:c r="A101" s="70"/>
      <x:c r="B101" s="70"/>
      <x:c r="C101" s="70"/>
      <x:c r="D101" s="70"/>
      <x:c r="E101" s="70"/>
      <x:c r="F101" s="70"/>
      <x:c r="G101" s="70"/>
      <x:c r="H101" s="70"/>
      <x:c r="I101" s="70"/>
    </x:row>
    <x:row r="102" ht="15" hidden="0" customHeight="1">
      <x:c r="A102" s="70"/>
      <x:c r="B102" s="70"/>
      <x:c r="C102" s="70"/>
      <x:c r="D102" s="70"/>
      <x:c r="E102" s="70"/>
      <x:c r="F102" s="70"/>
      <x:c r="G102" s="70"/>
      <x:c r="H102" s="70"/>
      <x:c r="I102" s="70"/>
    </x:row>
    <x:row r="103" ht="15" hidden="0" customHeight="1">
      <x:c r="A103" s="70"/>
      <x:c r="B103" s="70"/>
      <x:c r="C103" s="70"/>
      <x:c r="D103" s="70"/>
      <x:c r="E103" s="70"/>
      <x:c r="F103" s="70"/>
      <x:c r="G103" s="70"/>
      <x:c r="H103" s="70"/>
      <x:c r="I103" s="70"/>
    </x:row>
    <x:row r="104" ht="15" hidden="0" customHeight="1">
      <x:c r="A104" s="70"/>
      <x:c r="B104" s="70"/>
      <x:c r="C104" s="70"/>
      <x:c r="D104" s="70"/>
      <x:c r="E104" s="70"/>
      <x:c r="F104" s="70"/>
      <x:c r="G104" s="70"/>
      <x:c r="H104" s="70"/>
      <x:c r="I104" s="70"/>
    </x:row>
    <x:row r="105" ht="15" hidden="0" customHeight="1">
      <x:c r="A105" s="70"/>
      <x:c r="B105" s="70"/>
      <x:c r="C105" s="70"/>
      <x:c r="D105" s="70"/>
      <x:c r="E105" s="70"/>
      <x:c r="F105" s="70"/>
      <x:c r="G105" s="70"/>
      <x:c r="H105" s="70"/>
      <x:c r="I105" s="70"/>
    </x:row>
    <x:row r="106" ht="15" hidden="0" customHeight="1">
      <x:c r="A106" s="70"/>
      <x:c r="B106" s="70"/>
      <x:c r="C106" s="70"/>
      <x:c r="D106" s="70"/>
      <x:c r="E106" s="70"/>
      <x:c r="F106" s="70"/>
      <x:c r="G106" s="70"/>
      <x:c r="H106" s="70"/>
      <x:c r="I106" s="70"/>
    </x:row>
    <x:row r="107" ht="15" hidden="0" customHeight="1">
      <x:c r="A107" s="70"/>
      <x:c r="B107" s="70"/>
      <x:c r="C107" s="70"/>
      <x:c r="D107" s="70"/>
      <x:c r="E107" s="70"/>
      <x:c r="F107" s="70"/>
      <x:c r="G107" s="70"/>
      <x:c r="H107" s="70"/>
      <x:c r="I107" s="70"/>
    </x:row>
    <x:row r="108" ht="15" hidden="0" customHeight="1">
      <x:c r="A108" s="70"/>
      <x:c r="B108" s="70"/>
      <x:c r="C108" s="70"/>
      <x:c r="D108" s="70"/>
      <x:c r="E108" s="70"/>
      <x:c r="F108" s="70"/>
      <x:c r="G108" s="70"/>
      <x:c r="H108" s="70"/>
      <x:c r="I108" s="70"/>
    </x:row>
    <x:row r="109" ht="15" hidden="0" customHeight="1">
      <x:c r="A109" s="70"/>
      <x:c r="B109" s="70"/>
      <x:c r="C109" s="70"/>
      <x:c r="D109" s="70"/>
      <x:c r="E109" s="70"/>
      <x:c r="F109" s="70"/>
      <x:c r="G109" s="70"/>
      <x:c r="H109" s="70"/>
      <x:c r="I109" s="70"/>
    </x:row>
    <x:row r="110" ht="15" hidden="0" customHeight="1">
      <x:c r="A110" s="70"/>
      <x:c r="B110" s="70"/>
      <x:c r="C110" s="70"/>
      <x:c r="D110" s="70"/>
      <x:c r="E110" s="70"/>
      <x:c r="F110" s="70"/>
      <x:c r="G110" s="70"/>
      <x:c r="H110" s="70"/>
      <x:c r="I110" s="70"/>
    </x:row>
    <x:row r="111" ht="15" hidden="0" customHeight="1">
      <x:c r="A111" s="70"/>
      <x:c r="B111" s="70"/>
      <x:c r="C111" s="70"/>
      <x:c r="D111" s="70"/>
      <x:c r="E111" s="70"/>
      <x:c r="F111" s="70"/>
      <x:c r="G111" s="70"/>
      <x:c r="H111" s="70"/>
      <x:c r="I111" s="70"/>
    </x:row>
    <x:row r="112" ht="15" hidden="0" customHeight="1">
      <x:c r="A112" s="70"/>
      <x:c r="B112" s="70"/>
      <x:c r="C112" s="70"/>
      <x:c r="D112" s="70"/>
      <x:c r="E112" s="70"/>
      <x:c r="F112" s="70"/>
      <x:c r="G112" s="70"/>
      <x:c r="H112" s="70"/>
      <x:c r="I112" s="70"/>
    </x:row>
    <x:row r="113" ht="15" hidden="0" customHeight="1">
      <x:c r="A113" s="70"/>
      <x:c r="B113" s="70"/>
      <x:c r="C113" s="70"/>
      <x:c r="D113" s="70"/>
      <x:c r="E113" s="70"/>
      <x:c r="F113" s="70"/>
      <x:c r="G113" s="70"/>
      <x:c r="H113" s="70"/>
      <x:c r="I113" s="70"/>
    </x:row>
    <x:row r="114" ht="15" hidden="0" customHeight="1">
      <x:c r="A114" s="70"/>
      <x:c r="B114" s="70"/>
      <x:c r="C114" s="70"/>
      <x:c r="D114" s="70"/>
      <x:c r="E114" s="70"/>
      <x:c r="F114" s="70"/>
      <x:c r="G114" s="70"/>
      <x:c r="H114" s="70"/>
      <x:c r="I114" s="70"/>
    </x:row>
    <x:row r="115" ht="15" hidden="0" customHeight="1">
      <x:c r="A115" s="70"/>
      <x:c r="B115" s="70"/>
      <x:c r="C115" s="70"/>
      <x:c r="D115" s="70"/>
      <x:c r="E115" s="70"/>
      <x:c r="F115" s="70"/>
      <x:c r="G115" s="70"/>
      <x:c r="H115" s="70"/>
      <x:c r="I115" s="70"/>
    </x:row>
    <x:row r="116" ht="15" hidden="0" customHeight="1">
      <x:c r="A116" s="70"/>
      <x:c r="B116" s="70"/>
      <x:c r="C116" s="70"/>
      <x:c r="D116" s="70"/>
      <x:c r="E116" s="70"/>
      <x:c r="F116" s="70"/>
      <x:c r="G116" s="70"/>
      <x:c r="H116" s="70"/>
      <x:c r="I116" s="70"/>
    </x:row>
    <x:row r="117" ht="15" hidden="0" customHeight="1">
      <x:c r="A117" s="70"/>
      <x:c r="B117" s="70"/>
      <x:c r="C117" s="70"/>
      <x:c r="D117" s="70"/>
      <x:c r="E117" s="70"/>
      <x:c r="F117" s="70"/>
      <x:c r="G117" s="70"/>
      <x:c r="H117" s="70"/>
      <x:c r="I117" s="70"/>
    </x:row>
    <x:row r="118" ht="15" hidden="0" customHeight="1">
      <x:c r="A118" s="70"/>
      <x:c r="B118" s="70"/>
      <x:c r="C118" s="70"/>
      <x:c r="D118" s="70"/>
      <x:c r="E118" s="70"/>
      <x:c r="F118" s="70"/>
      <x:c r="G118" s="70"/>
      <x:c r="H118" s="70"/>
      <x:c r="I118" s="70"/>
    </x:row>
    <x:row r="119" ht="15" hidden="0" customHeight="1">
      <x:c r="A119" s="70"/>
      <x:c r="B119" s="70"/>
      <x:c r="C119" s="70"/>
      <x:c r="D119" s="70"/>
      <x:c r="E119" s="70"/>
      <x:c r="F119" s="70"/>
      <x:c r="G119" s="70"/>
      <x:c r="H119" s="70"/>
      <x:c r="I119" s="70"/>
    </x:row>
    <x:row r="120" ht="15" hidden="0" customHeight="1">
      <x:c r="A120" s="70"/>
      <x:c r="B120" s="70"/>
      <x:c r="C120" s="70"/>
      <x:c r="D120" s="70"/>
      <x:c r="E120" s="70"/>
      <x:c r="F120" s="70"/>
      <x:c r="G120" s="70"/>
      <x:c r="H120" s="70"/>
      <x:c r="I120" s="70"/>
    </x:row>
    <x:row r="121" ht="15" hidden="0" customHeight="1">
      <x:c r="A121" s="70"/>
      <x:c r="B121" s="70"/>
      <x:c r="C121" s="70"/>
      <x:c r="D121" s="70"/>
      <x:c r="E121" s="70"/>
      <x:c r="F121" s="70"/>
      <x:c r="G121" s="70"/>
      <x:c r="H121" s="70"/>
      <x:c r="I121" s="70"/>
    </x:row>
    <x:row r="122" ht="15" hidden="0" customHeight="1">
      <x:c r="A122" s="70"/>
      <x:c r="B122" s="70"/>
      <x:c r="C122" s="70"/>
      <x:c r="D122" s="70"/>
      <x:c r="E122" s="70"/>
      <x:c r="F122" s="70"/>
      <x:c r="G122" s="70"/>
      <x:c r="H122" s="70"/>
      <x:c r="I122" s="70"/>
    </x:row>
    <x:row r="123" ht="15" hidden="0" customHeight="1">
      <x:c r="A123" s="70"/>
      <x:c r="B123" s="70"/>
      <x:c r="C123" s="70"/>
      <x:c r="D123" s="70"/>
      <x:c r="E123" s="70"/>
      <x:c r="F123" s="70"/>
      <x:c r="G123" s="70"/>
      <x:c r="H123" s="70"/>
      <x:c r="I123" s="70"/>
    </x:row>
    <x:row r="124" ht="15" hidden="0" customHeight="1">
      <x:c r="A124" s="70"/>
      <x:c r="B124" s="70"/>
      <x:c r="C124" s="70"/>
      <x:c r="D124" s="70"/>
      <x:c r="E124" s="70"/>
      <x:c r="F124" s="70"/>
      <x:c r="G124" s="70"/>
      <x:c r="H124" s="70"/>
      <x:c r="I124" s="70"/>
    </x:row>
    <x:row r="125" ht="15" hidden="0" customHeight="1">
      <x:c r="A125" s="70"/>
      <x:c r="B125" s="70"/>
      <x:c r="C125" s="70"/>
      <x:c r="D125" s="70"/>
      <x:c r="E125" s="70"/>
      <x:c r="F125" s="70"/>
      <x:c r="G125" s="70"/>
      <x:c r="H125" s="70"/>
      <x:c r="I125" s="70"/>
    </x:row>
    <x:row r="126" ht="15" hidden="0" customHeight="1">
      <x:c r="A126" s="70"/>
      <x:c r="B126" s="70"/>
      <x:c r="C126" s="70"/>
      <x:c r="D126" s="70"/>
      <x:c r="E126" s="70"/>
      <x:c r="F126" s="70"/>
      <x:c r="G126" s="70"/>
      <x:c r="H126" s="70"/>
      <x:c r="I126" s="70"/>
    </x:row>
    <x:row r="127" ht="15" hidden="0" customHeight="1">
      <x:c r="A127" s="70"/>
      <x:c r="B127" s="70"/>
      <x:c r="C127" s="70"/>
      <x:c r="D127" s="70"/>
      <x:c r="E127" s="70"/>
      <x:c r="F127" s="70"/>
      <x:c r="G127" s="70"/>
      <x:c r="H127" s="70"/>
      <x:c r="I127" s="70"/>
    </x:row>
    <x:row r="128" ht="15" hidden="0" customHeight="1">
      <x:c r="A128" s="70"/>
      <x:c r="B128" s="70"/>
      <x:c r="C128" s="70"/>
      <x:c r="D128" s="70"/>
      <x:c r="E128" s="70"/>
      <x:c r="F128" s="70"/>
      <x:c r="G128" s="70"/>
      <x:c r="H128" s="70"/>
      <x:c r="I128" s="70"/>
    </x:row>
    <x:row r="129" ht="15" hidden="0" customHeight="1">
      <x:c r="A129" s="70"/>
      <x:c r="B129" s="70"/>
      <x:c r="C129" s="70"/>
      <x:c r="D129" s="70"/>
      <x:c r="E129" s="70"/>
      <x:c r="F129" s="70"/>
      <x:c r="G129" s="70"/>
      <x:c r="H129" s="70"/>
      <x:c r="I129" s="70"/>
    </x:row>
    <x:row r="130" ht="15" hidden="0" customHeight="1">
      <x:c r="A130" s="70"/>
      <x:c r="B130" s="70"/>
      <x:c r="C130" s="70"/>
      <x:c r="D130" s="70"/>
      <x:c r="E130" s="70"/>
      <x:c r="F130" s="70"/>
      <x:c r="G130" s="70"/>
      <x:c r="H130" s="70"/>
      <x:c r="I130" s="70"/>
    </x:row>
    <x:row r="131" ht="15" hidden="0" customHeight="1">
      <x:c r="A131" s="70"/>
      <x:c r="B131" s="70"/>
      <x:c r="C131" s="70"/>
      <x:c r="D131" s="70"/>
      <x:c r="E131" s="70"/>
      <x:c r="F131" s="70"/>
      <x:c r="G131" s="70"/>
      <x:c r="H131" s="70"/>
      <x:c r="I131" s="70"/>
    </x:row>
    <x:row r="132" ht="15" hidden="0" customHeight="1">
      <x:c r="A132" s="70"/>
      <x:c r="B132" s="70"/>
      <x:c r="C132" s="70"/>
      <x:c r="D132" s="70"/>
      <x:c r="E132" s="70"/>
      <x:c r="F132" s="70"/>
      <x:c r="G132" s="70"/>
      <x:c r="H132" s="70"/>
      <x:c r="I132" s="70"/>
    </x:row>
    <x:row r="133" ht="15" hidden="0" customHeight="1">
      <x:c r="A133" s="70"/>
      <x:c r="B133" s="70"/>
      <x:c r="C133" s="70"/>
      <x:c r="D133" s="70"/>
      <x:c r="E133" s="70"/>
      <x:c r="F133" s="70"/>
      <x:c r="G133" s="70"/>
      <x:c r="H133" s="70"/>
      <x:c r="I133" s="70"/>
    </x:row>
    <x:row r="134" ht="15" hidden="0" customHeight="1">
      <x:c r="A134" s="70"/>
      <x:c r="B134" s="70"/>
      <x:c r="C134" s="70"/>
      <x:c r="D134" s="70"/>
      <x:c r="E134" s="70"/>
      <x:c r="F134" s="70"/>
      <x:c r="G134" s="70"/>
      <x:c r="H134" s="70"/>
      <x:c r="I134" s="70"/>
    </x:row>
    <x:row r="135" ht="15" hidden="0" customHeight="1">
      <x:c r="A135" s="70"/>
      <x:c r="B135" s="70"/>
      <x:c r="C135" s="70"/>
      <x:c r="D135" s="70"/>
      <x:c r="E135" s="70"/>
      <x:c r="F135" s="70"/>
      <x:c r="G135" s="70"/>
      <x:c r="H135" s="70"/>
      <x:c r="I135" s="70"/>
    </x:row>
    <x:row r="136" ht="15" hidden="0" customHeight="1">
      <x:c r="A136" s="70"/>
      <x:c r="B136" s="70"/>
      <x:c r="C136" s="70"/>
      <x:c r="D136" s="70"/>
      <x:c r="E136" s="70"/>
      <x:c r="F136" s="70"/>
      <x:c r="G136" s="70"/>
      <x:c r="H136" s="70"/>
      <x:c r="I136" s="70"/>
    </x:row>
    <x:row r="137" ht="15" hidden="0" customHeight="1">
      <x:c r="A137" s="70"/>
      <x:c r="B137" s="70"/>
      <x:c r="C137" s="70"/>
      <x:c r="D137" s="70"/>
      <x:c r="E137" s="70"/>
      <x:c r="F137" s="70"/>
      <x:c r="G137" s="70"/>
      <x:c r="H137" s="70"/>
      <x:c r="I137" s="70"/>
    </x:row>
    <x:row r="138" ht="15" hidden="0" customHeight="1">
      <x:c r="A138" s="70"/>
      <x:c r="B138" s="70"/>
      <x:c r="C138" s="70"/>
      <x:c r="D138" s="70"/>
      <x:c r="E138" s="70"/>
      <x:c r="F138" s="70"/>
      <x:c r="G138" s="70"/>
      <x:c r="H138" s="70"/>
      <x:c r="I138" s="70"/>
    </x:row>
    <x:row r="139" ht="15" hidden="0" customHeight="1">
      <x:c r="A139" s="70"/>
      <x:c r="B139" s="70"/>
      <x:c r="C139" s="70"/>
      <x:c r="D139" s="70"/>
      <x:c r="E139" s="70"/>
      <x:c r="F139" s="70"/>
      <x:c r="G139" s="70"/>
      <x:c r="H139" s="70"/>
      <x:c r="I139" s="70"/>
    </x:row>
    <x:row r="140" ht="15" hidden="0" customHeight="1">
      <x:c r="A140" s="70"/>
      <x:c r="B140" s="70"/>
      <x:c r="C140" s="70"/>
      <x:c r="D140" s="70"/>
      <x:c r="E140" s="70"/>
      <x:c r="F140" s="70"/>
      <x:c r="G140" s="70"/>
      <x:c r="H140" s="70"/>
      <x:c r="I140" s="70"/>
    </x:row>
    <x:row r="141" ht="15" hidden="0" customHeight="1">
      <x:c r="A141" s="70"/>
      <x:c r="B141" s="70"/>
      <x:c r="C141" s="70"/>
      <x:c r="D141" s="70"/>
      <x:c r="E141" s="70"/>
      <x:c r="F141" s="70"/>
      <x:c r="G141" s="70"/>
      <x:c r="H141" s="70"/>
      <x:c r="I141" s="70"/>
    </x:row>
    <x:row r="142" ht="15" hidden="0" customHeight="1">
      <x:c r="A142" s="70"/>
      <x:c r="B142" s="70"/>
      <x:c r="C142" s="70"/>
      <x:c r="D142" s="70"/>
      <x:c r="E142" s="70"/>
      <x:c r="F142" s="70"/>
      <x:c r="G142" s="70"/>
      <x:c r="H142" s="70"/>
      <x:c r="I142" s="70"/>
    </x:row>
    <x:row r="143" ht="15" hidden="0" customHeight="1">
      <x:c r="A143" s="70"/>
      <x:c r="B143" s="70"/>
      <x:c r="C143" s="70"/>
      <x:c r="D143" s="70"/>
      <x:c r="E143" s="70"/>
      <x:c r="F143" s="70"/>
      <x:c r="G143" s="70"/>
      <x:c r="H143" s="70"/>
      <x:c r="I143" s="70"/>
    </x:row>
    <x:row r="144" ht="15" hidden="0" customHeight="1">
      <x:c r="A144" s="70"/>
      <x:c r="B144" s="70"/>
      <x:c r="C144" s="70"/>
      <x:c r="D144" s="70"/>
      <x:c r="E144" s="70"/>
      <x:c r="F144" s="70"/>
      <x:c r="G144" s="70"/>
      <x:c r="H144" s="70"/>
      <x:c r="I144" s="70"/>
    </x:row>
    <x:row r="145" ht="15" hidden="0" customHeight="1">
      <x:c r="A145" s="70"/>
      <x:c r="B145" s="70"/>
      <x:c r="C145" s="70"/>
      <x:c r="D145" s="70"/>
      <x:c r="E145" s="70"/>
      <x:c r="F145" s="70"/>
      <x:c r="G145" s="70"/>
      <x:c r="H145" s="70"/>
      <x:c r="I145" s="70"/>
    </x:row>
    <x:row r="146" ht="15" hidden="0" customHeight="1">
      <x:c r="A146" s="70"/>
      <x:c r="B146" s="70"/>
      <x:c r="C146" s="70"/>
      <x:c r="D146" s="70"/>
      <x:c r="E146" s="70"/>
      <x:c r="F146" s="70"/>
      <x:c r="G146" s="70"/>
      <x:c r="H146" s="70"/>
      <x:c r="I146" s="70"/>
    </x:row>
    <x:row r="147" ht="15" hidden="0" customHeight="1">
      <x:c r="A147" s="70"/>
      <x:c r="B147" s="70"/>
      <x:c r="C147" s="70"/>
      <x:c r="D147" s="70"/>
      <x:c r="E147" s="70"/>
      <x:c r="F147" s="70"/>
      <x:c r="G147" s="70"/>
      <x:c r="H147" s="70"/>
      <x:c r="I147" s="70"/>
    </x:row>
    <x:row r="148" ht="15" hidden="0" customHeight="1">
      <x:c r="A148" s="70"/>
      <x:c r="B148" s="70"/>
      <x:c r="C148" s="70"/>
      <x:c r="D148" s="70"/>
      <x:c r="E148" s="70"/>
      <x:c r="F148" s="70"/>
      <x:c r="G148" s="70"/>
      <x:c r="H148" s="70"/>
      <x:c r="I148" s="70"/>
    </x:row>
    <x:row r="149" ht="15" hidden="0" customHeight="1">
      <x:c r="A149" s="70"/>
      <x:c r="B149" s="70"/>
      <x:c r="C149" s="70"/>
      <x:c r="D149" s="70"/>
      <x:c r="E149" s="70"/>
      <x:c r="F149" s="70"/>
      <x:c r="G149" s="70"/>
      <x:c r="H149" s="70"/>
      <x:c r="I149" s="70"/>
    </x:row>
    <x:row r="150" ht="15" hidden="0" customHeight="1">
      <x:c r="A150" s="70"/>
      <x:c r="B150" s="70"/>
      <x:c r="C150" s="70"/>
      <x:c r="D150" s="70"/>
      <x:c r="E150" s="70"/>
      <x:c r="F150" s="70"/>
      <x:c r="G150" s="70"/>
      <x:c r="H150" s="70"/>
      <x:c r="I150" s="70"/>
    </x:row>
    <x:row r="151" ht="15" hidden="0" customHeight="1">
      <x:c r="A151" s="70"/>
      <x:c r="B151" s="70"/>
      <x:c r="C151" s="70"/>
      <x:c r="D151" s="70"/>
      <x:c r="E151" s="70"/>
      <x:c r="F151" s="70"/>
      <x:c r="G151" s="70"/>
      <x:c r="H151" s="70"/>
      <x:c r="I151" s="70"/>
    </x:row>
    <x:row r="152" ht="15" hidden="0" customHeight="1">
      <x:c r="A152" s="70"/>
      <x:c r="B152" s="70"/>
      <x:c r="C152" s="70"/>
      <x:c r="D152" s="70"/>
      <x:c r="E152" s="70"/>
      <x:c r="F152" s="70"/>
      <x:c r="G152" s="70"/>
      <x:c r="H152" s="70"/>
      <x:c r="I152" s="70"/>
    </x:row>
    <x:row r="153" ht="15" hidden="0" customHeight="1">
      <x:c r="A153" s="70"/>
      <x:c r="B153" s="70"/>
      <x:c r="C153" s="70"/>
      <x:c r="D153" s="70"/>
      <x:c r="E153" s="70"/>
      <x:c r="F153" s="70"/>
      <x:c r="G153" s="70"/>
      <x:c r="H153" s="70"/>
      <x:c r="I153" s="70"/>
    </x:row>
    <x:row r="154" ht="15" hidden="0" customHeight="1">
      <x:c r="A154" s="70"/>
      <x:c r="B154" s="70"/>
      <x:c r="C154" s="70"/>
      <x:c r="D154" s="70"/>
      <x:c r="E154" s="70"/>
      <x:c r="F154" s="70"/>
      <x:c r="G154" s="70"/>
      <x:c r="H154" s="70"/>
      <x:c r="I154" s="70"/>
    </x:row>
    <x:row r="155" ht="15" hidden="0" customHeight="1">
      <x:c r="A155" s="70"/>
      <x:c r="B155" s="70"/>
      <x:c r="C155" s="70"/>
      <x:c r="D155" s="70"/>
      <x:c r="E155" s="70"/>
      <x:c r="F155" s="70"/>
      <x:c r="G155" s="70"/>
      <x:c r="H155" s="70"/>
      <x:c r="I155" s="70"/>
    </x:row>
    <x:row r="156" ht="15" hidden="0" customHeight="1">
      <x:c r="A156" s="70"/>
      <x:c r="B156" s="70"/>
      <x:c r="C156" s="70"/>
      <x:c r="D156" s="70"/>
      <x:c r="E156" s="70"/>
      <x:c r="F156" s="70"/>
      <x:c r="G156" s="70"/>
      <x:c r="H156" s="70"/>
      <x:c r="I156" s="70"/>
    </x:row>
    <x:row r="157" ht="15" hidden="0" customHeight="1">
      <x:c r="A157" s="70"/>
      <x:c r="B157" s="70"/>
      <x:c r="C157" s="70"/>
      <x:c r="D157" s="70"/>
      <x:c r="E157" s="70"/>
      <x:c r="F157" s="70"/>
      <x:c r="G157" s="70"/>
      <x:c r="H157" s="70"/>
      <x:c r="I157" s="70"/>
    </x:row>
    <x:row r="158" ht="15" hidden="0" customHeight="1">
      <x:c r="A158" s="70"/>
      <x:c r="B158" s="70"/>
      <x:c r="C158" s="70"/>
      <x:c r="D158" s="70"/>
      <x:c r="E158" s="70"/>
      <x:c r="F158" s="70"/>
      <x:c r="G158" s="70"/>
      <x:c r="H158" s="70"/>
      <x:c r="I158" s="70"/>
    </x:row>
    <x:row r="159" ht="15" hidden="0" customHeight="1">
      <x:c r="A159" s="70"/>
      <x:c r="B159" s="70"/>
      <x:c r="C159" s="70"/>
      <x:c r="D159" s="70"/>
      <x:c r="E159" s="70"/>
      <x:c r="F159" s="70"/>
      <x:c r="G159" s="70"/>
      <x:c r="H159" s="70"/>
      <x:c r="I159" s="70"/>
    </x:row>
    <x:row r="160" ht="15" hidden="0" customHeight="1">
      <x:c r="A160" s="70"/>
      <x:c r="B160" s="70"/>
      <x:c r="C160" s="70"/>
      <x:c r="D160" s="70"/>
      <x:c r="E160" s="70"/>
      <x:c r="F160" s="70"/>
      <x:c r="G160" s="70"/>
      <x:c r="H160" s="70"/>
      <x:c r="I160" s="70"/>
    </x:row>
    <x:row r="161" ht="15" hidden="0" customHeight="1">
      <x:c r="A161" s="70"/>
      <x:c r="B161" s="70"/>
      <x:c r="C161" s="70"/>
      <x:c r="D161" s="70"/>
      <x:c r="E161" s="70"/>
      <x:c r="F161" s="70"/>
      <x:c r="G161" s="70"/>
      <x:c r="H161" s="70"/>
      <x:c r="I161" s="70"/>
    </x:row>
    <x:row r="162" ht="15" hidden="0" customHeight="1">
      <x:c r="A162" s="70"/>
      <x:c r="B162" s="70"/>
      <x:c r="C162" s="70"/>
      <x:c r="D162" s="70"/>
      <x:c r="E162" s="70"/>
      <x:c r="F162" s="70"/>
      <x:c r="G162" s="70"/>
      <x:c r="H162" s="70"/>
      <x:c r="I162" s="70"/>
    </x:row>
    <x:row r="163" ht="15" hidden="0" customHeight="1">
      <x:c r="A163" s="70"/>
      <x:c r="B163" s="70"/>
      <x:c r="C163" s="70"/>
      <x:c r="D163" s="70"/>
      <x:c r="E163" s="70"/>
      <x:c r="F163" s="70"/>
      <x:c r="G163" s="70"/>
      <x:c r="H163" s="70"/>
      <x:c r="I163" s="70"/>
    </x:row>
    <x:row r="164" ht="15" hidden="0" customHeight="1">
      <x:c r="A164" s="70"/>
      <x:c r="B164" s="70"/>
      <x:c r="C164" s="70"/>
      <x:c r="D164" s="70"/>
      <x:c r="E164" s="70"/>
      <x:c r="F164" s="70"/>
      <x:c r="G164" s="70"/>
      <x:c r="H164" s="70"/>
      <x:c r="I164" s="70"/>
    </x:row>
    <x:row r="165" ht="15" hidden="0" customHeight="1">
      <x:c r="A165" s="70"/>
      <x:c r="B165" s="70"/>
      <x:c r="C165" s="70"/>
      <x:c r="D165" s="70"/>
      <x:c r="E165" s="70"/>
      <x:c r="F165" s="70"/>
      <x:c r="G165" s="70"/>
      <x:c r="H165" s="70"/>
      <x:c r="I165" s="70"/>
    </x:row>
    <x:row r="166" ht="15" hidden="0" customHeight="1">
      <x:c r="A166" s="70"/>
      <x:c r="B166" s="70"/>
      <x:c r="C166" s="70"/>
      <x:c r="D166" s="70"/>
      <x:c r="E166" s="70"/>
      <x:c r="F166" s="70"/>
      <x:c r="G166" s="70"/>
      <x:c r="H166" s="70"/>
      <x:c r="I166" s="70"/>
    </x:row>
    <x:row r="167" ht="15" hidden="0" customHeight="1">
      <x:c r="A167" s="70"/>
      <x:c r="B167" s="70"/>
      <x:c r="C167" s="70"/>
      <x:c r="D167" s="70"/>
      <x:c r="E167" s="70"/>
      <x:c r="F167" s="70"/>
      <x:c r="G167" s="70"/>
      <x:c r="H167" s="70"/>
      <x:c r="I167" s="70"/>
    </x:row>
    <x:row r="168" ht="15" hidden="0" customHeight="1">
      <x:c r="A168" s="70"/>
      <x:c r="B168" s="70"/>
      <x:c r="C168" s="70"/>
      <x:c r="D168" s="70"/>
      <x:c r="E168" s="70"/>
      <x:c r="F168" s="70"/>
      <x:c r="G168" s="70"/>
      <x:c r="H168" s="70"/>
      <x:c r="I168" s="70"/>
    </x:row>
    <x:row r="169" ht="15" hidden="0" customHeight="1">
      <x:c r="A169" s="70"/>
      <x:c r="B169" s="70"/>
      <x:c r="C169" s="70"/>
      <x:c r="D169" s="70"/>
      <x:c r="E169" s="70"/>
      <x:c r="F169" s="70"/>
      <x:c r="G169" s="70"/>
      <x:c r="H169" s="70"/>
      <x:c r="I169" s="70"/>
    </x:row>
    <x:row r="170" ht="15" hidden="0" customHeight="1">
      <x:c r="A170" s="70"/>
      <x:c r="B170" s="70"/>
      <x:c r="C170" s="70"/>
      <x:c r="D170" s="70"/>
      <x:c r="E170" s="70"/>
      <x:c r="F170" s="70"/>
      <x:c r="G170" s="70"/>
      <x:c r="H170" s="70"/>
      <x:c r="I170" s="70"/>
    </x:row>
    <x:row r="171" ht="15" hidden="0" customHeight="1">
      <x:c r="A171" s="70"/>
      <x:c r="B171" s="70"/>
      <x:c r="C171" s="70"/>
      <x:c r="D171" s="70"/>
      <x:c r="E171" s="70"/>
      <x:c r="F171" s="70"/>
      <x:c r="G171" s="70"/>
      <x:c r="H171" s="70"/>
      <x:c r="I171" s="70"/>
    </x:row>
    <x:row r="172" ht="15" hidden="0" customHeight="1">
      <x:c r="A172" s="70"/>
      <x:c r="B172" s="70"/>
      <x:c r="C172" s="70"/>
      <x:c r="D172" s="70"/>
      <x:c r="E172" s="70"/>
      <x:c r="F172" s="70"/>
      <x:c r="G172" s="70"/>
      <x:c r="H172" s="70"/>
      <x:c r="I172" s="70"/>
    </x:row>
    <x:row r="173" ht="15" hidden="0" customHeight="1">
      <x:c r="A173" s="70"/>
      <x:c r="B173" s="70"/>
      <x:c r="C173" s="70"/>
      <x:c r="D173" s="70"/>
      <x:c r="E173" s="70"/>
      <x:c r="F173" s="70"/>
      <x:c r="G173" s="70"/>
      <x:c r="H173" s="70"/>
      <x:c r="I173" s="70"/>
    </x:row>
    <x:row r="174" ht="15" hidden="0" customHeight="1">
      <x:c r="A174" s="70"/>
      <x:c r="B174" s="70"/>
      <x:c r="C174" s="70"/>
      <x:c r="D174" s="70"/>
      <x:c r="E174" s="70"/>
      <x:c r="F174" s="70"/>
      <x:c r="G174" s="70"/>
      <x:c r="H174" s="70"/>
      <x:c r="I174" s="70"/>
    </x:row>
    <x:row r="175" ht="15" hidden="0" customHeight="1">
      <x:c r="A175" s="70"/>
      <x:c r="B175" s="70"/>
      <x:c r="C175" s="70"/>
      <x:c r="D175" s="70"/>
      <x:c r="E175" s="70"/>
      <x:c r="F175" s="70"/>
      <x:c r="G175" s="70"/>
      <x:c r="H175" s="70"/>
      <x:c r="I175" s="70"/>
    </x:row>
    <x:row r="176" ht="15" hidden="0" customHeight="1">
      <x:c r="A176" s="70"/>
      <x:c r="B176" s="70"/>
      <x:c r="C176" s="70"/>
      <x:c r="D176" s="70"/>
      <x:c r="E176" s="70"/>
      <x:c r="F176" s="70"/>
      <x:c r="G176" s="70"/>
      <x:c r="H176" s="70"/>
      <x:c r="I176" s="70"/>
    </x:row>
    <x:row r="177" ht="15" hidden="0" customHeight="1">
      <x:c r="A177" s="70"/>
      <x:c r="B177" s="70"/>
      <x:c r="C177" s="70"/>
      <x:c r="D177" s="70"/>
      <x:c r="E177" s="70"/>
      <x:c r="F177" s="70"/>
      <x:c r="G177" s="70"/>
      <x:c r="H177" s="70"/>
      <x:c r="I177" s="70"/>
    </x:row>
    <x:row r="178" ht="15" hidden="0" customHeight="1">
      <x:c r="A178" s="70"/>
      <x:c r="B178" s="70"/>
      <x:c r="C178" s="70"/>
      <x:c r="D178" s="70"/>
      <x:c r="E178" s="70"/>
      <x:c r="F178" s="70"/>
      <x:c r="G178" s="70"/>
      <x:c r="H178" s="70"/>
      <x:c r="I178" s="70"/>
    </x:row>
    <x:row r="179" ht="15" hidden="0" customHeight="1">
      <x:c r="A179" s="70"/>
      <x:c r="B179" s="70"/>
      <x:c r="C179" s="70"/>
      <x:c r="D179" s="70"/>
      <x:c r="E179" s="70"/>
      <x:c r="F179" s="70"/>
      <x:c r="G179" s="70"/>
      <x:c r="H179" s="70"/>
      <x:c r="I179" s="70"/>
    </x:row>
    <x:row r="180" ht="15" hidden="0" customHeight="1">
      <x:c r="A180" s="70"/>
      <x:c r="B180" s="70"/>
      <x:c r="C180" s="70"/>
      <x:c r="D180" s="70"/>
      <x:c r="E180" s="70"/>
      <x:c r="F180" s="70"/>
      <x:c r="G180" s="70"/>
      <x:c r="H180" s="70"/>
      <x:c r="I180" s="70"/>
    </x:row>
    <x:row r="181" ht="15" hidden="0" customHeight="1">
      <x:c r="A181" s="70"/>
      <x:c r="B181" s="70"/>
      <x:c r="C181" s="70"/>
      <x:c r="D181" s="70"/>
      <x:c r="E181" s="70"/>
      <x:c r="F181" s="70"/>
      <x:c r="G181" s="70"/>
      <x:c r="H181" s="70"/>
      <x:c r="I181" s="70"/>
    </x:row>
    <x:row r="182" ht="15" hidden="0" customHeight="1">
      <x:c r="A182" s="70"/>
      <x:c r="B182" s="70"/>
      <x:c r="C182" s="70"/>
      <x:c r="D182" s="70"/>
      <x:c r="E182" s="70"/>
      <x:c r="F182" s="70"/>
      <x:c r="G182" s="70"/>
      <x:c r="H182" s="70"/>
      <x:c r="I182" s="70"/>
    </x:row>
    <x:row r="183" ht="15" hidden="0" customHeight="1">
      <x:c r="A183" s="70"/>
      <x:c r="B183" s="70"/>
      <x:c r="C183" s="70"/>
      <x:c r="D183" s="70"/>
      <x:c r="E183" s="70"/>
      <x:c r="F183" s="70"/>
      <x:c r="G183" s="70"/>
      <x:c r="H183" s="70"/>
      <x:c r="I183" s="70"/>
    </x:row>
    <x:row r="184" ht="15" hidden="0" customHeight="1">
      <x:c r="A184" s="70"/>
      <x:c r="B184" s="70"/>
      <x:c r="C184" s="70"/>
      <x:c r="D184" s="70"/>
      <x:c r="E184" s="70"/>
      <x:c r="F184" s="70"/>
      <x:c r="G184" s="70"/>
      <x:c r="H184" s="70"/>
      <x:c r="I184" s="70"/>
    </x:row>
    <x:row r="185" ht="15" hidden="0" customHeight="1">
      <x:c r="A185" s="70"/>
      <x:c r="B185" s="70"/>
      <x:c r="C185" s="70"/>
      <x:c r="D185" s="70"/>
      <x:c r="E185" s="70"/>
      <x:c r="F185" s="70"/>
      <x:c r="G185" s="70"/>
      <x:c r="H185" s="70"/>
      <x:c r="I185" s="70"/>
    </x:row>
    <x:row r="186" ht="15" hidden="0" customHeight="1">
      <x:c r="A186" s="70"/>
      <x:c r="B186" s="70"/>
      <x:c r="C186" s="70"/>
      <x:c r="D186" s="70"/>
      <x:c r="E186" s="70"/>
      <x:c r="F186" s="70"/>
      <x:c r="G186" s="70"/>
      <x:c r="H186" s="70"/>
      <x:c r="I186" s="70"/>
    </x:row>
    <x:row r="187" ht="15" hidden="0" customHeight="1">
      <x:c r="A187" s="70"/>
      <x:c r="B187" s="70"/>
      <x:c r="C187" s="70"/>
      <x:c r="D187" s="70"/>
      <x:c r="E187" s="70"/>
      <x:c r="F187" s="70"/>
      <x:c r="G187" s="70"/>
      <x:c r="H187" s="70"/>
      <x:c r="I187" s="70"/>
    </x:row>
    <x:row r="188" ht="15" hidden="0" customHeight="1">
      <x:c r="A188" s="70"/>
      <x:c r="B188" s="70"/>
      <x:c r="C188" s="70"/>
      <x:c r="D188" s="70"/>
      <x:c r="E188" s="70"/>
      <x:c r="F188" s="70"/>
      <x:c r="G188" s="70"/>
      <x:c r="H188" s="70"/>
      <x:c r="I188" s="70"/>
    </x:row>
    <x:row r="189" ht="15" hidden="0" customHeight="1">
      <x:c r="A189" s="70"/>
      <x:c r="B189" s="70"/>
      <x:c r="C189" s="70"/>
      <x:c r="D189" s="70"/>
      <x:c r="E189" s="70"/>
      <x:c r="F189" s="70"/>
      <x:c r="G189" s="70"/>
      <x:c r="H189" s="70"/>
      <x:c r="I189" s="70"/>
    </x:row>
    <x:row r="190" ht="15" hidden="0" customHeight="1">
      <x:c r="A190" s="70"/>
      <x:c r="B190" s="70"/>
      <x:c r="C190" s="70"/>
      <x:c r="D190" s="70"/>
      <x:c r="E190" s="70"/>
      <x:c r="F190" s="70"/>
      <x:c r="G190" s="70"/>
      <x:c r="H190" s="70"/>
      <x:c r="I190" s="70"/>
    </x:row>
    <x:row r="191" ht="15" hidden="0" customHeight="1">
      <x:c r="A191" s="70"/>
      <x:c r="B191" s="70"/>
      <x:c r="C191" s="70"/>
      <x:c r="D191" s="70"/>
      <x:c r="E191" s="70"/>
      <x:c r="F191" s="70"/>
      <x:c r="G191" s="70"/>
      <x:c r="H191" s="70"/>
      <x:c r="I191" s="70"/>
    </x:row>
    <x:row r="192" ht="15" hidden="0" customHeight="1">
      <x:c r="A192" s="70"/>
      <x:c r="B192" s="70"/>
      <x:c r="C192" s="70"/>
      <x:c r="D192" s="70"/>
      <x:c r="E192" s="70"/>
      <x:c r="F192" s="70"/>
      <x:c r="G192" s="70"/>
      <x:c r="H192" s="70"/>
      <x:c r="I192" s="70"/>
    </x:row>
    <x:row r="193" ht="15" hidden="0" customHeight="1">
      <x:c r="A193" s="70"/>
      <x:c r="B193" s="70"/>
      <x:c r="C193" s="70"/>
      <x:c r="D193" s="70"/>
      <x:c r="E193" s="70"/>
      <x:c r="F193" s="70"/>
      <x:c r="G193" s="70"/>
      <x:c r="H193" s="70"/>
      <x:c r="I193" s="70"/>
    </x:row>
    <x:row r="194" ht="15" hidden="0" customHeight="1">
      <x:c r="A194" s="70"/>
      <x:c r="B194" s="70"/>
      <x:c r="C194" s="70"/>
      <x:c r="D194" s="70"/>
      <x:c r="E194" s="70"/>
      <x:c r="F194" s="70"/>
      <x:c r="G194" s="70"/>
      <x:c r="H194" s="70"/>
      <x:c r="I194" s="70"/>
    </x:row>
    <x:row r="195" ht="15" hidden="0" customHeight="1">
      <x:c r="A195" s="70"/>
      <x:c r="B195" s="70"/>
      <x:c r="C195" s="70"/>
      <x:c r="D195" s="70"/>
      <x:c r="E195" s="70"/>
      <x:c r="F195" s="70"/>
      <x:c r="G195" s="70"/>
      <x:c r="H195" s="70"/>
      <x:c r="I195" s="70"/>
    </x:row>
    <x:row r="196" ht="15" hidden="0" customHeight="1">
      <x:c r="A196" s="70"/>
      <x:c r="B196" s="70"/>
      <x:c r="C196" s="70"/>
      <x:c r="D196" s="70"/>
      <x:c r="E196" s="70"/>
      <x:c r="F196" s="70"/>
      <x:c r="G196" s="70"/>
      <x:c r="H196" s="70"/>
      <x:c r="I196" s="70"/>
    </x:row>
    <x:row r="197" ht="15" hidden="0" customHeight="1">
      <x:c r="A197" s="70"/>
      <x:c r="B197" s="70"/>
      <x:c r="C197" s="70"/>
      <x:c r="D197" s="70"/>
      <x:c r="E197" s="70"/>
      <x:c r="F197" s="70"/>
      <x:c r="G197" s="70"/>
      <x:c r="H197" s="70"/>
      <x:c r="I197" s="70"/>
    </x:row>
    <x:row r="198" ht="15" hidden="0" customHeight="1">
      <x:c r="A198" s="70"/>
      <x:c r="B198" s="70"/>
      <x:c r="C198" s="70"/>
      <x:c r="D198" s="70"/>
      <x:c r="E198" s="70"/>
      <x:c r="F198" s="70"/>
      <x:c r="G198" s="70"/>
      <x:c r="H198" s="70"/>
      <x:c r="I198" s="70"/>
    </x:row>
    <x:row r="199" ht="15" hidden="0" customHeight="1">
      <x:c r="A199" s="70"/>
      <x:c r="B199" s="70"/>
      <x:c r="C199" s="70"/>
      <x:c r="D199" s="70"/>
      <x:c r="E199" s="70"/>
      <x:c r="F199" s="70"/>
      <x:c r="G199" s="70"/>
      <x:c r="H199" s="70"/>
      <x:c r="I199" s="70"/>
    </x:row>
    <x:row r="200" ht="15" hidden="0" customHeight="1">
      <x:c r="A200" s="70"/>
      <x:c r="B200" s="70"/>
      <x:c r="C200" s="70"/>
      <x:c r="D200" s="70"/>
      <x:c r="E200" s="70"/>
      <x:c r="F200" s="70"/>
      <x:c r="G200" s="70"/>
      <x:c r="H200" s="70"/>
      <x:c r="I200" s="70"/>
    </x:row>
    <x:row r="201" ht="15" hidden="0" customHeight="1">
      <x:c r="A201" s="70"/>
      <x:c r="B201" s="70"/>
      <x:c r="C201" s="70"/>
      <x:c r="D201" s="70"/>
      <x:c r="E201" s="70"/>
      <x:c r="F201" s="70"/>
      <x:c r="G201" s="70"/>
      <x:c r="H201" s="70"/>
      <x:c r="I201" s="70"/>
    </x:row>
    <x:row r="202" ht="15" hidden="0" customHeight="1">
      <x:c r="A202" s="70"/>
      <x:c r="B202" s="70"/>
      <x:c r="C202" s="70"/>
      <x:c r="D202" s="70"/>
      <x:c r="E202" s="70"/>
      <x:c r="F202" s="70"/>
      <x:c r="G202" s="70"/>
      <x:c r="H202" s="70"/>
      <x:c r="I202" s="70"/>
    </x:row>
    <x:row r="203" ht="15" hidden="0" customHeight="1">
      <x:c r="A203" s="70"/>
      <x:c r="B203" s="70"/>
      <x:c r="C203" s="70"/>
      <x:c r="D203" s="70"/>
      <x:c r="E203" s="70"/>
      <x:c r="F203" s="70"/>
      <x:c r="G203" s="70"/>
      <x:c r="H203" s="70"/>
      <x:c r="I203" s="70"/>
    </x:row>
    <x:row r="204" ht="15" hidden="0" customHeight="1">
      <x:c r="A204" s="70"/>
      <x:c r="B204" s="70"/>
      <x:c r="C204" s="70"/>
      <x:c r="D204" s="70"/>
      <x:c r="E204" s="70"/>
      <x:c r="F204" s="70"/>
      <x:c r="G204" s="70"/>
      <x:c r="H204" s="70"/>
      <x:c r="I204" s="70"/>
    </x:row>
    <x:row r="205" ht="15" hidden="0" customHeight="1">
      <x:c r="A205" s="70"/>
      <x:c r="B205" s="70"/>
      <x:c r="C205" s="70"/>
      <x:c r="D205" s="70"/>
      <x:c r="E205" s="70"/>
      <x:c r="F205" s="70"/>
      <x:c r="G205" s="70"/>
      <x:c r="H205" s="70"/>
      <x:c r="I205" s="70"/>
    </x:row>
    <x:row r="206" ht="15" hidden="0" customHeight="1">
      <x:c r="A206" s="70"/>
      <x:c r="B206" s="70"/>
      <x:c r="C206" s="70"/>
      <x:c r="D206" s="70"/>
      <x:c r="E206" s="70"/>
      <x:c r="F206" s="70"/>
      <x:c r="G206" s="70"/>
      <x:c r="H206" s="70"/>
      <x:c r="I206" s="70"/>
    </x:row>
    <x:row r="207" ht="15" hidden="0" customHeight="1">
      <x:c r="A207" s="70"/>
      <x:c r="B207" s="70"/>
      <x:c r="C207" s="70"/>
      <x:c r="D207" s="70"/>
      <x:c r="E207" s="70"/>
      <x:c r="F207" s="70"/>
      <x:c r="G207" s="70"/>
      <x:c r="H207" s="70"/>
      <x:c r="I207" s="70"/>
    </x:row>
    <x:row r="208" ht="15" hidden="0" customHeight="1">
      <x:c r="A208" s="70"/>
      <x:c r="B208" s="70"/>
      <x:c r="C208" s="70"/>
      <x:c r="D208" s="70"/>
      <x:c r="E208" s="70"/>
      <x:c r="F208" s="70"/>
      <x:c r="G208" s="70"/>
      <x:c r="H208" s="70"/>
      <x:c r="I208" s="70"/>
    </x:row>
    <x:row r="209" ht="15" hidden="0" customHeight="1">
      <x:c r="A209" s="70"/>
      <x:c r="B209" s="70"/>
      <x:c r="C209" s="70"/>
      <x:c r="D209" s="70"/>
      <x:c r="E209" s="70"/>
      <x:c r="F209" s="70"/>
      <x:c r="G209" s="70"/>
      <x:c r="H209" s="70"/>
      <x:c r="I209" s="70"/>
    </x:row>
    <x:row r="210" ht="15" hidden="0" customHeight="1">
      <x:c r="A210" s="70"/>
      <x:c r="B210" s="70"/>
      <x:c r="C210" s="70"/>
      <x:c r="D210" s="70"/>
      <x:c r="E210" s="70"/>
      <x:c r="F210" s="70"/>
      <x:c r="G210" s="70"/>
      <x:c r="H210" s="70"/>
      <x:c r="I210" s="70"/>
    </x:row>
    <x:row r="211" ht="15" hidden="0" customHeight="1">
      <x:c r="A211" s="70"/>
      <x:c r="B211" s="70"/>
      <x:c r="C211" s="70"/>
      <x:c r="D211" s="70"/>
      <x:c r="E211" s="70"/>
      <x:c r="F211" s="70"/>
      <x:c r="G211" s="70"/>
      <x:c r="H211" s="70"/>
      <x:c r="I211" s="70"/>
    </x:row>
    <x:row r="212" ht="15" hidden="0" customHeight="1">
      <x:c r="A212" s="70"/>
      <x:c r="B212" s="70"/>
      <x:c r="C212" s="70"/>
      <x:c r="D212" s="70"/>
      <x:c r="E212" s="70"/>
      <x:c r="F212" s="70"/>
      <x:c r="G212" s="70"/>
      <x:c r="H212" s="70"/>
      <x:c r="I212" s="70"/>
    </x:row>
    <x:row r="213" ht="15" hidden="0" customHeight="1">
      <x:c r="A213" s="70"/>
      <x:c r="B213" s="70"/>
      <x:c r="C213" s="70"/>
      <x:c r="D213" s="70"/>
      <x:c r="E213" s="70"/>
      <x:c r="F213" s="70"/>
      <x:c r="G213" s="70"/>
      <x:c r="H213" s="70"/>
      <x:c r="I213" s="70"/>
    </x:row>
    <x:row r="214" ht="15" hidden="0" customHeight="1">
      <x:c r="A214" s="70"/>
      <x:c r="B214" s="70"/>
      <x:c r="C214" s="70"/>
      <x:c r="D214" s="70"/>
      <x:c r="E214" s="70"/>
      <x:c r="F214" s="70"/>
      <x:c r="G214" s="70"/>
      <x:c r="H214" s="70"/>
      <x:c r="I214" s="70"/>
    </x:row>
    <x:row r="215" ht="15" hidden="0" customHeight="1">
      <x:c r="A215" s="70"/>
      <x:c r="B215" s="70"/>
      <x:c r="C215" s="70"/>
      <x:c r="D215" s="70"/>
      <x:c r="E215" s="70"/>
      <x:c r="F215" s="70"/>
      <x:c r="G215" s="70"/>
      <x:c r="H215" s="70"/>
      <x:c r="I215" s="70"/>
    </x:row>
    <x:row r="216" ht="15" hidden="0" customHeight="1">
      <x:c r="A216" s="70"/>
      <x:c r="B216" s="70"/>
      <x:c r="C216" s="70"/>
      <x:c r="D216" s="70"/>
      <x:c r="E216" s="70"/>
      <x:c r="F216" s="70"/>
      <x:c r="G216" s="70"/>
      <x:c r="H216" s="70"/>
      <x:c r="I216" s="70"/>
    </x:row>
    <x:row r="217" ht="15" hidden="0" customHeight="1">
      <x:c r="A217" s="70"/>
      <x:c r="B217" s="70"/>
      <x:c r="C217" s="70"/>
      <x:c r="D217" s="70"/>
      <x:c r="E217" s="70"/>
      <x:c r="F217" s="70"/>
      <x:c r="G217" s="70"/>
      <x:c r="H217" s="70"/>
      <x:c r="I217" s="70"/>
    </x:row>
    <x:row r="218" ht="15" hidden="0" customHeight="1">
      <x:c r="A218" s="70"/>
      <x:c r="B218" s="70"/>
      <x:c r="C218" s="70"/>
      <x:c r="D218" s="70"/>
      <x:c r="E218" s="70"/>
      <x:c r="F218" s="70"/>
      <x:c r="G218" s="70"/>
      <x:c r="H218" s="70"/>
      <x:c r="I218" s="70"/>
    </x:row>
    <x:row r="219" ht="15" hidden="0" customHeight="1">
      <x:c r="A219" s="70"/>
      <x:c r="B219" s="70"/>
      <x:c r="C219" s="70"/>
      <x:c r="D219" s="70"/>
      <x:c r="E219" s="70"/>
      <x:c r="F219" s="70"/>
      <x:c r="G219" s="70"/>
      <x:c r="H219" s="70"/>
      <x:c r="I219" s="70"/>
    </x:row>
    <x:row r="220" ht="15" hidden="0" customHeight="1">
      <x:c r="A220" s="70"/>
      <x:c r="B220" s="70"/>
      <x:c r="C220" s="70"/>
      <x:c r="D220" s="70"/>
      <x:c r="E220" s="70"/>
      <x:c r="F220" s="70"/>
      <x:c r="G220" s="70"/>
      <x:c r="H220" s="70"/>
      <x:c r="I220" s="70"/>
    </x:row>
    <x:row r="221" ht="15" hidden="0" customHeight="1">
      <x:c r="A221" s="70"/>
      <x:c r="B221" s="70"/>
      <x:c r="C221" s="70"/>
      <x:c r="D221" s="70"/>
      <x:c r="E221" s="70"/>
      <x:c r="F221" s="70"/>
      <x:c r="G221" s="70"/>
      <x:c r="H221" s="70"/>
      <x:c r="I221" s="70"/>
    </x:row>
    <x:row r="222" ht="15" hidden="0" customHeight="1">
      <x:c r="A222" s="70"/>
      <x:c r="B222" s="70"/>
      <x:c r="C222" s="70"/>
      <x:c r="D222" s="70"/>
      <x:c r="E222" s="70"/>
      <x:c r="F222" s="70"/>
      <x:c r="G222" s="70"/>
      <x:c r="H222" s="70"/>
      <x:c r="I222" s="70"/>
    </x:row>
    <x:row r="223" ht="15" hidden="0" customHeight="1">
      <x:c r="A223" s="70"/>
      <x:c r="B223" s="70"/>
      <x:c r="C223" s="70"/>
      <x:c r="D223" s="70"/>
      <x:c r="E223" s="70"/>
      <x:c r="F223" s="70"/>
      <x:c r="G223" s="70"/>
      <x:c r="H223" s="70"/>
      <x:c r="I223" s="70"/>
    </x:row>
    <x:row r="224" ht="15" hidden="0" customHeight="1">
      <x:c r="A224" s="70"/>
      <x:c r="B224" s="70"/>
      <x:c r="C224" s="70"/>
      <x:c r="D224" s="70"/>
      <x:c r="E224" s="70"/>
      <x:c r="F224" s="70"/>
      <x:c r="G224" s="70"/>
      <x:c r="H224" s="70"/>
      <x:c r="I224" s="70"/>
    </x:row>
    <x:row r="225" ht="15" hidden="0" customHeight="1">
      <x:c r="A225" s="70"/>
      <x:c r="B225" s="70"/>
      <x:c r="C225" s="70"/>
      <x:c r="D225" s="70"/>
      <x:c r="E225" s="70"/>
      <x:c r="F225" s="70"/>
      <x:c r="G225" s="70"/>
      <x:c r="H225" s="70"/>
      <x:c r="I225" s="70"/>
    </x:row>
    <x:row r="226" ht="15" hidden="0" customHeight="1">
      <x:c r="A226" s="70"/>
      <x:c r="B226" s="70"/>
      <x:c r="C226" s="70"/>
      <x:c r="D226" s="70"/>
      <x:c r="E226" s="70"/>
      <x:c r="F226" s="70"/>
      <x:c r="G226" s="70"/>
      <x:c r="H226" s="70"/>
      <x:c r="I226" s="70"/>
    </x:row>
    <x:row r="227" ht="15" hidden="0" customHeight="1">
      <x:c r="A227" s="70"/>
      <x:c r="B227" s="70"/>
      <x:c r="C227" s="70"/>
      <x:c r="D227" s="70"/>
      <x:c r="E227" s="70"/>
      <x:c r="F227" s="70"/>
      <x:c r="G227" s="70"/>
      <x:c r="H227" s="70"/>
      <x:c r="I227" s="70"/>
    </x:row>
    <x:row r="228" ht="15" hidden="0" customHeight="1">
      <x:c r="A228" s="70"/>
      <x:c r="B228" s="70"/>
      <x:c r="C228" s="70"/>
      <x:c r="D228" s="70"/>
      <x:c r="E228" s="70"/>
      <x:c r="F228" s="70"/>
      <x:c r="G228" s="70"/>
      <x:c r="H228" s="70"/>
      <x:c r="I228" s="70"/>
    </x:row>
    <x:row r="229" ht="15" hidden="0" customHeight="1">
      <x:c r="A229" s="70"/>
      <x:c r="B229" s="70"/>
      <x:c r="C229" s="70"/>
      <x:c r="D229" s="70"/>
      <x:c r="E229" s="70"/>
      <x:c r="F229" s="70"/>
      <x:c r="G229" s="70"/>
      <x:c r="H229" s="70"/>
      <x:c r="I229" s="70"/>
    </x:row>
    <x:row r="230" ht="15" hidden="0" customHeight="1">
      <x:c r="A230" s="70"/>
      <x:c r="B230" s="70"/>
      <x:c r="C230" s="70"/>
      <x:c r="D230" s="70"/>
      <x:c r="E230" s="70"/>
      <x:c r="F230" s="70"/>
      <x:c r="G230" s="70"/>
      <x:c r="H230" s="70"/>
      <x:c r="I230" s="70"/>
    </x:row>
    <x:row r="231" ht="15" hidden="0" customHeight="1">
      <x:c r="A231" s="70"/>
      <x:c r="B231" s="70"/>
      <x:c r="C231" s="70"/>
      <x:c r="D231" s="70"/>
      <x:c r="E231" s="70"/>
      <x:c r="F231" s="70"/>
      <x:c r="G231" s="70"/>
      <x:c r="H231" s="70"/>
      <x:c r="I231" s="70"/>
    </x:row>
    <x:row r="232" ht="15" hidden="0" customHeight="1">
      <x:c r="A232" s="70"/>
      <x:c r="B232" s="70"/>
      <x:c r="C232" s="70"/>
      <x:c r="D232" s="70"/>
      <x:c r="E232" s="70"/>
      <x:c r="F232" s="70"/>
      <x:c r="G232" s="70"/>
      <x:c r="H232" s="70"/>
      <x:c r="I232" s="70"/>
    </x:row>
    <x:row r="233" ht="15" hidden="0" customHeight="1">
      <x:c r="A233" s="70"/>
      <x:c r="B233" s="70"/>
      <x:c r="C233" s="70"/>
      <x:c r="D233" s="70"/>
      <x:c r="E233" s="70"/>
      <x:c r="F233" s="70"/>
      <x:c r="G233" s="70"/>
      <x:c r="H233" s="70"/>
      <x:c r="I233" s="70"/>
    </x:row>
    <x:row r="234" ht="15" hidden="0" customHeight="1">
      <x:c r="A234" s="70"/>
      <x:c r="B234" s="70"/>
      <x:c r="C234" s="70"/>
      <x:c r="D234" s="70"/>
      <x:c r="E234" s="70"/>
      <x:c r="F234" s="70"/>
      <x:c r="G234" s="70"/>
      <x:c r="H234" s="70"/>
      <x:c r="I234" s="70"/>
    </x:row>
    <x:row r="235" ht="15" hidden="0" customHeight="1">
      <x:c r="A235" s="70"/>
      <x:c r="B235" s="70"/>
      <x:c r="C235" s="70"/>
      <x:c r="D235" s="70"/>
      <x:c r="E235" s="70"/>
      <x:c r="F235" s="70"/>
      <x:c r="G235" s="70"/>
      <x:c r="H235" s="70"/>
      <x:c r="I235" s="70"/>
    </x:row>
    <x:row r="236" ht="15" hidden="0" customHeight="1">
      <x:c r="A236" s="70"/>
      <x:c r="B236" s="70"/>
      <x:c r="C236" s="70"/>
      <x:c r="D236" s="70"/>
      <x:c r="E236" s="70"/>
      <x:c r="F236" s="70"/>
      <x:c r="G236" s="70"/>
      <x:c r="H236" s="70"/>
      <x:c r="I236" s="70"/>
    </x:row>
    <x:row r="237" ht="15" hidden="0" customHeight="1">
      <x:c r="A237" s="70"/>
      <x:c r="B237" s="70"/>
      <x:c r="C237" s="70"/>
      <x:c r="D237" s="70"/>
      <x:c r="E237" s="70"/>
      <x:c r="F237" s="70"/>
      <x:c r="G237" s="70"/>
      <x:c r="H237" s="70"/>
      <x:c r="I237" s="70"/>
    </x:row>
    <x:row r="238" ht="15" hidden="0" customHeight="1">
      <x:c r="A238" s="70"/>
      <x:c r="B238" s="70"/>
      <x:c r="C238" s="70"/>
      <x:c r="D238" s="70"/>
      <x:c r="E238" s="70"/>
      <x:c r="F238" s="70"/>
      <x:c r="G238" s="70"/>
      <x:c r="H238" s="70"/>
      <x:c r="I238" s="70"/>
    </x:row>
    <x:row r="239" ht="15" hidden="0" customHeight="1">
      <x:c r="A239" s="70"/>
      <x:c r="B239" s="70"/>
      <x:c r="C239" s="70"/>
      <x:c r="D239" s="70"/>
      <x:c r="E239" s="70"/>
      <x:c r="F239" s="70"/>
      <x:c r="G239" s="70"/>
      <x:c r="H239" s="70"/>
      <x:c r="I239" s="70"/>
    </x:row>
    <x:row r="240" ht="15" hidden="0" customHeight="1">
      <x:c r="A240" s="70"/>
      <x:c r="B240" s="70"/>
      <x:c r="C240" s="70"/>
      <x:c r="D240" s="70"/>
      <x:c r="E240" s="70"/>
      <x:c r="F240" s="70"/>
      <x:c r="G240" s="70"/>
      <x:c r="H240" s="70"/>
      <x:c r="I240" s="70"/>
    </x:row>
    <x:row r="241" ht="15" hidden="0" customHeight="1">
      <x:c r="A241" s="70"/>
      <x:c r="B241" s="70"/>
      <x:c r="C241" s="70"/>
      <x:c r="D241" s="70"/>
      <x:c r="E241" s="70"/>
      <x:c r="F241" s="70"/>
      <x:c r="G241" s="70"/>
      <x:c r="H241" s="70"/>
      <x:c r="I241" s="70"/>
    </x:row>
    <x:row r="242" ht="15" hidden="0" customHeight="1">
      <x:c r="A242" s="70"/>
      <x:c r="B242" s="70"/>
      <x:c r="C242" s="70"/>
      <x:c r="D242" s="70"/>
      <x:c r="E242" s="70"/>
      <x:c r="F242" s="70"/>
      <x:c r="G242" s="70"/>
      <x:c r="H242" s="70"/>
      <x:c r="I242" s="70"/>
    </x:row>
    <x:row r="243" ht="15" hidden="0" customHeight="1">
      <x:c r="A243" s="70"/>
      <x:c r="B243" s="70"/>
      <x:c r="C243" s="70"/>
      <x:c r="D243" s="70"/>
      <x:c r="E243" s="70"/>
      <x:c r="F243" s="70"/>
      <x:c r="G243" s="70"/>
      <x:c r="H243" s="70"/>
      <x:c r="I243" s="70"/>
    </x:row>
    <x:row r="244" ht="15" hidden="0" customHeight="1">
      <x:c r="A244" s="70"/>
      <x:c r="B244" s="70"/>
      <x:c r="C244" s="70"/>
      <x:c r="D244" s="70"/>
      <x:c r="E244" s="70"/>
      <x:c r="F244" s="70"/>
      <x:c r="G244" s="70"/>
      <x:c r="H244" s="70"/>
      <x:c r="I244" s="70"/>
    </x:row>
    <x:row r="245" ht="15" hidden="0" customHeight="1">
      <x:c r="A245" s="70"/>
      <x:c r="B245" s="70"/>
      <x:c r="C245" s="70"/>
      <x:c r="D245" s="70"/>
      <x:c r="E245" s="70"/>
      <x:c r="F245" s="70"/>
      <x:c r="G245" s="70"/>
      <x:c r="H245" s="70"/>
      <x:c r="I245" s="70"/>
    </x:row>
    <x:row r="246" ht="15" hidden="0" customHeight="1">
      <x:c r="A246" s="70"/>
      <x:c r="B246" s="70"/>
      <x:c r="C246" s="70"/>
      <x:c r="D246" s="70"/>
      <x:c r="E246" s="70"/>
      <x:c r="F246" s="70"/>
      <x:c r="G246" s="70"/>
      <x:c r="H246" s="70"/>
      <x:c r="I246" s="70"/>
    </x:row>
    <x:row r="247" ht="15" hidden="0" customHeight="1">
      <x:c r="A247" s="70"/>
      <x:c r="B247" s="70"/>
      <x:c r="C247" s="70"/>
      <x:c r="D247" s="70"/>
      <x:c r="E247" s="70"/>
      <x:c r="F247" s="70"/>
      <x:c r="G247" s="70"/>
      <x:c r="H247" s="70"/>
      <x:c r="I247" s="70"/>
    </x:row>
    <x:row r="248" ht="15" hidden="0" customHeight="1">
      <x:c r="A248" s="70"/>
      <x:c r="B248" s="70"/>
      <x:c r="C248" s="70"/>
      <x:c r="D248" s="70"/>
      <x:c r="E248" s="70"/>
      <x:c r="F248" s="70"/>
      <x:c r="G248" s="70"/>
      <x:c r="H248" s="70"/>
      <x:c r="I248" s="70"/>
    </x:row>
    <x:row r="249" ht="15" hidden="0" customHeight="1">
      <x:c r="A249" s="70"/>
      <x:c r="B249" s="70"/>
      <x:c r="C249" s="70"/>
      <x:c r="D249" s="70"/>
      <x:c r="E249" s="70"/>
      <x:c r="F249" s="70"/>
      <x:c r="G249" s="70"/>
      <x:c r="H249" s="70"/>
      <x:c r="I249" s="70"/>
    </x:row>
    <x:row r="250" ht="15" hidden="0" customHeight="1">
      <x:c r="A250" s="70"/>
      <x:c r="B250" s="70"/>
      <x:c r="C250" s="70"/>
      <x:c r="D250" s="70"/>
      <x:c r="E250" s="70"/>
      <x:c r="F250" s="70"/>
      <x:c r="G250" s="70"/>
      <x:c r="H250" s="70"/>
      <x:c r="I250" s="70"/>
    </x:row>
    <x:row r="251" ht="15" hidden="0" customHeight="1">
      <x:c r="A251" s="70"/>
      <x:c r="B251" s="70"/>
      <x:c r="C251" s="70"/>
      <x:c r="D251" s="70"/>
      <x:c r="E251" s="70"/>
      <x:c r="F251" s="70"/>
      <x:c r="G251" s="70"/>
      <x:c r="H251" s="70"/>
      <x:c r="I251" s="70"/>
    </x:row>
    <x:row r="252" ht="15" hidden="0" customHeight="1">
      <x:c r="A252" s="70"/>
      <x:c r="B252" s="70"/>
      <x:c r="C252" s="70"/>
      <x:c r="D252" s="70"/>
      <x:c r="E252" s="70"/>
      <x:c r="F252" s="70"/>
      <x:c r="G252" s="70"/>
      <x:c r="H252" s="70"/>
      <x:c r="I252" s="70"/>
    </x:row>
    <x:row r="253" ht="15" hidden="0" customHeight="1">
      <x:c r="A253" s="70"/>
      <x:c r="B253" s="70"/>
      <x:c r="C253" s="70"/>
      <x:c r="D253" s="70"/>
      <x:c r="E253" s="70"/>
      <x:c r="F253" s="70"/>
      <x:c r="G253" s="70"/>
      <x:c r="H253" s="70"/>
      <x:c r="I253" s="70"/>
    </x:row>
    <x:row r="254" ht="15" hidden="0" customHeight="1">
      <x:c r="A254" s="70"/>
      <x:c r="B254" s="70"/>
      <x:c r="C254" s="70"/>
      <x:c r="D254" s="70"/>
      <x:c r="E254" s="70"/>
      <x:c r="F254" s="70"/>
      <x:c r="G254" s="70"/>
      <x:c r="H254" s="70"/>
      <x:c r="I254" s="70"/>
    </x:row>
    <x:row r="255" ht="15" hidden="0" customHeight="1">
      <x:c r="A255" s="70"/>
      <x:c r="B255" s="70"/>
      <x:c r="C255" s="70"/>
      <x:c r="D255" s="70"/>
      <x:c r="E255" s="70"/>
      <x:c r="F255" s="70"/>
      <x:c r="G255" s="70"/>
      <x:c r="H255" s="70"/>
      <x:c r="I255" s="70"/>
    </x:row>
    <x:row r="256" ht="15" hidden="0" customHeight="1">
      <x:c r="A256" s="70"/>
      <x:c r="B256" s="70"/>
      <x:c r="C256" s="70"/>
      <x:c r="D256" s="70"/>
      <x:c r="E256" s="70"/>
      <x:c r="F256" s="70"/>
      <x:c r="G256" s="70"/>
      <x:c r="H256" s="70"/>
      <x:c r="I256" s="70"/>
    </x:row>
    <x:row r="257" ht="15" hidden="0" customHeight="1">
      <x:c r="A257" s="70"/>
      <x:c r="B257" s="70"/>
      <x:c r="C257" s="70"/>
      <x:c r="D257" s="70"/>
      <x:c r="E257" s="70"/>
      <x:c r="F257" s="70"/>
      <x:c r="G257" s="70"/>
      <x:c r="H257" s="70"/>
      <x:c r="I257" s="70"/>
    </x:row>
    <x:row r="258" ht="15" hidden="0" customHeight="1">
      <x:c r="A258" s="70"/>
      <x:c r="B258" s="70"/>
      <x:c r="C258" s="70"/>
      <x:c r="D258" s="70"/>
      <x:c r="E258" s="70"/>
      <x:c r="F258" s="70"/>
      <x:c r="G258" s="70"/>
      <x:c r="H258" s="70"/>
      <x:c r="I258" s="70"/>
    </x:row>
    <x:row r="259" ht="15" hidden="0" customHeight="1">
      <x:c r="A259" s="70"/>
      <x:c r="B259" s="70"/>
      <x:c r="C259" s="70"/>
      <x:c r="D259" s="70"/>
      <x:c r="E259" s="70"/>
      <x:c r="F259" s="70"/>
      <x:c r="G259" s="70"/>
      <x:c r="H259" s="70"/>
      <x:c r="I259" s="70"/>
    </x:row>
    <x:row r="260" ht="15" hidden="0" customHeight="1">
      <x:c r="A260" s="70"/>
      <x:c r="B260" s="70"/>
      <x:c r="C260" s="70"/>
      <x:c r="D260" s="70"/>
      <x:c r="E260" s="70"/>
      <x:c r="F260" s="70"/>
      <x:c r="G260" s="70"/>
      <x:c r="H260" s="70"/>
      <x:c r="I260" s="70"/>
    </x:row>
    <x:row r="261" ht="15" hidden="0" customHeight="1">
      <x:c r="A261" s="70"/>
      <x:c r="B261" s="70"/>
      <x:c r="C261" s="70"/>
      <x:c r="D261" s="70"/>
      <x:c r="E261" s="70"/>
      <x:c r="F261" s="70"/>
      <x:c r="G261" s="70"/>
      <x:c r="H261" s="70"/>
      <x:c r="I261" s="70"/>
    </x:row>
    <x:row r="262" ht="15" hidden="0" customHeight="1">
      <x:c r="A262" s="70"/>
      <x:c r="B262" s="70"/>
      <x:c r="C262" s="70"/>
      <x:c r="D262" s="70"/>
      <x:c r="E262" s="70"/>
      <x:c r="F262" s="70"/>
      <x:c r="G262" s="70"/>
      <x:c r="H262" s="70"/>
      <x:c r="I262" s="70"/>
    </x:row>
    <x:row r="263" ht="15" hidden="0" customHeight="1">
      <x:c r="A263" s="70"/>
      <x:c r="B263" s="70"/>
      <x:c r="C263" s="70"/>
      <x:c r="D263" s="70"/>
      <x:c r="E263" s="70"/>
      <x:c r="F263" s="70"/>
      <x:c r="G263" s="70"/>
      <x:c r="H263" s="70"/>
      <x:c r="I263" s="70"/>
    </x:row>
    <x:row r="264" ht="15" hidden="0" customHeight="1">
      <x:c r="A264" s="70"/>
      <x:c r="B264" s="70"/>
      <x:c r="C264" s="70"/>
      <x:c r="D264" s="70"/>
      <x:c r="E264" s="70"/>
      <x:c r="F264" s="70"/>
      <x:c r="G264" s="70"/>
      <x:c r="H264" s="70"/>
      <x:c r="I264" s="70"/>
    </x:row>
    <x:row r="265" ht="15" hidden="0" customHeight="1">
      <x:c r="A265" s="70"/>
      <x:c r="B265" s="70"/>
      <x:c r="C265" s="70"/>
      <x:c r="D265" s="70"/>
      <x:c r="E265" s="70"/>
      <x:c r="F265" s="70"/>
      <x:c r="G265" s="70"/>
      <x:c r="H265" s="70"/>
      <x:c r="I265" s="70"/>
    </x:row>
    <x:row r="266" ht="15" hidden="0" customHeight="1">
      <x:c r="A266" s="70"/>
      <x:c r="B266" s="70"/>
      <x:c r="C266" s="70"/>
      <x:c r="D266" s="70"/>
      <x:c r="E266" s="70"/>
      <x:c r="F266" s="70"/>
      <x:c r="G266" s="70"/>
      <x:c r="H266" s="70"/>
      <x:c r="I266" s="70"/>
    </x:row>
    <x:row r="267" ht="15" hidden="0" customHeight="1">
      <x:c r="A267" s="70"/>
      <x:c r="B267" s="70"/>
      <x:c r="C267" s="70"/>
      <x:c r="D267" s="70"/>
      <x:c r="E267" s="70"/>
      <x:c r="F267" s="70"/>
      <x:c r="G267" s="70"/>
      <x:c r="H267" s="70"/>
      <x:c r="I267" s="70"/>
    </x:row>
    <x:row r="268" ht="15" hidden="0" customHeight="1">
      <x:c r="A268" s="70"/>
      <x:c r="B268" s="70"/>
      <x:c r="C268" s="70"/>
      <x:c r="D268" s="70"/>
      <x:c r="E268" s="70"/>
      <x:c r="F268" s="70"/>
      <x:c r="G268" s="70"/>
      <x:c r="H268" s="70"/>
      <x:c r="I268" s="70"/>
    </x:row>
    <x:row r="269" ht="15" hidden="0" customHeight="1">
      <x:c r="A269" s="70"/>
      <x:c r="B269" s="70"/>
      <x:c r="C269" s="70"/>
      <x:c r="D269" s="70"/>
      <x:c r="E269" s="70"/>
      <x:c r="F269" s="70"/>
      <x:c r="G269" s="70"/>
      <x:c r="H269" s="70"/>
      <x:c r="I269" s="70"/>
    </x:row>
    <x:row r="270" ht="15" hidden="0" customHeight="1">
      <x:c r="A270" s="70"/>
      <x:c r="B270" s="70"/>
      <x:c r="C270" s="70"/>
      <x:c r="D270" s="70"/>
      <x:c r="E270" s="70"/>
      <x:c r="F270" s="70"/>
      <x:c r="G270" s="70"/>
      <x:c r="H270" s="70"/>
      <x:c r="I270" s="70"/>
    </x:row>
    <x:row r="271" ht="15" hidden="0" customHeight="1">
      <x:c r="A271" s="70"/>
      <x:c r="B271" s="70"/>
      <x:c r="C271" s="70"/>
      <x:c r="D271" s="70"/>
      <x:c r="E271" s="70"/>
      <x:c r="F271" s="70"/>
      <x:c r="G271" s="70"/>
      <x:c r="H271" s="70"/>
      <x:c r="I271" s="70"/>
    </x:row>
    <x:row r="272" ht="15" hidden="0" customHeight="1">
      <x:c r="A272" s="70"/>
      <x:c r="B272" s="70"/>
      <x:c r="C272" s="70"/>
      <x:c r="D272" s="70"/>
      <x:c r="E272" s="70"/>
      <x:c r="F272" s="70"/>
      <x:c r="G272" s="70"/>
      <x:c r="H272" s="70"/>
      <x:c r="I272" s="70"/>
    </x:row>
    <x:row r="273" ht="15" hidden="0" customHeight="1">
      <x:c r="A273" s="70"/>
      <x:c r="B273" s="70"/>
      <x:c r="C273" s="70"/>
      <x:c r="D273" s="70"/>
      <x:c r="E273" s="70"/>
      <x:c r="F273" s="70"/>
      <x:c r="G273" s="70"/>
      <x:c r="H273" s="70"/>
      <x:c r="I273" s="70"/>
    </x:row>
    <x:row r="274" ht="15" hidden="0" customHeight="1">
      <x:c r="A274" s="70"/>
      <x:c r="B274" s="70"/>
      <x:c r="C274" s="70"/>
      <x:c r="D274" s="70"/>
      <x:c r="E274" s="70"/>
      <x:c r="F274" s="70"/>
      <x:c r="G274" s="70"/>
      <x:c r="H274" s="70"/>
      <x:c r="I274" s="70"/>
    </x:row>
    <x:row r="275" ht="15" hidden="0" customHeight="1">
      <x:c r="A275" s="70"/>
      <x:c r="B275" s="70"/>
      <x:c r="C275" s="70"/>
      <x:c r="D275" s="70"/>
      <x:c r="E275" s="70"/>
      <x:c r="F275" s="70"/>
      <x:c r="G275" s="70"/>
      <x:c r="H275" s="70"/>
      <x:c r="I275" s="70"/>
    </x:row>
    <x:row r="276" ht="15" hidden="0" customHeight="1">
      <x:c r="A276" s="70"/>
      <x:c r="B276" s="70"/>
      <x:c r="C276" s="70"/>
      <x:c r="D276" s="70"/>
      <x:c r="E276" s="70"/>
      <x:c r="F276" s="70"/>
      <x:c r="G276" s="70"/>
      <x:c r="H276" s="70"/>
      <x:c r="I276" s="70"/>
    </x:row>
    <x:row r="277" ht="15" hidden="0" customHeight="1">
      <x:c r="A277" s="70"/>
      <x:c r="B277" s="70"/>
      <x:c r="C277" s="70"/>
      <x:c r="D277" s="70"/>
      <x:c r="E277" s="70"/>
      <x:c r="F277" s="70"/>
      <x:c r="G277" s="70"/>
      <x:c r="H277" s="70"/>
      <x:c r="I277" s="70"/>
    </x:row>
    <x:row r="278" ht="15" hidden="0" customHeight="1">
      <x:c r="A278" s="70"/>
      <x:c r="B278" s="70"/>
      <x:c r="C278" s="70"/>
      <x:c r="D278" s="70"/>
      <x:c r="E278" s="70"/>
      <x:c r="F278" s="70"/>
      <x:c r="G278" s="70"/>
      <x:c r="H278" s="70"/>
      <x:c r="I278" s="70"/>
    </x:row>
    <x:row r="279" ht="15" hidden="0" customHeight="1">
      <x:c r="A279" s="70"/>
      <x:c r="B279" s="70"/>
      <x:c r="C279" s="70"/>
      <x:c r="D279" s="70"/>
      <x:c r="E279" s="70"/>
      <x:c r="F279" s="70"/>
      <x:c r="G279" s="70"/>
      <x:c r="H279" s="70"/>
      <x:c r="I279" s="70"/>
    </x:row>
    <x:row r="280" ht="15" hidden="0" customHeight="1">
      <x:c r="A280" s="70"/>
      <x:c r="B280" s="70"/>
      <x:c r="C280" s="70"/>
      <x:c r="D280" s="70"/>
      <x:c r="E280" s="70"/>
      <x:c r="F280" s="70"/>
      <x:c r="G280" s="70"/>
      <x:c r="H280" s="70"/>
      <x:c r="I280" s="70"/>
    </x:row>
    <x:row r="281" ht="15" hidden="0" customHeight="1">
      <x:c r="A281" s="70"/>
      <x:c r="B281" s="70"/>
      <x:c r="C281" s="70"/>
      <x:c r="D281" s="70"/>
      <x:c r="E281" s="70"/>
      <x:c r="F281" s="70"/>
      <x:c r="G281" s="70"/>
      <x:c r="H281" s="70"/>
      <x:c r="I281" s="70"/>
    </x:row>
    <x:row r="282" ht="15" hidden="0" customHeight="1">
      <x:c r="A282" s="70"/>
      <x:c r="B282" s="70"/>
      <x:c r="C282" s="70"/>
      <x:c r="D282" s="70"/>
      <x:c r="E282" s="70"/>
      <x:c r="F282" s="70"/>
      <x:c r="G282" s="70"/>
      <x:c r="H282" s="70"/>
      <x:c r="I282" s="70"/>
    </x:row>
    <x:row r="283" ht="15" hidden="0" customHeight="1">
      <x:c r="A283" s="70"/>
      <x:c r="B283" s="70"/>
      <x:c r="C283" s="70"/>
      <x:c r="D283" s="70"/>
      <x:c r="E283" s="70"/>
      <x:c r="F283" s="70"/>
      <x:c r="G283" s="70"/>
      <x:c r="H283" s="70"/>
      <x:c r="I283" s="70"/>
    </x:row>
    <x:row r="284" ht="15" hidden="0" customHeight="1">
      <x:c r="A284" s="70"/>
      <x:c r="B284" s="70"/>
      <x:c r="C284" s="70"/>
      <x:c r="D284" s="70"/>
      <x:c r="E284" s="70"/>
      <x:c r="F284" s="70"/>
      <x:c r="G284" s="70"/>
      <x:c r="H284" s="70"/>
      <x:c r="I284" s="70"/>
    </x:row>
    <x:row r="285" ht="15" hidden="0" customHeight="1">
      <x:c r="A285" s="70"/>
      <x:c r="B285" s="70"/>
      <x:c r="C285" s="70"/>
      <x:c r="D285" s="70"/>
      <x:c r="E285" s="70"/>
      <x:c r="F285" s="70"/>
      <x:c r="G285" s="70"/>
      <x:c r="H285" s="70"/>
      <x:c r="I285" s="70"/>
    </x:row>
    <x:row r="286" ht="15" hidden="0" customHeight="1">
      <x:c r="A286" s="70"/>
      <x:c r="B286" s="70"/>
      <x:c r="C286" s="70"/>
      <x:c r="D286" s="70"/>
      <x:c r="E286" s="70"/>
      <x:c r="F286" s="70"/>
      <x:c r="G286" s="70"/>
      <x:c r="H286" s="70"/>
      <x:c r="I286" s="70"/>
    </x:row>
    <x:row r="287" ht="15" hidden="0" customHeight="1">
      <x:c r="A287" s="70"/>
      <x:c r="B287" s="70"/>
      <x:c r="C287" s="70"/>
      <x:c r="D287" s="70"/>
      <x:c r="E287" s="70"/>
      <x:c r="F287" s="70"/>
      <x:c r="G287" s="70"/>
      <x:c r="H287" s="70"/>
      <x:c r="I287" s="70"/>
    </x:row>
    <x:row r="288" ht="15" hidden="0" customHeight="1">
      <x:c r="A288" s="70"/>
      <x:c r="B288" s="70"/>
      <x:c r="C288" s="70"/>
      <x:c r="D288" s="70"/>
      <x:c r="E288" s="70"/>
      <x:c r="F288" s="70"/>
      <x:c r="G288" s="70"/>
      <x:c r="H288" s="70"/>
      <x:c r="I288" s="70"/>
    </x:row>
    <x:row r="289" ht="15" hidden="0" customHeight="1">
      <x:c r="A289" s="70"/>
      <x:c r="B289" s="70"/>
      <x:c r="C289" s="70"/>
      <x:c r="D289" s="70"/>
      <x:c r="E289" s="70"/>
      <x:c r="F289" s="70"/>
      <x:c r="G289" s="70"/>
      <x:c r="H289" s="70"/>
      <x:c r="I289" s="70"/>
    </x:row>
    <x:row r="290" ht="15" hidden="0" customHeight="1">
      <x:c r="A290" s="70"/>
      <x:c r="B290" s="70"/>
      <x:c r="C290" s="70"/>
      <x:c r="D290" s="70"/>
      <x:c r="E290" s="70"/>
      <x:c r="F290" s="70"/>
      <x:c r="G290" s="70"/>
      <x:c r="H290" s="70"/>
      <x:c r="I290" s="70"/>
    </x:row>
    <x:row r="291" ht="15" hidden="0" customHeight="1">
      <x:c r="A291" s="70"/>
      <x:c r="B291" s="70"/>
      <x:c r="C291" s="70"/>
      <x:c r="D291" s="70"/>
      <x:c r="E291" s="70"/>
      <x:c r="F291" s="70"/>
      <x:c r="G291" s="70"/>
      <x:c r="H291" s="70"/>
      <x:c r="I291" s="70"/>
    </x:row>
    <x:row r="292" ht="15" hidden="0" customHeight="1">
      <x:c r="A292" s="70"/>
      <x:c r="B292" s="70"/>
      <x:c r="C292" s="70"/>
      <x:c r="D292" s="70"/>
      <x:c r="E292" s="70"/>
      <x:c r="F292" s="70"/>
      <x:c r="G292" s="70"/>
      <x:c r="H292" s="70"/>
      <x:c r="I292" s="70"/>
    </x:row>
    <x:row r="293" ht="15" hidden="0" customHeight="1">
      <x:c r="A293" s="70"/>
      <x:c r="B293" s="70"/>
      <x:c r="C293" s="70"/>
      <x:c r="D293" s="70"/>
      <x:c r="E293" s="70"/>
      <x:c r="F293" s="70"/>
      <x:c r="G293" s="70"/>
      <x:c r="H293" s="70"/>
      <x:c r="I293" s="70"/>
    </x:row>
    <x:row r="294" ht="15" hidden="0" customHeight="1">
      <x:c r="A294" s="70"/>
      <x:c r="B294" s="70"/>
      <x:c r="C294" s="70"/>
      <x:c r="D294" s="70"/>
      <x:c r="E294" s="70"/>
      <x:c r="F294" s="70"/>
      <x:c r="G294" s="70"/>
      <x:c r="H294" s="70"/>
      <x:c r="I294" s="70"/>
    </x:row>
    <x:row r="295" ht="15" hidden="0" customHeight="1">
      <x:c r="A295" s="70"/>
      <x:c r="B295" s="70"/>
      <x:c r="C295" s="70"/>
      <x:c r="D295" s="70"/>
      <x:c r="E295" s="70"/>
      <x:c r="F295" s="70"/>
      <x:c r="G295" s="70"/>
      <x:c r="H295" s="70"/>
      <x:c r="I295" s="70"/>
    </x:row>
    <x:row r="296" ht="15" hidden="0" customHeight="1">
      <x:c r="A296" s="70"/>
      <x:c r="B296" s="70"/>
      <x:c r="C296" s="70"/>
      <x:c r="D296" s="70"/>
      <x:c r="E296" s="70"/>
      <x:c r="F296" s="70"/>
      <x:c r="G296" s="70"/>
      <x:c r="H296" s="70"/>
      <x:c r="I296" s="70"/>
    </x:row>
    <x:row r="297" ht="15" hidden="0" customHeight="1">
      <x:c r="A297" s="70"/>
      <x:c r="B297" s="70"/>
      <x:c r="C297" s="70"/>
      <x:c r="D297" s="70"/>
      <x:c r="E297" s="70"/>
      <x:c r="F297" s="70"/>
      <x:c r="G297" s="70"/>
      <x:c r="H297" s="70"/>
      <x:c r="I297" s="70"/>
    </x:row>
    <x:row r="298" ht="15" hidden="0" customHeight="1">
      <x:c r="A298" s="70"/>
      <x:c r="B298" s="70"/>
      <x:c r="C298" s="70"/>
      <x:c r="D298" s="70"/>
      <x:c r="E298" s="70"/>
      <x:c r="F298" s="70"/>
      <x:c r="G298" s="70"/>
      <x:c r="H298" s="70"/>
      <x:c r="I298" s="70"/>
    </x:row>
    <x:row r="299" ht="15" hidden="0" customHeight="1">
      <x:c r="A299" s="70"/>
      <x:c r="B299" s="70"/>
      <x:c r="C299" s="70"/>
      <x:c r="D299" s="70"/>
      <x:c r="E299" s="70"/>
      <x:c r="F299" s="70"/>
      <x:c r="G299" s="70"/>
      <x:c r="H299" s="70"/>
      <x:c r="I299" s="70"/>
    </x:row>
    <x:row r="300" ht="15" hidden="0" customHeight="1">
      <x:c r="A300" s="70"/>
      <x:c r="B300" s="70"/>
      <x:c r="C300" s="70"/>
      <x:c r="D300" s="70"/>
      <x:c r="E300" s="70"/>
      <x:c r="F300" s="70"/>
      <x:c r="G300" s="70"/>
      <x:c r="H300" s="70"/>
      <x:c r="I300" s="70"/>
    </x:row>
    <x:row r="301" ht="15" hidden="0" customHeight="1">
      <x:c r="A301" s="70"/>
      <x:c r="B301" s="70"/>
      <x:c r="C301" s="70"/>
      <x:c r="D301" s="70"/>
      <x:c r="E301" s="70"/>
      <x:c r="F301" s="70"/>
      <x:c r="G301" s="70"/>
      <x:c r="H301" s="70"/>
      <x:c r="I301" s="70"/>
    </x:row>
    <x:row r="302" ht="15" hidden="0" customHeight="1">
      <x:c r="A302" s="70"/>
      <x:c r="B302" s="70"/>
      <x:c r="C302" s="70"/>
      <x:c r="D302" s="70"/>
      <x:c r="E302" s="70"/>
      <x:c r="F302" s="70"/>
      <x:c r="G302" s="70"/>
      <x:c r="H302" s="70"/>
      <x:c r="I302" s="70"/>
    </x:row>
    <x:row r="303" ht="15" hidden="0" customHeight="1">
      <x:c r="A303" s="70"/>
      <x:c r="B303" s="70"/>
      <x:c r="C303" s="70"/>
      <x:c r="D303" s="70"/>
      <x:c r="E303" s="70"/>
      <x:c r="F303" s="70"/>
      <x:c r="G303" s="70"/>
      <x:c r="H303" s="70"/>
      <x:c r="I303" s="70"/>
    </x:row>
    <x:row r="304" ht="15" hidden="0" customHeight="1">
      <x:c r="A304" s="70"/>
      <x:c r="B304" s="70"/>
      <x:c r="C304" s="70"/>
      <x:c r="D304" s="70"/>
      <x:c r="E304" s="70"/>
      <x:c r="F304" s="70"/>
      <x:c r="G304" s="70"/>
      <x:c r="H304" s="70"/>
      <x:c r="I304" s="70"/>
    </x:row>
    <x:row r="305" ht="15" hidden="0" customHeight="1">
      <x:c r="A305" s="70"/>
      <x:c r="B305" s="70"/>
      <x:c r="C305" s="70"/>
      <x:c r="D305" s="70"/>
      <x:c r="E305" s="70"/>
      <x:c r="F305" s="70"/>
      <x:c r="G305" s="70"/>
      <x:c r="H305" s="70"/>
      <x:c r="I305" s="70"/>
    </x:row>
    <x:row r="306" ht="15" hidden="0" customHeight="1">
      <x:c r="A306" s="70"/>
      <x:c r="B306" s="70"/>
      <x:c r="C306" s="70"/>
      <x:c r="D306" s="70"/>
      <x:c r="E306" s="70"/>
      <x:c r="F306" s="70"/>
      <x:c r="G306" s="70"/>
      <x:c r="H306" s="70"/>
      <x:c r="I306" s="70"/>
    </x:row>
    <x:row r="307" ht="15" hidden="0" customHeight="1">
      <x:c r="A307" s="70"/>
      <x:c r="B307" s="70"/>
      <x:c r="C307" s="70"/>
      <x:c r="D307" s="70"/>
      <x:c r="E307" s="70"/>
      <x:c r="F307" s="70"/>
      <x:c r="G307" s="70"/>
      <x:c r="H307" s="70"/>
      <x:c r="I307" s="70"/>
    </x:row>
    <x:row r="308" ht="15" hidden="0" customHeight="1">
      <x:c r="A308" s="70"/>
      <x:c r="B308" s="70"/>
      <x:c r="C308" s="70"/>
      <x:c r="D308" s="70"/>
      <x:c r="E308" s="70"/>
      <x:c r="F308" s="70"/>
      <x:c r="G308" s="70"/>
      <x:c r="H308" s="70"/>
      <x:c r="I308" s="70"/>
    </x:row>
    <x:row r="309" ht="15" hidden="0" customHeight="1">
      <x:c r="A309" s="70"/>
      <x:c r="B309" s="70"/>
      <x:c r="C309" s="70"/>
      <x:c r="D309" s="70"/>
      <x:c r="E309" s="70"/>
      <x:c r="F309" s="70"/>
      <x:c r="G309" s="70"/>
      <x:c r="H309" s="70"/>
      <x:c r="I309" s="70"/>
    </x:row>
    <x:row r="310" ht="15" hidden="0" customHeight="1">
      <x:c r="A310" s="70"/>
      <x:c r="B310" s="70"/>
      <x:c r="C310" s="70"/>
      <x:c r="D310" s="70"/>
      <x:c r="E310" s="70"/>
      <x:c r="F310" s="70"/>
      <x:c r="G310" s="70"/>
      <x:c r="H310" s="70"/>
      <x:c r="I310" s="70"/>
    </x:row>
    <x:row r="311" ht="15" hidden="0" customHeight="1">
      <x:c r="A311" s="70"/>
      <x:c r="B311" s="70"/>
      <x:c r="C311" s="70"/>
      <x:c r="D311" s="70"/>
      <x:c r="E311" s="70"/>
      <x:c r="F311" s="70"/>
      <x:c r="G311" s="70"/>
      <x:c r="H311" s="70"/>
      <x:c r="I311" s="70"/>
    </x:row>
    <x:row r="312" ht="15" hidden="0" customHeight="1">
      <x:c r="A312" s="70"/>
      <x:c r="B312" s="70"/>
      <x:c r="C312" s="70"/>
      <x:c r="D312" s="70"/>
      <x:c r="E312" s="70"/>
      <x:c r="F312" s="70"/>
      <x:c r="G312" s="70"/>
      <x:c r="H312" s="70"/>
      <x:c r="I312" s="70"/>
    </x:row>
    <x:row r="313" ht="15" hidden="0" customHeight="1">
      <x:c r="A313" s="70"/>
      <x:c r="B313" s="70"/>
      <x:c r="C313" s="70"/>
      <x:c r="D313" s="70"/>
      <x:c r="E313" s="70"/>
      <x:c r="F313" s="70"/>
      <x:c r="G313" s="70"/>
      <x:c r="H313" s="70"/>
      <x:c r="I313" s="70"/>
    </x:row>
    <x:row r="314" ht="15" hidden="0" customHeight="1">
      <x:c r="A314" s="70"/>
      <x:c r="B314" s="70"/>
      <x:c r="C314" s="70"/>
      <x:c r="D314" s="70"/>
      <x:c r="E314" s="70"/>
      <x:c r="F314" s="70"/>
      <x:c r="G314" s="70"/>
      <x:c r="H314" s="70"/>
      <x:c r="I314" s="70"/>
    </x:row>
    <x:row r="315" ht="15" hidden="0" customHeight="1">
      <x:c r="A315" s="70"/>
      <x:c r="B315" s="70"/>
      <x:c r="C315" s="70"/>
      <x:c r="D315" s="70"/>
      <x:c r="E315" s="70"/>
      <x:c r="F315" s="70"/>
      <x:c r="G315" s="70"/>
      <x:c r="H315" s="70"/>
      <x:c r="I315" s="70"/>
    </x:row>
    <x:row r="316" ht="15" hidden="0" customHeight="1">
      <x:c r="A316" s="70"/>
      <x:c r="B316" s="70"/>
      <x:c r="C316" s="70"/>
      <x:c r="D316" s="70"/>
      <x:c r="E316" s="70"/>
      <x:c r="F316" s="70"/>
      <x:c r="G316" s="70"/>
      <x:c r="H316" s="70"/>
      <x:c r="I316" s="70"/>
    </x:row>
    <x:row r="317" ht="15" hidden="0" customHeight="1">
      <x:c r="A317" s="70"/>
      <x:c r="B317" s="70"/>
      <x:c r="C317" s="70"/>
      <x:c r="D317" s="70"/>
      <x:c r="E317" s="70"/>
      <x:c r="F317" s="70"/>
      <x:c r="G317" s="70"/>
      <x:c r="H317" s="70"/>
      <x:c r="I317" s="70"/>
    </x:row>
    <x:row r="318" ht="15" hidden="0" customHeight="1">
      <x:c r="A318" s="70"/>
      <x:c r="B318" s="70"/>
      <x:c r="C318" s="70"/>
      <x:c r="D318" s="70"/>
      <x:c r="E318" s="70"/>
      <x:c r="F318" s="70"/>
      <x:c r="G318" s="70"/>
      <x:c r="H318" s="70"/>
      <x:c r="I318" s="70"/>
    </x:row>
    <x:row r="319" ht="15" hidden="0" customHeight="1">
      <x:c r="A319" s="70"/>
      <x:c r="B319" s="70"/>
      <x:c r="C319" s="70"/>
      <x:c r="D319" s="70"/>
      <x:c r="E319" s="70"/>
      <x:c r="F319" s="70"/>
      <x:c r="G319" s="70"/>
      <x:c r="H319" s="70"/>
      <x:c r="I319" s="70"/>
    </x:row>
    <x:row r="320" ht="15" hidden="0" customHeight="1">
      <x:c r="A320" s="70"/>
      <x:c r="B320" s="70"/>
      <x:c r="C320" s="70"/>
      <x:c r="D320" s="70"/>
      <x:c r="E320" s="70"/>
      <x:c r="F320" s="70"/>
      <x:c r="G320" s="70"/>
      <x:c r="H320" s="70"/>
      <x:c r="I320" s="70"/>
    </x:row>
    <x:row r="321" ht="15" hidden="0" customHeight="1">
      <x:c r="A321" s="70"/>
      <x:c r="B321" s="70"/>
      <x:c r="C321" s="70"/>
      <x:c r="D321" s="70"/>
      <x:c r="E321" s="70"/>
      <x:c r="F321" s="70"/>
      <x:c r="G321" s="70"/>
      <x:c r="H321" s="70"/>
      <x:c r="I321" s="70"/>
    </x:row>
    <x:row r="322" ht="15" hidden="0" customHeight="1">
      <x:c r="A322" s="70"/>
      <x:c r="B322" s="70"/>
      <x:c r="C322" s="70"/>
      <x:c r="D322" s="70"/>
      <x:c r="E322" s="70"/>
      <x:c r="F322" s="70"/>
      <x:c r="G322" s="70"/>
      <x:c r="H322" s="70"/>
      <x:c r="I322" s="70"/>
    </x:row>
    <x:row r="323" ht="15" hidden="0" customHeight="1">
      <x:c r="A323" s="70"/>
      <x:c r="B323" s="70"/>
      <x:c r="C323" s="70"/>
      <x:c r="D323" s="70"/>
      <x:c r="E323" s="70"/>
      <x:c r="F323" s="70"/>
      <x:c r="G323" s="70"/>
      <x:c r="H323" s="70"/>
      <x:c r="I323" s="70"/>
    </x:row>
    <x:row r="324" ht="15" hidden="0" customHeight="1">
      <x:c r="A324" s="70"/>
      <x:c r="B324" s="70"/>
      <x:c r="C324" s="70"/>
      <x:c r="D324" s="70"/>
      <x:c r="E324" s="70"/>
      <x:c r="F324" s="70"/>
      <x:c r="G324" s="70"/>
      <x:c r="H324" s="70"/>
      <x:c r="I324" s="70"/>
    </x:row>
    <x:row r="325" ht="15" hidden="0" customHeight="1">
      <x:c r="A325" s="70"/>
      <x:c r="B325" s="70"/>
      <x:c r="C325" s="70"/>
      <x:c r="D325" s="70"/>
      <x:c r="E325" s="70"/>
      <x:c r="F325" s="70"/>
      <x:c r="G325" s="70"/>
      <x:c r="H325" s="70"/>
      <x:c r="I325" s="70"/>
    </x:row>
    <x:row r="326" ht="15" hidden="0" customHeight="1">
      <x:c r="A326" s="70"/>
      <x:c r="B326" s="70"/>
      <x:c r="C326" s="70"/>
      <x:c r="D326" s="70"/>
      <x:c r="E326" s="70"/>
      <x:c r="F326" s="70"/>
      <x:c r="G326" s="70"/>
      <x:c r="H326" s="70"/>
      <x:c r="I326" s="70"/>
    </x:row>
    <x:row r="327" ht="15" hidden="0" customHeight="1">
      <x:c r="A327" s="70"/>
      <x:c r="B327" s="70"/>
      <x:c r="C327" s="70"/>
      <x:c r="D327" s="70"/>
      <x:c r="E327" s="70"/>
      <x:c r="F327" s="70"/>
      <x:c r="G327" s="70"/>
      <x:c r="H327" s="70"/>
      <x:c r="I327" s="70"/>
    </x:row>
    <x:row r="328" ht="15" hidden="0" customHeight="1">
      <x:c r="A328" s="70"/>
      <x:c r="B328" s="70"/>
      <x:c r="C328" s="70"/>
      <x:c r="D328" s="70"/>
      <x:c r="E328" s="70"/>
      <x:c r="F328" s="70"/>
      <x:c r="G328" s="70"/>
      <x:c r="H328" s="70"/>
      <x:c r="I328" s="70"/>
    </x:row>
    <x:row r="329" ht="15" hidden="0" customHeight="1">
      <x:c r="A329" s="70"/>
      <x:c r="B329" s="70"/>
      <x:c r="C329" s="70"/>
      <x:c r="D329" s="70"/>
      <x:c r="E329" s="70"/>
      <x:c r="F329" s="70"/>
      <x:c r="G329" s="70"/>
      <x:c r="H329" s="70"/>
      <x:c r="I329" s="70"/>
    </x:row>
    <x:row r="330" ht="15" hidden="0" customHeight="1">
      <x:c r="A330" s="70"/>
      <x:c r="B330" s="70"/>
      <x:c r="C330" s="70"/>
      <x:c r="D330" s="70"/>
      <x:c r="E330" s="70"/>
      <x:c r="F330" s="70"/>
      <x:c r="G330" s="70"/>
      <x:c r="H330" s="70"/>
      <x:c r="I330" s="70"/>
    </x:row>
    <x:row r="331" ht="15" hidden="0" customHeight="1">
      <x:c r="A331" s="70"/>
      <x:c r="B331" s="70"/>
      <x:c r="C331" s="70"/>
      <x:c r="D331" s="70"/>
      <x:c r="E331" s="70"/>
      <x:c r="F331" s="70"/>
      <x:c r="G331" s="70"/>
      <x:c r="H331" s="70"/>
      <x:c r="I331" s="70"/>
    </x:row>
    <x:row r="332" ht="15" hidden="0" customHeight="1">
      <x:c r="A332" s="70"/>
      <x:c r="B332" s="70"/>
      <x:c r="C332" s="70"/>
      <x:c r="D332" s="70"/>
      <x:c r="E332" s="70"/>
      <x:c r="F332" s="70"/>
      <x:c r="G332" s="70"/>
      <x:c r="H332" s="70"/>
      <x:c r="I332" s="70"/>
    </x:row>
    <x:row r="333" ht="15" hidden="0" customHeight="1">
      <x:c r="A333" s="70"/>
      <x:c r="B333" s="70"/>
      <x:c r="C333" s="70"/>
      <x:c r="D333" s="70"/>
      <x:c r="E333" s="70"/>
      <x:c r="F333" s="70"/>
      <x:c r="G333" s="70"/>
      <x:c r="H333" s="70"/>
      <x:c r="I333" s="70"/>
    </x:row>
    <x:row r="334" ht="15" hidden="0" customHeight="1">
      <x:c r="A334" s="70"/>
      <x:c r="B334" s="70"/>
      <x:c r="C334" s="70"/>
      <x:c r="D334" s="70"/>
      <x:c r="E334" s="70"/>
      <x:c r="F334" s="70"/>
      <x:c r="G334" s="70"/>
      <x:c r="H334" s="70"/>
      <x:c r="I334" s="70"/>
    </x:row>
    <x:row r="335" ht="15" hidden="0" customHeight="1">
      <x:c r="A335" s="70"/>
      <x:c r="B335" s="70"/>
      <x:c r="C335" s="70"/>
      <x:c r="D335" s="70"/>
      <x:c r="E335" s="70"/>
      <x:c r="F335" s="70"/>
      <x:c r="G335" s="70"/>
      <x:c r="H335" s="70"/>
      <x:c r="I335" s="70"/>
    </x:row>
    <x:row r="336" ht="15" hidden="0" customHeight="1">
      <x:c r="A336" s="70"/>
      <x:c r="B336" s="70"/>
      <x:c r="C336" s="70"/>
      <x:c r="D336" s="70"/>
      <x:c r="E336" s="70"/>
      <x:c r="F336" s="70"/>
      <x:c r="G336" s="70"/>
      <x:c r="H336" s="70"/>
      <x:c r="I336" s="70"/>
    </x:row>
    <x:row r="337" ht="15" hidden="0" customHeight="1">
      <x:c r="A337" s="70"/>
      <x:c r="B337" s="70"/>
      <x:c r="C337" s="70"/>
      <x:c r="D337" s="70"/>
      <x:c r="E337" s="70"/>
      <x:c r="F337" s="70"/>
      <x:c r="G337" s="70"/>
      <x:c r="H337" s="70"/>
      <x:c r="I337" s="70"/>
    </x:row>
    <x:row r="338" ht="15" hidden="0" customHeight="1">
      <x:c r="A338" s="70"/>
      <x:c r="B338" s="70"/>
      <x:c r="C338" s="70"/>
      <x:c r="D338" s="70"/>
      <x:c r="E338" s="70"/>
      <x:c r="F338" s="70"/>
      <x:c r="G338" s="70"/>
      <x:c r="H338" s="70"/>
      <x:c r="I338" s="70"/>
    </x:row>
    <x:row r="339" ht="15" hidden="0" customHeight="1">
      <x:c r="A339" s="70"/>
      <x:c r="B339" s="70"/>
      <x:c r="C339" s="70"/>
      <x:c r="D339" s="70"/>
      <x:c r="E339" s="70"/>
      <x:c r="F339" s="70"/>
      <x:c r="G339" s="70"/>
      <x:c r="H339" s="70"/>
      <x:c r="I339" s="70"/>
    </x:row>
    <x:row r="340" ht="15" hidden="0" customHeight="1">
      <x:c r="A340" s="70"/>
      <x:c r="B340" s="70"/>
      <x:c r="C340" s="70"/>
      <x:c r="D340" s="70"/>
      <x:c r="E340" s="70"/>
      <x:c r="F340" s="70"/>
      <x:c r="G340" s="70"/>
      <x:c r="H340" s="70"/>
      <x:c r="I340" s="70"/>
    </x:row>
    <x:row r="341" ht="15" hidden="0" customHeight="1">
      <x:c r="A341" s="70"/>
      <x:c r="B341" s="70"/>
      <x:c r="C341" s="70"/>
      <x:c r="D341" s="70"/>
      <x:c r="E341" s="70"/>
      <x:c r="F341" s="70"/>
      <x:c r="G341" s="70"/>
      <x:c r="H341" s="70"/>
      <x:c r="I341" s="70"/>
    </x:row>
    <x:row r="342" ht="15" hidden="0" customHeight="1">
      <x:c r="A342" s="70"/>
      <x:c r="B342" s="70"/>
      <x:c r="C342" s="70"/>
      <x:c r="D342" s="70"/>
      <x:c r="E342" s="70"/>
      <x:c r="F342" s="70"/>
      <x:c r="G342" s="70"/>
      <x:c r="H342" s="70"/>
      <x:c r="I342" s="70"/>
    </x:row>
    <x:row r="343" ht="15" hidden="0" customHeight="1">
      <x:c r="A343" s="70"/>
      <x:c r="B343" s="70"/>
      <x:c r="C343" s="70"/>
      <x:c r="D343" s="70"/>
      <x:c r="E343" s="70"/>
      <x:c r="F343" s="70"/>
      <x:c r="G343" s="70"/>
      <x:c r="H343" s="70"/>
      <x:c r="I343" s="70"/>
    </x:row>
    <x:row r="344" ht="15" hidden="0" customHeight="1">
      <x:c r="A344" s="70"/>
      <x:c r="B344" s="70"/>
      <x:c r="C344" s="70"/>
      <x:c r="D344" s="70"/>
      <x:c r="E344" s="70"/>
      <x:c r="F344" s="70"/>
      <x:c r="G344" s="70"/>
      <x:c r="H344" s="70"/>
      <x:c r="I344" s="70"/>
    </x:row>
    <x:row r="345" ht="15" hidden="0" customHeight="1">
      <x:c r="A345" s="70"/>
      <x:c r="B345" s="70"/>
      <x:c r="C345" s="70"/>
      <x:c r="D345" s="70"/>
      <x:c r="E345" s="70"/>
      <x:c r="F345" s="70"/>
      <x:c r="G345" s="70"/>
      <x:c r="H345" s="70"/>
      <x:c r="I345" s="70"/>
    </x:row>
    <x:row r="346" ht="15" hidden="0" customHeight="1">
      <x:c r="A346" s="70"/>
      <x:c r="B346" s="70"/>
      <x:c r="C346" s="70"/>
      <x:c r="D346" s="70"/>
      <x:c r="E346" s="70"/>
      <x:c r="F346" s="70"/>
      <x:c r="G346" s="70"/>
      <x:c r="H346" s="70"/>
      <x:c r="I346" s="70"/>
    </x:row>
    <x:row r="347" ht="15" hidden="0" customHeight="1">
      <x:c r="A347" s="70"/>
      <x:c r="B347" s="70"/>
      <x:c r="C347" s="70"/>
      <x:c r="D347" s="70"/>
      <x:c r="E347" s="70"/>
      <x:c r="F347" s="70"/>
      <x:c r="G347" s="70"/>
      <x:c r="H347" s="70"/>
      <x:c r="I347" s="70"/>
    </x:row>
    <x:row r="348" ht="15" hidden="0" customHeight="1">
      <x:c r="A348" s="70"/>
      <x:c r="B348" s="70"/>
      <x:c r="C348" s="70"/>
      <x:c r="D348" s="70"/>
      <x:c r="E348" s="70"/>
      <x:c r="F348" s="70"/>
      <x:c r="G348" s="70"/>
      <x:c r="H348" s="70"/>
      <x:c r="I348" s="70"/>
    </x:row>
    <x:row r="349" ht="15" hidden="0" customHeight="1">
      <x:c r="A349" s="70"/>
      <x:c r="B349" s="70"/>
      <x:c r="C349" s="70"/>
      <x:c r="D349" s="70"/>
      <x:c r="E349" s="70"/>
      <x:c r="F349" s="70"/>
      <x:c r="G349" s="70"/>
      <x:c r="H349" s="70"/>
      <x:c r="I349" s="70"/>
    </x:row>
    <x:row r="350" ht="15" hidden="0" customHeight="1">
      <x:c r="A350" s="70"/>
      <x:c r="B350" s="70"/>
      <x:c r="C350" s="70"/>
      <x:c r="D350" s="70"/>
      <x:c r="E350" s="70"/>
      <x:c r="F350" s="70"/>
      <x:c r="G350" s="70"/>
      <x:c r="H350" s="70"/>
      <x:c r="I350" s="70"/>
    </x:row>
    <x:row r="351" ht="15" hidden="0" customHeight="1">
      <x:c r="A351" s="70"/>
      <x:c r="B351" s="70"/>
      <x:c r="C351" s="70"/>
      <x:c r="D351" s="70"/>
      <x:c r="E351" s="70"/>
      <x:c r="F351" s="70"/>
      <x:c r="G351" s="70"/>
      <x:c r="H351" s="70"/>
      <x:c r="I351" s="70"/>
    </x:row>
    <x:row r="352" ht="15" hidden="0" customHeight="1">
      <x:c r="A352" s="70"/>
      <x:c r="B352" s="70"/>
      <x:c r="C352" s="70"/>
      <x:c r="D352" s="70"/>
      <x:c r="E352" s="70"/>
      <x:c r="F352" s="70"/>
      <x:c r="G352" s="70"/>
      <x:c r="H352" s="70"/>
      <x:c r="I352" s="70"/>
    </x:row>
    <x:row r="353" ht="15" hidden="0" customHeight="1">
      <x:c r="A353" s="70"/>
      <x:c r="B353" s="70"/>
      <x:c r="C353" s="70"/>
      <x:c r="D353" s="70"/>
      <x:c r="E353" s="70"/>
      <x:c r="F353" s="70"/>
      <x:c r="G353" s="70"/>
      <x:c r="H353" s="70"/>
      <x:c r="I353" s="70"/>
    </x:row>
    <x:row r="354" ht="15" hidden="0" customHeight="1">
      <x:c r="A354" s="70"/>
      <x:c r="B354" s="70"/>
      <x:c r="C354" s="70"/>
      <x:c r="D354" s="70"/>
      <x:c r="E354" s="70"/>
      <x:c r="F354" s="70"/>
      <x:c r="G354" s="70"/>
      <x:c r="H354" s="70"/>
      <x:c r="I354" s="70"/>
    </x:row>
    <x:row r="355" ht="15" hidden="0" customHeight="1">
      <x:c r="A355" s="70"/>
      <x:c r="B355" s="70"/>
      <x:c r="C355" s="70"/>
      <x:c r="D355" s="70"/>
      <x:c r="E355" s="70"/>
      <x:c r="F355" s="70"/>
      <x:c r="G355" s="70"/>
      <x:c r="H355" s="70"/>
      <x:c r="I355" s="70"/>
    </x:row>
    <x:row r="356" ht="15" hidden="0" customHeight="1">
      <x:c r="A356" s="70"/>
      <x:c r="B356" s="70"/>
      <x:c r="C356" s="70"/>
      <x:c r="D356" s="70"/>
      <x:c r="E356" s="70"/>
      <x:c r="F356" s="70"/>
      <x:c r="G356" s="70"/>
      <x:c r="H356" s="70"/>
      <x:c r="I356" s="70"/>
    </x:row>
    <x:row r="357" ht="15" hidden="0" customHeight="1">
      <x:c r="A357" s="70"/>
      <x:c r="B357" s="70"/>
      <x:c r="C357" s="70"/>
      <x:c r="D357" s="70"/>
      <x:c r="E357" s="70"/>
      <x:c r="F357" s="70"/>
      <x:c r="G357" s="70"/>
      <x:c r="H357" s="70"/>
      <x:c r="I357" s="70"/>
    </x:row>
    <x:row r="358" ht="15" hidden="0" customHeight="1">
      <x:c r="A358" s="70"/>
      <x:c r="B358" s="70"/>
      <x:c r="C358" s="70"/>
      <x:c r="D358" s="70"/>
      <x:c r="E358" s="70"/>
      <x:c r="F358" s="70"/>
      <x:c r="G358" s="70"/>
      <x:c r="H358" s="70"/>
      <x:c r="I358" s="70"/>
    </x:row>
    <x:row r="359" ht="15" hidden="0" customHeight="1">
      <x:c r="A359" s="70"/>
      <x:c r="B359" s="70"/>
      <x:c r="C359" s="70"/>
      <x:c r="D359" s="70"/>
      <x:c r="E359" s="70"/>
      <x:c r="F359" s="70"/>
      <x:c r="G359" s="70"/>
      <x:c r="H359" s="70"/>
      <x:c r="I359" s="70"/>
    </x:row>
    <x:row r="360" ht="15" hidden="0" customHeight="1">
      <x:c r="A360" s="70"/>
      <x:c r="B360" s="70"/>
      <x:c r="C360" s="70"/>
      <x:c r="D360" s="70"/>
      <x:c r="E360" s="70"/>
      <x:c r="F360" s="70"/>
      <x:c r="G360" s="70"/>
      <x:c r="H360" s="70"/>
      <x:c r="I360" s="70"/>
    </x:row>
    <x:row r="361" ht="15" hidden="0" customHeight="1">
      <x:c r="A361" s="70"/>
      <x:c r="B361" s="70"/>
      <x:c r="C361" s="70"/>
      <x:c r="D361" s="70"/>
      <x:c r="E361" s="70"/>
      <x:c r="F361" s="70"/>
      <x:c r="G361" s="70"/>
      <x:c r="H361" s="70"/>
      <x:c r="I361" s="70"/>
    </x:row>
    <x:row r="362" ht="15" hidden="0" customHeight="1">
      <x:c r="A362" s="70"/>
      <x:c r="B362" s="70"/>
      <x:c r="C362" s="70"/>
      <x:c r="D362" s="70"/>
      <x:c r="E362" s="70"/>
      <x:c r="F362" s="70"/>
      <x:c r="G362" s="70"/>
      <x:c r="H362" s="70"/>
      <x:c r="I362" s="70"/>
    </x:row>
    <x:row r="363" ht="15" hidden="0" customHeight="1">
      <x:c r="A363" s="70"/>
      <x:c r="B363" s="70"/>
      <x:c r="C363" s="70"/>
      <x:c r="D363" s="70"/>
      <x:c r="E363" s="70"/>
      <x:c r="F363" s="70"/>
      <x:c r="G363" s="70"/>
      <x:c r="H363" s="70"/>
      <x:c r="I363" s="70"/>
    </x:row>
    <x:row r="364" ht="15" hidden="0" customHeight="1">
      <x:c r="A364" s="70"/>
      <x:c r="B364" s="70"/>
      <x:c r="C364" s="70"/>
      <x:c r="D364" s="70"/>
      <x:c r="E364" s="70"/>
      <x:c r="F364" s="70"/>
      <x:c r="G364" s="70"/>
      <x:c r="H364" s="70"/>
      <x:c r="I364" s="70"/>
    </x:row>
    <x:row r="365" ht="15" hidden="0" customHeight="1">
      <x:c r="A365" s="70"/>
      <x:c r="B365" s="70"/>
      <x:c r="C365" s="70"/>
      <x:c r="D365" s="70"/>
      <x:c r="E365" s="70"/>
      <x:c r="F365" s="70"/>
      <x:c r="G365" s="70"/>
      <x:c r="H365" s="70"/>
      <x:c r="I365" s="70"/>
    </x:row>
    <x:row r="366" ht="15" hidden="0" customHeight="1">
      <x:c r="A366" s="70"/>
      <x:c r="B366" s="70"/>
      <x:c r="C366" s="70"/>
      <x:c r="D366" s="70"/>
      <x:c r="E366" s="70"/>
      <x:c r="F366" s="70"/>
      <x:c r="G366" s="70"/>
      <x:c r="H366" s="70"/>
      <x:c r="I366" s="70"/>
    </x:row>
    <x:row r="367" ht="15" hidden="0" customHeight="1">
      <x:c r="A367" s="70"/>
      <x:c r="B367" s="70"/>
      <x:c r="C367" s="70"/>
      <x:c r="D367" s="70"/>
      <x:c r="E367" s="70"/>
      <x:c r="F367" s="70"/>
      <x:c r="G367" s="70"/>
      <x:c r="H367" s="70"/>
      <x:c r="I367" s="70"/>
    </x:row>
    <x:row r="368" ht="15" hidden="0" customHeight="1">
      <x:c r="A368" s="70"/>
      <x:c r="B368" s="70"/>
      <x:c r="C368" s="70"/>
      <x:c r="D368" s="70"/>
      <x:c r="E368" s="70"/>
      <x:c r="F368" s="70"/>
      <x:c r="G368" s="70"/>
      <x:c r="H368" s="70"/>
      <x:c r="I368" s="70"/>
    </x:row>
    <x:row r="369" ht="15" hidden="0" customHeight="1">
      <x:c r="A369" s="70"/>
      <x:c r="B369" s="70"/>
      <x:c r="C369" s="70"/>
      <x:c r="D369" s="70"/>
      <x:c r="E369" s="70"/>
      <x:c r="F369" s="70"/>
      <x:c r="G369" s="70"/>
      <x:c r="H369" s="70"/>
      <x:c r="I369" s="70"/>
    </x:row>
    <x:row r="370" ht="15" hidden="0" customHeight="1">
      <x:c r="A370" s="70"/>
      <x:c r="B370" s="70"/>
      <x:c r="C370" s="70"/>
      <x:c r="D370" s="70"/>
      <x:c r="E370" s="70"/>
      <x:c r="F370" s="70"/>
      <x:c r="G370" s="70"/>
      <x:c r="H370" s="70"/>
      <x:c r="I370" s="70"/>
    </x:row>
    <x:row r="371" ht="15" hidden="0" customHeight="1">
      <x:c r="A371" s="70"/>
      <x:c r="B371" s="70"/>
      <x:c r="C371" s="70"/>
      <x:c r="D371" s="70"/>
      <x:c r="E371" s="70"/>
      <x:c r="F371" s="70"/>
      <x:c r="G371" s="70"/>
      <x:c r="H371" s="70"/>
      <x:c r="I371" s="70"/>
    </x:row>
    <x:row r="372" ht="15" hidden="0" customHeight="1">
      <x:c r="A372" s="70"/>
      <x:c r="B372" s="70"/>
      <x:c r="C372" s="70"/>
      <x:c r="D372" s="70"/>
      <x:c r="E372" s="70"/>
      <x:c r="F372" s="70"/>
      <x:c r="G372" s="70"/>
      <x:c r="H372" s="70"/>
      <x:c r="I372" s="70"/>
    </x:row>
    <x:row r="373" ht="15" hidden="0" customHeight="1">
      <x:c r="A373" s="70"/>
      <x:c r="B373" s="70"/>
      <x:c r="C373" s="70"/>
      <x:c r="D373" s="70"/>
      <x:c r="E373" s="70"/>
      <x:c r="F373" s="70"/>
      <x:c r="G373" s="70"/>
      <x:c r="H373" s="70"/>
      <x:c r="I373" s="70"/>
    </x:row>
    <x:row r="374" ht="15" hidden="0" customHeight="1">
      <x:c r="A374" s="70"/>
      <x:c r="B374" s="70"/>
      <x:c r="C374" s="70"/>
      <x:c r="D374" s="70"/>
      <x:c r="E374" s="70"/>
      <x:c r="F374" s="70"/>
      <x:c r="G374" s="70"/>
      <x:c r="H374" s="70"/>
      <x:c r="I374" s="70"/>
    </x:row>
    <x:row r="375" ht="15" hidden="0" customHeight="1">
      <x:c r="A375" s="70"/>
      <x:c r="B375" s="70"/>
      <x:c r="C375" s="70"/>
      <x:c r="D375" s="70"/>
      <x:c r="E375" s="70"/>
      <x:c r="F375" s="70"/>
      <x:c r="G375" s="70"/>
      <x:c r="H375" s="70"/>
      <x:c r="I375" s="70"/>
    </x:row>
    <x:row r="376" ht="15" hidden="0" customHeight="1">
      <x:c r="A376" s="70"/>
      <x:c r="B376" s="70"/>
      <x:c r="C376" s="70"/>
      <x:c r="D376" s="70"/>
      <x:c r="E376" s="70"/>
      <x:c r="F376" s="70"/>
      <x:c r="G376" s="70"/>
      <x:c r="H376" s="70"/>
      <x:c r="I376" s="70"/>
    </x:row>
    <x:row r="377" ht="15" hidden="0" customHeight="1">
      <x:c r="A377" s="70"/>
      <x:c r="B377" s="70"/>
      <x:c r="C377" s="70"/>
      <x:c r="D377" s="70"/>
      <x:c r="E377" s="70"/>
      <x:c r="F377" s="70"/>
      <x:c r="G377" s="70"/>
      <x:c r="H377" s="70"/>
      <x:c r="I377" s="70"/>
    </x:row>
    <x:row r="378" ht="15" hidden="0" customHeight="1">
      <x:c r="A378" s="70"/>
      <x:c r="B378" s="70"/>
      <x:c r="C378" s="70"/>
      <x:c r="D378" s="70"/>
      <x:c r="E378" s="70"/>
      <x:c r="F378" s="70"/>
      <x:c r="G378" s="70"/>
      <x:c r="H378" s="70"/>
      <x:c r="I378" s="70"/>
    </x:row>
    <x:row r="379" ht="15" hidden="0" customHeight="1">
      <x:c r="A379" s="70"/>
      <x:c r="B379" s="70"/>
      <x:c r="C379" s="70"/>
      <x:c r="D379" s="70"/>
      <x:c r="E379" s="70"/>
      <x:c r="F379" s="70"/>
      <x:c r="G379" s="70"/>
      <x:c r="H379" s="70"/>
      <x:c r="I379" s="70"/>
    </x:row>
    <x:row r="380" ht="15" hidden="0" customHeight="1">
      <x:c r="A380" s="70"/>
      <x:c r="B380" s="70"/>
      <x:c r="C380" s="70"/>
      <x:c r="D380" s="70"/>
      <x:c r="E380" s="70"/>
      <x:c r="F380" s="70"/>
      <x:c r="G380" s="70"/>
      <x:c r="H380" s="70"/>
      <x:c r="I380" s="70"/>
    </x:row>
    <x:row r="381" ht="15" hidden="0" customHeight="1">
      <x:c r="A381" s="70"/>
      <x:c r="B381" s="70"/>
      <x:c r="C381" s="70"/>
      <x:c r="D381" s="70"/>
      <x:c r="E381" s="70"/>
      <x:c r="F381" s="70"/>
      <x:c r="G381" s="70"/>
      <x:c r="H381" s="70"/>
      <x:c r="I381" s="70"/>
    </x:row>
    <x:row r="382" ht="15" hidden="0" customHeight="1">
      <x:c r="A382" s="70"/>
      <x:c r="B382" s="70"/>
      <x:c r="C382" s="70"/>
      <x:c r="D382" s="70"/>
      <x:c r="E382" s="70"/>
      <x:c r="F382" s="70"/>
      <x:c r="G382" s="70"/>
      <x:c r="H382" s="70"/>
      <x:c r="I382" s="70"/>
    </x:row>
    <x:row r="383" ht="15" hidden="0" customHeight="1">
      <x:c r="A383" s="70"/>
      <x:c r="B383" s="70"/>
      <x:c r="C383" s="70"/>
      <x:c r="D383" s="70"/>
      <x:c r="E383" s="70"/>
      <x:c r="F383" s="70"/>
      <x:c r="G383" s="70"/>
      <x:c r="H383" s="70"/>
      <x:c r="I383" s="70"/>
    </x:row>
    <x:row r="384" ht="15" hidden="0" customHeight="1">
      <x:c r="A384" s="70"/>
      <x:c r="B384" s="70"/>
      <x:c r="C384" s="70"/>
      <x:c r="D384" s="70"/>
      <x:c r="E384" s="70"/>
      <x:c r="F384" s="70"/>
      <x:c r="G384" s="70"/>
      <x:c r="H384" s="70"/>
      <x:c r="I384" s="70"/>
    </x:row>
    <x:row r="385" ht="15" hidden="0" customHeight="1">
      <x:c r="A385" s="70"/>
      <x:c r="B385" s="70"/>
      <x:c r="C385" s="70"/>
      <x:c r="D385" s="70"/>
      <x:c r="E385" s="70"/>
      <x:c r="F385" s="70"/>
      <x:c r="G385" s="70"/>
      <x:c r="H385" s="70"/>
      <x:c r="I385" s="70"/>
    </x:row>
    <x:row r="386" ht="15" hidden="0" customHeight="1">
      <x:c r="A386" s="70"/>
      <x:c r="B386" s="70"/>
      <x:c r="C386" s="70"/>
      <x:c r="D386" s="70"/>
      <x:c r="E386" s="70"/>
      <x:c r="F386" s="70"/>
      <x:c r="G386" s="70"/>
      <x:c r="H386" s="70"/>
      <x:c r="I386" s="70"/>
    </x:row>
    <x:row r="387" ht="15" hidden="0" customHeight="1">
      <x:c r="A387" s="70"/>
      <x:c r="B387" s="70"/>
      <x:c r="C387" s="70"/>
      <x:c r="D387" s="70"/>
      <x:c r="E387" s="70"/>
      <x:c r="F387" s="70"/>
      <x:c r="G387" s="70"/>
      <x:c r="H387" s="70"/>
      <x:c r="I387" s="70"/>
    </x:row>
    <x:row r="388" ht="15" hidden="0" customHeight="1">
      <x:c r="A388" s="70"/>
      <x:c r="B388" s="70"/>
      <x:c r="C388" s="70"/>
      <x:c r="D388" s="70"/>
      <x:c r="E388" s="70"/>
      <x:c r="F388" s="70"/>
      <x:c r="G388" s="70"/>
      <x:c r="H388" s="70"/>
      <x:c r="I388" s="70"/>
    </x:row>
    <x:row r="389" ht="15" hidden="0" customHeight="1">
      <x:c r="A389" s="70"/>
      <x:c r="B389" s="70"/>
      <x:c r="C389" s="70"/>
      <x:c r="D389" s="70"/>
      <x:c r="E389" s="70"/>
      <x:c r="F389" s="70"/>
      <x:c r="G389" s="70"/>
      <x:c r="H389" s="70"/>
      <x:c r="I389" s="70"/>
    </x:row>
    <x:row r="390" ht="15" hidden="0" customHeight="1">
      <x:c r="A390" s="70"/>
      <x:c r="B390" s="70"/>
      <x:c r="C390" s="70"/>
      <x:c r="D390" s="70"/>
      <x:c r="E390" s="70"/>
      <x:c r="F390" s="70"/>
      <x:c r="G390" s="70"/>
      <x:c r="H390" s="70"/>
      <x:c r="I390" s="70"/>
    </x:row>
    <x:row r="391" ht="15" hidden="0" customHeight="1">
      <x:c r="A391" s="70"/>
      <x:c r="B391" s="70"/>
      <x:c r="C391" s="70"/>
      <x:c r="D391" s="70"/>
      <x:c r="E391" s="70"/>
      <x:c r="F391" s="70"/>
      <x:c r="G391" s="70"/>
      <x:c r="H391" s="70"/>
      <x:c r="I391" s="70"/>
    </x:row>
    <x:row r="392" ht="15" hidden="0" customHeight="1">
      <x:c r="A392" s="70"/>
      <x:c r="B392" s="70"/>
      <x:c r="C392" s="70"/>
      <x:c r="D392" s="70"/>
      <x:c r="E392" s="70"/>
      <x:c r="F392" s="70"/>
      <x:c r="G392" s="70"/>
      <x:c r="H392" s="70"/>
      <x:c r="I392" s="70"/>
    </x:row>
    <x:row r="393" ht="15" hidden="0" customHeight="1">
      <x:c r="A393" s="70"/>
      <x:c r="B393" s="70"/>
      <x:c r="C393" s="70"/>
      <x:c r="D393" s="70"/>
      <x:c r="E393" s="70"/>
      <x:c r="F393" s="70"/>
      <x:c r="G393" s="70"/>
      <x:c r="H393" s="70"/>
      <x:c r="I393" s="70"/>
    </x:row>
    <x:row r="394" ht="15" hidden="0" customHeight="1">
      <x:c r="A394" s="70"/>
      <x:c r="B394" s="70"/>
      <x:c r="C394" s="70"/>
      <x:c r="D394" s="70"/>
      <x:c r="E394" s="70"/>
      <x:c r="F394" s="70"/>
      <x:c r="G394" s="70"/>
      <x:c r="H394" s="70"/>
      <x:c r="I394" s="70"/>
    </x:row>
    <x:row r="395" ht="15" hidden="0" customHeight="1">
      <x:c r="A395" s="70"/>
      <x:c r="B395" s="70"/>
      <x:c r="C395" s="70"/>
      <x:c r="D395" s="70"/>
      <x:c r="E395" s="70"/>
      <x:c r="F395" s="70"/>
      <x:c r="G395" s="70"/>
      <x:c r="H395" s="70"/>
      <x:c r="I395" s="70"/>
    </x:row>
    <x:row r="396" ht="15" hidden="0" customHeight="1">
      <x:c r="A396" s="70"/>
      <x:c r="B396" s="70"/>
      <x:c r="C396" s="70"/>
      <x:c r="D396" s="70"/>
      <x:c r="E396" s="70"/>
      <x:c r="F396" s="70"/>
      <x:c r="G396" s="70"/>
      <x:c r="H396" s="70"/>
      <x:c r="I396" s="70"/>
    </x:row>
    <x:row r="397" ht="15" hidden="0" customHeight="1">
      <x:c r="A397" s="70"/>
      <x:c r="B397" s="70"/>
      <x:c r="C397" s="70"/>
      <x:c r="D397" s="70"/>
      <x:c r="E397" s="70"/>
      <x:c r="F397" s="70"/>
      <x:c r="G397" s="70"/>
      <x:c r="H397" s="70"/>
      <x:c r="I397" s="70"/>
    </x:row>
    <x:row r="398" ht="15" hidden="0" customHeight="1">
      <x:c r="A398" s="70"/>
      <x:c r="B398" s="70"/>
      <x:c r="C398" s="70"/>
      <x:c r="D398" s="70"/>
      <x:c r="E398" s="70"/>
      <x:c r="F398" s="70"/>
      <x:c r="G398" s="70"/>
      <x:c r="H398" s="70"/>
      <x:c r="I398" s="70"/>
    </x:row>
    <x:row r="399" ht="15" hidden="0" customHeight="1">
      <x:c r="A399" s="70"/>
      <x:c r="B399" s="70"/>
      <x:c r="C399" s="70"/>
      <x:c r="D399" s="70"/>
      <x:c r="E399" s="70"/>
      <x:c r="F399" s="70"/>
      <x:c r="G399" s="70"/>
      <x:c r="H399" s="70"/>
      <x:c r="I399" s="70"/>
    </x:row>
    <x:row r="400" ht="15" hidden="0" customHeight="1">
      <x:c r="A400" s="70"/>
      <x:c r="B400" s="70"/>
      <x:c r="C400" s="70"/>
      <x:c r="D400" s="70"/>
      <x:c r="E400" s="70"/>
      <x:c r="F400" s="70"/>
      <x:c r="G400" s="70"/>
      <x:c r="H400" s="70"/>
      <x:c r="I400" s="70"/>
    </x:row>
  </x:sheetData>
  <x:mergeCells>
    <x:mergeCell ref="A1:E1"/>
    <x:mergeCell ref="A2:E2"/>
  </x:mergeCells>
  <x:dataValidations count="1">
    <x:dataValidation type="list" sqref="C5:C24">
      <x:formula1>"PENDING_FOUNDER,APPROVE,APPROVE_WITH_CONDITIONS,REVISE,REJECT"</x:formula1>
    </x:dataValidation>
  </x:dataValidations>
  <x:pageMargins left="0.7" right="0.7" top="0.75" bottom="0.75" header="0.3" footer="0.3"/>
  <x:tableParts count="1">
    <x:tablePart xmlns:r="http://schemas.openxmlformats.org/officeDocument/2006/relationships" r:id="R4117cfc0e9694856"/>
  </x:tableParts>
</x:worksheet>
</file>

<file path=xl/worksheets/sheet5.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8" hidden="0" customWidth="1"/>
    <x:col min="2" max="2" width="28" hidden="0" customWidth="1"/>
    <x:col min="3" max="3" width="38" hidden="0" customWidth="1"/>
    <x:col min="4" max="4" width="12" hidden="0" customWidth="1"/>
    <x:col min="5" max="5" width="32" hidden="0" customWidth="1"/>
    <x:col min="6" max="6" width="60" hidden="0" customWidth="1"/>
    <x:col min="7" max="7" width="70" hidden="0" customWidth="1"/>
    <x:col min="8" max="8" width="42" hidden="0" customWidth="1"/>
  </x:cols>
  <x:sheetData>
    <x:row r="1" ht="34" customHeight="1">
      <x:c r="A1" s="3" t="str">
        <x:v>23 sản phẩm / dòng dịch vụ đề xuất</x:v>
      </x:c>
      <x:c r="B1" s="3"/>
      <x:c r="C1" s="3"/>
      <x:c r="D1" s="3"/>
      <x:c r="E1" s="3"/>
      <x:c r="F1" s="3"/>
      <x:c r="G1" s="3"/>
    </x:row>
    <x:row r="2" ht="33" customHeight="1">
      <x:c r="A2" s="7" t="str">
        <x:v>Miễn phí → cá nhân → chuyên gia → tổ chức → cấp phép. Price và launch status cần duyệt riêng.</x:v>
      </x:c>
      <x:c r="B2" s="7"/>
      <x:c r="C2" s="7"/>
      <x:c r="D2" s="7"/>
      <x:c r="E2" s="7"/>
      <x:c r="F2" s="7"/>
      <x:c r="G2" s="7"/>
    </x:row>
    <x:row r="4" ht="36" customHeight="1">
      <x:c r="A4" s="68" t="str">
        <x:v>ID</x:v>
      </x:c>
      <x:c r="B4" s="68" t="str">
        <x:v>Nhóm</x:v>
      </x:c>
      <x:c r="C4" s="68" t="str">
        <x:v>Tên</x:v>
      </x:c>
      <x:c r="D4" s="68" t="str">
        <x:v>Phase</x:v>
      </x:c>
      <x:c r="E4" s="68" t="str">
        <x:v>Trạng thái</x:v>
      </x:c>
      <x:c r="F4" s="68" t="str">
        <x:v>Đầu vào</x:v>
      </x:c>
      <x:c r="G4" s="68" t="str">
        <x:v>Đầu ra</x:v>
      </x:c>
      <x:c r="H4" s="68" t="str">
        <x:v>Giá</x:v>
      </x:c>
    </x:row>
    <x:row r="5" ht="36" hidden="0" customHeight="1">
      <x:c r="A5" s="56" t="str">
        <x:v>LC-L1</x:v>
      </x:c>
      <x:c r="B5" s="56" t="str">
        <x:v>personal_report</x:v>
      </x:c>
      <x:c r="C5" s="56" t="str">
        <x:v>Tín hiệu nền</x:v>
      </x:c>
      <x:c r="D5" s="56" t="str">
        <x:v>C</x:v>
      </x:c>
      <x:c r="E5" s="56" t="str">
        <x:v>PROPOSED_NOT_RELEASED</x:v>
      </x:c>
      <x:c r="F5" s="56" t="str">
        <x:v>Mục tiêu, tên/ngày sinh theo phương pháp chọn</x:v>
      </x:c>
      <x:c r="G5" s="56" t="str">
        <x:v>Kiểm tra nguồn, tính minh bạch, chủ đề tự quan sát</x:v>
      </x:c>
      <x:c r="H5" s="56" t="str">
        <x:v>Currency: CHƯA CHỐT
Amount: CHƯA CHỐT
PENDING_COMMERCIAL_APPROVAL</x:v>
      </x:c>
    </x:row>
    <x:row r="6" ht="36" hidden="0" customHeight="1">
      <x:c r="A6" s="56" t="str">
        <x:v>LC-L2</x:v>
      </x:c>
      <x:c r="B6" s="56" t="str">
        <x:v>personal_report</x:v>
      </x:c>
      <x:c r="C6" s="56" t="str">
        <x:v>Cấu trúc nội tâm</x:v>
      </x:c>
      <x:c r="D6" s="56" t="str">
        <x:v>E</x:v>
      </x:c>
      <x:c r="E6" s="56" t="str">
        <x:v>PROPOSED_NOT_RELEASED</x:v>
      </x:c>
      <x:c r="F6" s="56" t="str">
        <x:v>Vai trò, giá trị, áp lực, tình huống tự thuật</x:v>
      </x:c>
      <x:c r="G6" s="56" t="str">
        <x:v>Mâu thuẫn nhu cầu và lựa chọn được xác nhận</x:v>
      </x:c>
      <x:c r="H6" s="56" t="str">
        <x:v>Currency: CHƯA CHỐT
Amount: CHƯA CHỐT
PENDING_COMMERCIAL_APPROVAL</x:v>
      </x:c>
    </x:row>
    <x:row r="7" ht="36" hidden="0" customHeight="1">
      <x:c r="A7" s="56" t="str">
        <x:v>LC-L3</x:v>
      </x:c>
      <x:c r="B7" s="56" t="str">
        <x:v>personal_report</x:v>
      </x:c>
      <x:c r="C7" s="56" t="str">
        <x:v>Cách hành động</x:v>
      </x:c>
      <x:c r="D7" s="56" t="str">
        <x:v>E</x:v>
      </x:c>
      <x:c r="E7" s="56" t="str">
        <x:v>PROPOSED_NOT_RELEASED</x:v>
      </x:c>
      <x:c r="F7" s="56" t="str">
        <x:v>Nhật ký, bảng hỏi phù hợp, các lần thực hiện</x:v>
      </x:c>
      <x:c r="G7" s="56" t="str">
        <x:v>Mô thức trong bối cảnh, không chẩn đoán</x:v>
      </x:c>
      <x:c r="H7" s="56" t="str">
        <x:v>Currency: CHƯA CHỐT
Amount: CHƯA CHỐT
PENDING_COMMERCIAL_APPROVAL</x:v>
      </x:c>
    </x:row>
    <x:row r="8" ht="36" hidden="0" customHeight="1">
      <x:c r="A8" s="56" t="str">
        <x:v>LC-L4</x:v>
      </x:c>
      <x:c r="B8" s="56" t="str">
        <x:v>personal_report</x:v>
      </x:c>
      <x:c r="C8" s="56" t="str">
        <x:v>Công việc và nguồn lực</x:v>
      </x:c>
      <x:c r="D8" s="56" t="str">
        <x:v>E</x:v>
      </x:c>
      <x:c r="E8" s="56" t="str">
        <x:v>PROPOSED_NOT_RELEASED</x:v>
      </x:c>
      <x:c r="F8" s="56" t="str">
        <x:v>Nghề, kỹ năng, nguồn lực, thu–chi tự nguyện</x:v>
      </x:c>
      <x:c r="G8" s="56" t="str">
        <x:v>Phương án vai trò, nguồn lực, kịch bản</x:v>
      </x:c>
      <x:c r="H8" s="56" t="str">
        <x:v>Currency: CHƯA CHỐT
Amount: CHƯA CHỐT
PENDING_COMMERCIAL_APPROVAL</x:v>
      </x:c>
    </x:row>
    <x:row r="9" ht="36" hidden="0" customHeight="1">
      <x:c r="A9" s="56" t="str">
        <x:v>LC-L5</x:v>
      </x:c>
      <x:c r="B9" s="56" t="str">
        <x:v>personal_report</x:v>
      </x:c>
      <x:c r="C9" s="56" t="str">
        <x:v>Quan hệ và ranh giới</x:v>
      </x:c>
      <x:c r="D9" s="56" t="str">
        <x:v>E</x:v>
      </x:c>
      <x:c r="E9" s="56" t="str">
        <x:v>PROPOSED_NOT_RELEASED</x:v>
      </x:c>
      <x:c r="F9" s="56" t="str">
        <x:v>Nhu cầu, tự thuật và grant từng bên</x:v>
      </x:c>
      <x:c r="G9" s="56" t="str">
        <x:v>Bản đồ giao tiếp, trách nhiệm, khác biệt</x:v>
      </x:c>
      <x:c r="H9" s="56" t="str">
        <x:v>Currency: CHƯA CHỐT
Amount: CHƯA CHỐT
PENDING_COMMERCIAL_APPROVAL</x:v>
      </x:c>
    </x:row>
    <x:row r="10" ht="36" hidden="0" customHeight="1">
      <x:c r="A10" s="56" t="str">
        <x:v>LC-L6</x:v>
      </x:c>
      <x:c r="B10" s="56" t="str">
        <x:v>personal_report</x:v>
      </x:c>
      <x:c r="C10" s="56" t="str">
        <x:v>Dòng thời gian</x:v>
      </x:c>
      <x:c r="D10" s="56" t="str">
        <x:v>F</x:v>
      </x:c>
      <x:c r="E10" s="56" t="str">
        <x:v>PROPOSED_NOT_RELEASED</x:v>
      </x:c>
      <x:c r="F10" s="56" t="str">
        <x:v>Sự kiện có ngày/nguồn, giả thuyết, mục tiêu</x:v>
      </x:c>
      <x:c r="G10" s="56" t="str">
        <x:v>Lịch sử, chu kỳ biểu tượng, kế hoạch, dự báo tách biệt</x:v>
      </x:c>
      <x:c r="H10" s="56" t="str">
        <x:v>Currency: CHƯA CHỐT
Amount: CHƯA CHỐT
PENDING_COMMERCIAL_APPROVAL</x:v>
      </x:c>
    </x:row>
    <x:row r="11" ht="36" hidden="0" customHeight="1">
      <x:c r="A11" s="56" t="str">
        <x:v>LC-L7</x:v>
      </x:c>
      <x:c r="B11" s="56" t="str">
        <x:v>personal_report</x:v>
      </x:c>
      <x:c r="C11" s="56" t="str">
        <x:v>Cơ thể và môi trường</x:v>
      </x:c>
      <x:c r="D11" s="56" t="str">
        <x:v>F_REVIEW</x:v>
      </x:c>
      <x:c r="E11" s="56" t="str">
        <x:v>PROPOSED_NOT_RELEASED</x:v>
      </x:c>
      <x:c r="F11" s="56" t="str">
        <x:v>Ảnh/quan sát hợp lệ theo scope riêng</x:v>
      </x:c>
      <x:c r="G11" s="56" t="str">
        <x:v>Mô tả hình thức, nhật ký sinh hoạt, giới hạn</x:v>
      </x:c>
      <x:c r="H11" s="56" t="str">
        <x:v>Currency: CHƯA CHỐT
Amount: CHƯA CHỐT
PENDING_COMMERCIAL_APPROVAL</x:v>
      </x:c>
    </x:row>
    <x:row r="12" ht="36" hidden="0" customHeight="1">
      <x:c r="A12" s="56" t="str">
        <x:v>LC-L8</x:v>
      </x:c>
      <x:c r="B12" s="56" t="str">
        <x:v>personal_report</x:v>
      </x:c>
      <x:c r="C12" s="56" t="str">
        <x:v>Hướng sống và phụng sự</x:v>
      </x:c>
      <x:c r="D12" s="56" t="str">
        <x:v>F</x:v>
      </x:c>
      <x:c r="E12" s="56" t="str">
        <x:v>PROPOSED_NOT_RELEASED</x:v>
      </x:c>
      <x:c r="F12" s="56" t="str">
        <x:v>Giá trị, năng lực có minh chứng, lựa chọn</x:v>
      </x:c>
      <x:c r="G12" s="56" t="str">
        <x:v>Hướng sống tự chọn, không nhiệm vụ linh hồn bắt buộc</x:v>
      </x:c>
      <x:c r="H12" s="56" t="str">
        <x:v>Currency: CHƯA CHỐT
Amount: CHƯA CHỐT
PENDING_COMMERCIAL_APPROVAL</x:v>
      </x:c>
    </x:row>
    <x:row r="13" ht="36" hidden="0" customHeight="1">
      <x:c r="A13" s="56" t="str">
        <x:v>LC-L9</x:v>
      </x:c>
      <x:c r="B13" s="56" t="str">
        <x:v>personal_report</x:v>
      </x:c>
      <x:c r="C13" s="56" t="str">
        <x:v>Hồ sơ đời sống hợp nhất</x:v>
      </x:c>
      <x:c r="D13" s="56" t="str">
        <x:v>F</x:v>
      </x:c>
      <x:c r="E13" s="56" t="str">
        <x:v>PROPOSED_NOT_RELEASED</x:v>
      </x:c>
      <x:c r="F13" s="56" t="str">
        <x:v>Chỉ các module được phép và đủ dữ liệu cần thiết</x:v>
      </x:c>
      <x:c r="G13" s="56" t="str">
        <x:v>Sách không lặp, lineage, điều chưa biết, revisions</x:v>
      </x:c>
      <x:c r="H13" s="56" t="str">
        <x:v>Currency: CHƯA CHỐT
Amount: CHƯA CHỐT
PENDING_COMMERCIAL_APPROVAL</x:v>
      </x:c>
    </x:row>
    <x:row r="14" ht="36" hidden="0" customHeight="1">
      <x:c r="A14" s="56" t="str">
        <x:v>LC-GUEST</x:v>
      </x:c>
      <x:c r="B14" s="56" t="str">
        <x:v>free</x:v>
      </x:c>
      <x:c r="C14" s="56" t="str">
        <x:v>Công cụ không tài khoản</x:v>
      </x:c>
      <x:c r="D14" s="56" t="str">
        <x:v>C</x:v>
      </x:c>
      <x:c r="E14" s="56" t="str">
        <x:v>PROPOSED_NOT_RELEASED</x:v>
      </x:c>
      <x:c r="F14" s="56" t="str">
        <x:v>Theo mục đích và phương pháp; không thu thừa</x:v>
      </x:c>
      <x:c r="G14" s="56" t="str">
        <x:v>Công cụ deterministic tại thiết bị; không gửi tên/đuôi số vào analytics</x:v>
      </x:c>
      <x:c r="H14" s="56" t="str">
        <x:v>Currency: VND
Amount: 0
PROPOSED_FREE</x:v>
      </x:c>
    </x:row>
    <x:row r="15" ht="36" hidden="0" customHeight="1">
      <x:c r="A15" s="56" t="str">
        <x:v>LC-FREE</x:v>
      </x:c>
      <x:c r="B15" s="56" t="str">
        <x:v>free</x:v>
      </x:c>
      <x:c r="C15" s="56" t="str">
        <x:v>Hồ sơ căn bản miễn phí</x:v>
      </x:c>
      <x:c r="D15" s="56" t="str">
        <x:v>C</x:v>
      </x:c>
      <x:c r="E15" s="56" t="str">
        <x:v>PROPOSED_NOT_RELEASED</x:v>
      </x:c>
      <x:c r="F15" s="56" t="str">
        <x:v>Theo mục đích và phương pháp; không thu thừa</x:v>
      </x:c>
      <x:c r="G15" s="56" t="str">
        <x:v>Một subject tự quản, một mục tiêu, nhật ký, Snapshot và quyền dữ liệu</x:v>
      </x:c>
      <x:c r="H15" s="56" t="str">
        <x:v>Currency: VND
Amount: 0
PROPOSED_FREE</x:v>
      </x:c>
    </x:row>
    <x:row r="16" ht="36" hidden="0" customHeight="1">
      <x:c r="A16" s="56" t="str">
        <x:v>LC-COMPANION</x:v>
      </x:c>
      <x:c r="B16" s="56" t="str">
        <x:v>subscription</x:v>
      </x:c>
      <x:c r="C16" s="56" t="str">
        <x:v>AI đồng hành</x:v>
      </x:c>
      <x:c r="D16" s="56" t="str">
        <x:v>D</x:v>
      </x:c>
      <x:c r="E16" s="56" t="str">
        <x:v>PROPOSED_NOT_RELEASED</x:v>
      </x:c>
      <x:c r="F16" s="56" t="str">
        <x:v>Theo mục đích và phương pháp; không thu thừa</x:v>
      </x:c>
      <x:c r="G16" s="56" t="str">
        <x:v>Hỏi báo cáo, kế hoạch, nhắc việc được phép, review mục tiêu</x:v>
      </x:c>
      <x:c r="H16" s="56" t="str">
        <x:v>Currency: CHƯA CHỐT
Amount: CHƯA CHỐT
PENDING_COMMERCIAL_APPROVAL</x:v>
      </x:c>
    </x:row>
    <x:row r="17" ht="36" hidden="0" customHeight="1">
      <x:c r="A17" s="56" t="str">
        <x:v>LC-NUMBERS</x:v>
      </x:c>
      <x:c r="B17" s="56" t="str">
        <x:v>module</x:v>
      </x:c>
      <x:c r="C17" s="56" t="str">
        <x:v>Bộ số và tên</x:v>
      </x:c>
      <x:c r="D17" s="56" t="str">
        <x:v>C</x:v>
      </x:c>
      <x:c r="E17" s="56" t="str">
        <x:v>PROPOSED_NOT_RELEASED</x:v>
      </x:c>
      <x:c r="F17" s="56" t="str">
        <x:v>Theo mục đích và phương pháp; không thu thừa</x:v>
      </x:c>
      <x:c r="G17" s="56" t="str">
        <x:v>Thẻ kết quả từng phương pháp; so sánh cấu trúc</x:v>
      </x:c>
      <x:c r="H17" s="56" t="str">
        <x:v>Currency: CHƯA CHỐT
Amount: CHƯA CHỐT
PENDING_COMMERCIAL_APPROVAL</x:v>
      </x:c>
    </x:row>
    <x:row r="18" ht="36" hidden="0" customHeight="1">
      <x:c r="A18" s="56" t="str">
        <x:v>LC-EXPERT</x:v>
      </x:c>
      <x:c r="B18" s="56" t="str">
        <x:v>session</x:v>
      </x:c>
      <x:c r="C18" s="56" t="str">
        <x:v>Phiên chuyên gia</x:v>
      </x:c>
      <x:c r="D18" s="56" t="str">
        <x:v>D</x:v>
      </x:c>
      <x:c r="E18" s="56" t="str">
        <x:v>PROPOSED_NOT_RELEASED</x:v>
      </x:c>
      <x:c r="F18" s="56" t="str">
        <x:v>Theo mục đích và phương pháp; không thu thừa</x:v>
      </x:c>
      <x:c r="G18" s="56" t="str">
        <x:v>Thời lượng/scope/revision xác định; practitioner grant</x:v>
      </x:c>
      <x:c r="H18" s="56" t="str">
        <x:v>Currency: CHƯA CHỐT
Amount: CHƯA CHỐT
PENDING_COMMERCIAL_APPROVAL</x:v>
      </x:c>
    </x:row>
    <x:row r="19" ht="36" hidden="0" customHeight="1">
      <x:c r="A19" s="56" t="str">
        <x:v>LC-PRACTICE</x:v>
      </x:c>
      <x:c r="B19" s="56" t="str">
        <x:v>subscription</x:v>
      </x:c>
      <x:c r="C19" s="56" t="str">
        <x:v>Không gian chuyên gia</x:v>
      </x:c>
      <x:c r="D19" s="56" t="str">
        <x:v>E</x:v>
      </x:c>
      <x:c r="E19" s="56" t="str">
        <x:v>PROPOSED_NOT_RELEASED</x:v>
      </x:c>
      <x:c r="F19" s="56" t="str">
        <x:v>Theo mục đích và phương pháp; không thu thừa</x:v>
      </x:c>
      <x:c r="G19" s="56" t="str">
        <x:v>Case, lịch, ghi chú, review, report</x:v>
      </x:c>
      <x:c r="H19" s="56" t="str">
        <x:v>Currency: CHƯA CHỐT
Amount: CHƯA CHỐT
PENDING_COMMERCIAL_APPROVAL</x:v>
      </x:c>
    </x:row>
    <x:row r="20" ht="36" hidden="0" customHeight="1">
      <x:c r="A20" s="56" t="str">
        <x:v>LC-ACADEMY-FOUNDATION</x:v>
      </x:c>
      <x:c r="B20" s="56" t="str">
        <x:v>cohort</x:v>
      </x:c>
      <x:c r="C20" s="56" t="str">
        <x:v>Khóa nền HNH chín buổi</x:v>
      </x:c>
      <x:c r="D20" s="56" t="str">
        <x:v>E</x:v>
      </x:c>
      <x:c r="E20" s="56" t="str">
        <x:v>PROPOSED_NOT_RELEASED</x:v>
      </x:c>
      <x:c r="F20" s="56" t="str">
        <x:v>Theo mục đích và phương pháp; không thu thừa</x:v>
      </x:c>
      <x:c r="G20" s="56" t="str">
        <x:v>9×120 phút, bài tập và đánh giá</x:v>
      </x:c>
      <x:c r="H20" s="56" t="str">
        <x:v>Currency: CHƯA CHỐT
Amount: CHƯA CHỐT
PENDING_COMMERCIAL_APPROVAL</x:v>
      </x:c>
    </x:row>
    <x:row r="21" ht="36" hidden="0" customHeight="1">
      <x:c r="A21" s="56" t="str">
        <x:v>LC-ACADEMY-PRO</x:v>
      </x:c>
      <x:c r="B21" s="56" t="str">
        <x:v>cohort</x:v>
      </x:c>
      <x:c r="C21" s="56" t="str">
        <x:v>Đào tạo thực hành có giám sát</x:v>
      </x:c>
      <x:c r="D21" s="56" t="str">
        <x:v>F</x:v>
      </x:c>
      <x:c r="E21" s="56" t="str">
        <x:v>PROPOSED_NOT_RELEASED</x:v>
      </x:c>
      <x:c r="F21" s="56" t="str">
        <x:v>Theo mục đích và phương pháp; không thu thừa</x:v>
      </x:c>
      <x:c r="G21" s="56" t="str">
        <x:v>Supervised cases và ethics assessment</x:v>
      </x:c>
      <x:c r="H21" s="56" t="str">
        <x:v>Currency: CHƯA CHỐT
Amount: CHƯA CHỐT
PENDING_COMMERCIAL_APPROVAL</x:v>
      </x:c>
    </x:row>
    <x:row r="22" ht="36" hidden="0" customHeight="1">
      <x:c r="A22" s="56" t="str">
        <x:v>LC-ACADEMY-TRAINER</x:v>
      </x:c>
      <x:c r="B22" s="56" t="str">
        <x:v>license</x:v>
      </x:c>
      <x:c r="C22" s="56" t="str">
        <x:v>Đào tạo giảng viên</x:v>
      </x:c>
      <x:c r="D22" s="56" t="str">
        <x:v>F</x:v>
      </x:c>
      <x:c r="E22" s="56" t="str">
        <x:v>PROPOSED_NOT_RELEASED</x:v>
      </x:c>
      <x:c r="F22" s="56" t="str">
        <x:v>Theo mục đích và phương pháp; không thu thừa</x:v>
      </x:c>
      <x:c r="G22" s="56" t="str">
        <x:v>Học liệu/version, dạy thử, quality review</x:v>
      </x:c>
      <x:c r="H22" s="56" t="str">
        <x:v>Currency: CHƯA CHỐT
Amount: CHƯA CHỐT
PENDING_COMMERCIAL_APPROVAL</x:v>
      </x:c>
    </x:row>
    <x:row r="23" ht="36" hidden="0" customHeight="1">
      <x:c r="A23" s="56" t="str">
        <x:v>LC-FAMILY</x:v>
      </x:c>
      <x:c r="B23" s="56" t="str">
        <x:v>subscription</x:v>
      </x:c>
      <x:c r="C23" s="56" t="str">
        <x:v>Gia đình có quyền riêng</x:v>
      </x:c>
      <x:c r="D23" s="56" t="str">
        <x:v>E_F_REVIEW</x:v>
      </x:c>
      <x:c r="E23" s="56" t="str">
        <x:v>PROPOSED_NOT_RELEASED</x:v>
      </x:c>
      <x:c r="F23" s="56" t="str">
        <x:v>Theo mục đích và phương pháp; không thu thừa</x:v>
      </x:c>
      <x:c r="G23" s="56" t="str">
        <x:v>Mục tiêu chung, chia sẻ người lớn; minor flow chưa mở</x:v>
      </x:c>
      <x:c r="H23" s="56" t="str">
        <x:v>Currency: CHƯA CHỐT
Amount: CHƯA CHỐT
PENDING_COMMERCIAL_APPROVAL</x:v>
      </x:c>
    </x:row>
    <x:row r="24" ht="36" hidden="0" customHeight="1">
      <x:c r="A24" s="56" t="str">
        <x:v>LC-ORG</x:v>
      </x:c>
      <x:c r="B24" s="56" t="str">
        <x:v>license</x:v>
      </x:c>
      <x:c r="C24" s="56" t="str">
        <x:v>Tổ chức và doanh nghiệp</x:v>
      </x:c>
      <x:c r="D24" s="56" t="str">
        <x:v>F</x:v>
      </x:c>
      <x:c r="E24" s="56" t="str">
        <x:v>PROPOSED_NOT_RELEASED</x:v>
      </x:c>
      <x:c r="F24" s="56" t="str">
        <x:v>Theo mục đích và phương pháp; không thu thừa</x:v>
      </x:c>
      <x:c r="G24" s="56" t="str">
        <x:v>Vai trò, học tập, mục tiêu, projects, aggregates phù hợp</x:v>
      </x:c>
      <x:c r="H24" s="56" t="str">
        <x:v>Currency: CHƯA CHỐT
Amount: CHƯA CHỐT
PENDING_COMMERCIAL_APPROVAL</x:v>
      </x:c>
    </x:row>
    <x:row r="25" ht="36" hidden="0" customHeight="1">
      <x:c r="A25" s="56" t="str">
        <x:v>LC-API</x:v>
      </x:c>
      <x:c r="B25" s="56" t="str">
        <x:v>usage</x:v>
      </x:c>
      <x:c r="C25" s="56" t="str">
        <x:v>API cấp phép</x:v>
      </x:c>
      <x:c r="D25" s="56" t="str">
        <x:v>F</x:v>
      </x:c>
      <x:c r="E25" s="56" t="str">
        <x:v>PROPOSED_NOT_RELEASED</x:v>
      </x:c>
      <x:c r="F25" s="56" t="str">
        <x:v>Theo mục đích và phương pháp; không thu thừa</x:v>
      </x:c>
      <x:c r="G25" s="56" t="str">
        <x:v>Tenant/purpose scoped API, quota, method versions</x:v>
      </x:c>
      <x:c r="H25" s="56" t="str">
        <x:v>Currency: CHƯA CHỐT
Amount: CHƯA CHỐT
PENDING_COMMERCIAL_APPROVAL</x:v>
      </x:c>
    </x:row>
    <x:row r="26" ht="36" hidden="0" customHeight="1">
      <x:c r="A26" s="56" t="str">
        <x:v>LC-PUBLISH</x:v>
      </x:c>
      <x:c r="B26" s="56" t="str">
        <x:v>one_time</x:v>
      </x:c>
      <x:c r="C26" s="56" t="str">
        <x:v>Xuất bản và bộ sách</x:v>
      </x:c>
      <x:c r="D26" s="56" t="str">
        <x:v>D</x:v>
      </x:c>
      <x:c r="E26" s="56" t="str">
        <x:v>PROPOSED_NOT_RELEASED</x:v>
      </x:c>
      <x:c r="F26" s="56" t="str">
        <x:v>Theo mục đích và phương pháp; không thu thừa</x:v>
      </x:c>
      <x:c r="G26" s="56" t="str">
        <x:v>Snapshot và exports theo scope</x:v>
      </x:c>
      <x:c r="H26" s="56" t="str">
        <x:v>Currency: CHƯA CHỐT
Amount: CHƯA CHỐT
PENDING_COMMERCIAL_APPROVAL</x:v>
      </x:c>
    </x:row>
    <x:row r="27" ht="36" hidden="0" customHeight="1">
      <x:c r="A27" s="56" t="str">
        <x:v>LC-REGIONAL</x:v>
      </x:c>
      <x:c r="B27" s="56" t="str">
        <x:v>contract</x:v>
      </x:c>
      <x:c r="C27" s="56" t="str">
        <x:v>Cấp phép quốc gia/nhượng quyền</x:v>
      </x:c>
      <x:c r="D27" s="56" t="str">
        <x:v>F_LEGAL</x:v>
      </x:c>
      <x:c r="E27" s="56" t="str">
        <x:v>PROPOSED_NOT_RELEASED</x:v>
      </x:c>
      <x:c r="F27" s="56" t="str">
        <x:v>Theo mục đích và phương pháp; không thu thừa</x:v>
      </x:c>
      <x:c r="G27" s="56" t="str">
        <x:v>Brand/curriculum/software scope và continuity</x:v>
      </x:c>
      <x:c r="H27" s="56" t="str">
        <x:v>Currency: CHƯA CHỐT
Amount: CHƯA CHỐT
PENDING_COMMERCIAL_APPROVAL</x:v>
      </x:c>
    </x:row>
    <x:row r="28" ht="15" hidden="0" customHeight="1">
      <x:c r="A28" s="70"/>
      <x:c r="B28" s="70"/>
      <x:c r="C28" s="70"/>
      <x:c r="D28" s="70"/>
      <x:c r="E28" s="70"/>
      <x:c r="F28" s="70"/>
      <x:c r="G28" s="70"/>
      <x:c r="H28" s="70"/>
    </x:row>
    <x:row r="29" ht="15" hidden="0" customHeight="1">
      <x:c r="A29" s="70"/>
      <x:c r="B29" s="70"/>
      <x:c r="C29" s="70"/>
      <x:c r="D29" s="70"/>
      <x:c r="E29" s="70"/>
      <x:c r="F29" s="70"/>
      <x:c r="G29" s="70"/>
      <x:c r="H29" s="70"/>
    </x:row>
    <x:row r="30" ht="15" hidden="0" customHeight="1">
      <x:c r="A30" s="70"/>
      <x:c r="B30" s="70"/>
      <x:c r="C30" s="70"/>
      <x:c r="D30" s="70"/>
      <x:c r="E30" s="70"/>
      <x:c r="F30" s="70"/>
      <x:c r="G30" s="70"/>
      <x:c r="H30" s="70"/>
    </x:row>
    <x:row r="31" ht="15" hidden="0" customHeight="1">
      <x:c r="A31" s="70"/>
      <x:c r="B31" s="70"/>
      <x:c r="C31" s="70"/>
      <x:c r="D31" s="70"/>
      <x:c r="E31" s="70"/>
      <x:c r="F31" s="70"/>
      <x:c r="G31" s="70"/>
      <x:c r="H31" s="70"/>
    </x:row>
    <x:row r="32" ht="15" hidden="0" customHeight="1">
      <x:c r="A32" s="70"/>
      <x:c r="B32" s="70"/>
      <x:c r="C32" s="70"/>
      <x:c r="D32" s="70"/>
      <x:c r="E32" s="70"/>
      <x:c r="F32" s="70"/>
      <x:c r="G32" s="70"/>
      <x:c r="H32" s="70"/>
    </x:row>
    <x:row r="33" ht="15" hidden="0" customHeight="1">
      <x:c r="A33" s="70"/>
      <x:c r="B33" s="70"/>
      <x:c r="C33" s="70"/>
      <x:c r="D33" s="70"/>
      <x:c r="E33" s="70"/>
      <x:c r="F33" s="70"/>
      <x:c r="G33" s="70"/>
      <x:c r="H33" s="70"/>
    </x:row>
    <x:row r="34" ht="15" hidden="0" customHeight="1">
      <x:c r="A34" s="70"/>
      <x:c r="B34" s="70"/>
      <x:c r="C34" s="70"/>
      <x:c r="D34" s="70"/>
      <x:c r="E34" s="70"/>
      <x:c r="F34" s="70"/>
      <x:c r="G34" s="70"/>
      <x:c r="H34" s="70"/>
    </x:row>
    <x:row r="35" ht="15" hidden="0" customHeight="1">
      <x:c r="A35" s="70"/>
      <x:c r="B35" s="70"/>
      <x:c r="C35" s="70"/>
      <x:c r="D35" s="70"/>
      <x:c r="E35" s="70"/>
      <x:c r="F35" s="70"/>
      <x:c r="G35" s="70"/>
      <x:c r="H35" s="70"/>
    </x:row>
    <x:row r="36" ht="15" hidden="0" customHeight="1">
      <x:c r="A36" s="70"/>
      <x:c r="B36" s="70"/>
      <x:c r="C36" s="70"/>
      <x:c r="D36" s="70"/>
      <x:c r="E36" s="70"/>
      <x:c r="F36" s="70"/>
      <x:c r="G36" s="70"/>
      <x:c r="H36" s="70"/>
    </x:row>
    <x:row r="37" ht="15" hidden="0" customHeight="1">
      <x:c r="A37" s="70"/>
      <x:c r="B37" s="70"/>
      <x:c r="C37" s="70"/>
      <x:c r="D37" s="70"/>
      <x:c r="E37" s="70"/>
      <x:c r="F37" s="70"/>
      <x:c r="G37" s="70"/>
      <x:c r="H37" s="70"/>
    </x:row>
    <x:row r="38" ht="15" hidden="0" customHeight="1">
      <x:c r="A38" s="70"/>
      <x:c r="B38" s="70"/>
      <x:c r="C38" s="70"/>
      <x:c r="D38" s="70"/>
      <x:c r="E38" s="70"/>
      <x:c r="F38" s="70"/>
      <x:c r="G38" s="70"/>
      <x:c r="H38" s="70"/>
    </x:row>
    <x:row r="39" ht="15" hidden="0" customHeight="1">
      <x:c r="A39" s="70"/>
      <x:c r="B39" s="70"/>
      <x:c r="C39" s="70"/>
      <x:c r="D39" s="70"/>
      <x:c r="E39" s="70"/>
      <x:c r="F39" s="70"/>
      <x:c r="G39" s="70"/>
      <x:c r="H39" s="70"/>
    </x:row>
    <x:row r="40" ht="15" hidden="0" customHeight="1">
      <x:c r="A40" s="70"/>
      <x:c r="B40" s="70"/>
      <x:c r="C40" s="70"/>
      <x:c r="D40" s="70"/>
      <x:c r="E40" s="70"/>
      <x:c r="F40" s="70"/>
      <x:c r="G40" s="70"/>
      <x:c r="H40" s="70"/>
    </x:row>
    <x:row r="41" ht="15" hidden="0" customHeight="1">
      <x:c r="A41" s="70"/>
      <x:c r="B41" s="70"/>
      <x:c r="C41" s="70"/>
      <x:c r="D41" s="70"/>
      <x:c r="E41" s="70"/>
      <x:c r="F41" s="70"/>
      <x:c r="G41" s="70"/>
      <x:c r="H41" s="70"/>
    </x:row>
    <x:row r="42" ht="15" hidden="0" customHeight="1">
      <x:c r="A42" s="70"/>
      <x:c r="B42" s="70"/>
      <x:c r="C42" s="70"/>
      <x:c r="D42" s="70"/>
      <x:c r="E42" s="70"/>
      <x:c r="F42" s="70"/>
      <x:c r="G42" s="70"/>
      <x:c r="H42" s="70"/>
    </x:row>
    <x:row r="43" ht="15" hidden="0" customHeight="1">
      <x:c r="A43" s="70"/>
      <x:c r="B43" s="70"/>
      <x:c r="C43" s="70"/>
      <x:c r="D43" s="70"/>
      <x:c r="E43" s="70"/>
      <x:c r="F43" s="70"/>
      <x:c r="G43" s="70"/>
      <x:c r="H43" s="70"/>
    </x:row>
    <x:row r="44" ht="15" hidden="0" customHeight="1">
      <x:c r="A44" s="70"/>
      <x:c r="B44" s="70"/>
      <x:c r="C44" s="70"/>
      <x:c r="D44" s="70"/>
      <x:c r="E44" s="70"/>
      <x:c r="F44" s="70"/>
      <x:c r="G44" s="70"/>
      <x:c r="H44" s="70"/>
    </x:row>
    <x:row r="45" ht="15" hidden="0" customHeight="1">
      <x:c r="A45" s="70"/>
      <x:c r="B45" s="70"/>
      <x:c r="C45" s="70"/>
      <x:c r="D45" s="70"/>
      <x:c r="E45" s="70"/>
      <x:c r="F45" s="70"/>
      <x:c r="G45" s="70"/>
      <x:c r="H45" s="70"/>
    </x:row>
    <x:row r="46" ht="15" hidden="0" customHeight="1">
      <x:c r="A46" s="70"/>
      <x:c r="B46" s="70"/>
      <x:c r="C46" s="70"/>
      <x:c r="D46" s="70"/>
      <x:c r="E46" s="70"/>
      <x:c r="F46" s="70"/>
      <x:c r="G46" s="70"/>
      <x:c r="H46" s="70"/>
    </x:row>
    <x:row r="47" ht="15" hidden="0" customHeight="1">
      <x:c r="A47" s="70"/>
      <x:c r="B47" s="70"/>
      <x:c r="C47" s="70"/>
      <x:c r="D47" s="70"/>
      <x:c r="E47" s="70"/>
      <x:c r="F47" s="70"/>
      <x:c r="G47" s="70"/>
      <x:c r="H47" s="70"/>
    </x:row>
    <x:row r="48" ht="15" hidden="0" customHeight="1">
      <x:c r="A48" s="70"/>
      <x:c r="B48" s="70"/>
      <x:c r="C48" s="70"/>
      <x:c r="D48" s="70"/>
      <x:c r="E48" s="70"/>
      <x:c r="F48" s="70"/>
      <x:c r="G48" s="70"/>
      <x:c r="H48" s="70"/>
    </x:row>
    <x:row r="49" ht="15" hidden="0" customHeight="1">
      <x:c r="A49" s="70"/>
      <x:c r="B49" s="70"/>
      <x:c r="C49" s="70"/>
      <x:c r="D49" s="70"/>
      <x:c r="E49" s="70"/>
      <x:c r="F49" s="70"/>
      <x:c r="G49" s="70"/>
      <x:c r="H49" s="70"/>
    </x:row>
    <x:row r="50" ht="15" hidden="0" customHeight="1">
      <x:c r="A50" s="70"/>
      <x:c r="B50" s="70"/>
      <x:c r="C50" s="70"/>
      <x:c r="D50" s="70"/>
      <x:c r="E50" s="70"/>
      <x:c r="F50" s="70"/>
      <x:c r="G50" s="70"/>
      <x:c r="H50" s="70"/>
    </x:row>
    <x:row r="51" ht="15" hidden="0" customHeight="1">
      <x:c r="A51" s="70"/>
      <x:c r="B51" s="70"/>
      <x:c r="C51" s="70"/>
      <x:c r="D51" s="70"/>
      <x:c r="E51" s="70"/>
      <x:c r="F51" s="70"/>
      <x:c r="G51" s="70"/>
      <x:c r="H51" s="70"/>
    </x:row>
    <x:row r="52" ht="15" hidden="0" customHeight="1">
      <x:c r="A52" s="70"/>
      <x:c r="B52" s="70"/>
      <x:c r="C52" s="70"/>
      <x:c r="D52" s="70"/>
      <x:c r="E52" s="70"/>
      <x:c r="F52" s="70"/>
      <x:c r="G52" s="70"/>
      <x:c r="H52" s="70"/>
    </x:row>
    <x:row r="53" ht="15" hidden="0" customHeight="1">
      <x:c r="A53" s="70"/>
      <x:c r="B53" s="70"/>
      <x:c r="C53" s="70"/>
      <x:c r="D53" s="70"/>
      <x:c r="E53" s="70"/>
      <x:c r="F53" s="70"/>
      <x:c r="G53" s="70"/>
      <x:c r="H53" s="70"/>
    </x:row>
    <x:row r="54" ht="15" hidden="0" customHeight="1">
      <x:c r="A54" s="70"/>
      <x:c r="B54" s="70"/>
      <x:c r="C54" s="70"/>
      <x:c r="D54" s="70"/>
      <x:c r="E54" s="70"/>
      <x:c r="F54" s="70"/>
      <x:c r="G54" s="70"/>
      <x:c r="H54" s="70"/>
    </x:row>
    <x:row r="55" ht="15" hidden="0" customHeight="1">
      <x:c r="A55" s="70"/>
      <x:c r="B55" s="70"/>
      <x:c r="C55" s="70"/>
      <x:c r="D55" s="70"/>
      <x:c r="E55" s="70"/>
      <x:c r="F55" s="70"/>
      <x:c r="G55" s="70"/>
      <x:c r="H55" s="70"/>
    </x:row>
    <x:row r="56" ht="15" hidden="0" customHeight="1">
      <x:c r="A56" s="70"/>
      <x:c r="B56" s="70"/>
      <x:c r="C56" s="70"/>
      <x:c r="D56" s="70"/>
      <x:c r="E56" s="70"/>
      <x:c r="F56" s="70"/>
      <x:c r="G56" s="70"/>
      <x:c r="H56" s="70"/>
    </x:row>
    <x:row r="57" ht="15" hidden="0" customHeight="1">
      <x:c r="A57" s="70"/>
      <x:c r="B57" s="70"/>
      <x:c r="C57" s="70"/>
      <x:c r="D57" s="70"/>
      <x:c r="E57" s="70"/>
      <x:c r="F57" s="70"/>
      <x:c r="G57" s="70"/>
      <x:c r="H57" s="70"/>
    </x:row>
    <x:row r="58" ht="15" hidden="0" customHeight="1">
      <x:c r="A58" s="70"/>
      <x:c r="B58" s="70"/>
      <x:c r="C58" s="70"/>
      <x:c r="D58" s="70"/>
      <x:c r="E58" s="70"/>
      <x:c r="F58" s="70"/>
      <x:c r="G58" s="70"/>
      <x:c r="H58" s="70"/>
    </x:row>
    <x:row r="59" ht="15" hidden="0" customHeight="1">
      <x:c r="A59" s="70"/>
      <x:c r="B59" s="70"/>
      <x:c r="C59" s="70"/>
      <x:c r="D59" s="70"/>
      <x:c r="E59" s="70"/>
      <x:c r="F59" s="70"/>
      <x:c r="G59" s="70"/>
      <x:c r="H59" s="70"/>
    </x:row>
    <x:row r="60" ht="15" hidden="0" customHeight="1">
      <x:c r="A60" s="70"/>
      <x:c r="B60" s="70"/>
      <x:c r="C60" s="70"/>
      <x:c r="D60" s="70"/>
      <x:c r="E60" s="70"/>
      <x:c r="F60" s="70"/>
      <x:c r="G60" s="70"/>
      <x:c r="H60" s="70"/>
    </x:row>
    <x:row r="61" ht="15" hidden="0" customHeight="1">
      <x:c r="A61" s="70"/>
      <x:c r="B61" s="70"/>
      <x:c r="C61" s="70"/>
      <x:c r="D61" s="70"/>
      <x:c r="E61" s="70"/>
      <x:c r="F61" s="70"/>
      <x:c r="G61" s="70"/>
      <x:c r="H61" s="70"/>
    </x:row>
    <x:row r="62" ht="15" hidden="0" customHeight="1">
      <x:c r="A62" s="70"/>
      <x:c r="B62" s="70"/>
      <x:c r="C62" s="70"/>
      <x:c r="D62" s="70"/>
      <x:c r="E62" s="70"/>
      <x:c r="F62" s="70"/>
      <x:c r="G62" s="70"/>
      <x:c r="H62" s="70"/>
    </x:row>
    <x:row r="63" ht="15" hidden="0" customHeight="1">
      <x:c r="A63" s="70"/>
      <x:c r="B63" s="70"/>
      <x:c r="C63" s="70"/>
      <x:c r="D63" s="70"/>
      <x:c r="E63" s="70"/>
      <x:c r="F63" s="70"/>
      <x:c r="G63" s="70"/>
      <x:c r="H63" s="70"/>
    </x:row>
    <x:row r="64" ht="15" hidden="0" customHeight="1">
      <x:c r="A64" s="70"/>
      <x:c r="B64" s="70"/>
      <x:c r="C64" s="70"/>
      <x:c r="D64" s="70"/>
      <x:c r="E64" s="70"/>
      <x:c r="F64" s="70"/>
      <x:c r="G64" s="70"/>
      <x:c r="H64" s="70"/>
    </x:row>
    <x:row r="65" ht="15" hidden="0" customHeight="1">
      <x:c r="A65" s="70"/>
      <x:c r="B65" s="70"/>
      <x:c r="C65" s="70"/>
      <x:c r="D65" s="70"/>
      <x:c r="E65" s="70"/>
      <x:c r="F65" s="70"/>
      <x:c r="G65" s="70"/>
      <x:c r="H65" s="70"/>
    </x:row>
    <x:row r="66" ht="15" hidden="0" customHeight="1">
      <x:c r="A66" s="70"/>
      <x:c r="B66" s="70"/>
      <x:c r="C66" s="70"/>
      <x:c r="D66" s="70"/>
      <x:c r="E66" s="70"/>
      <x:c r="F66" s="70"/>
      <x:c r="G66" s="70"/>
      <x:c r="H66" s="70"/>
    </x:row>
    <x:row r="67" ht="15" hidden="0" customHeight="1">
      <x:c r="A67" s="70"/>
      <x:c r="B67" s="70"/>
      <x:c r="C67" s="70"/>
      <x:c r="D67" s="70"/>
      <x:c r="E67" s="70"/>
      <x:c r="F67" s="70"/>
      <x:c r="G67" s="70"/>
      <x:c r="H67" s="70"/>
    </x:row>
    <x:row r="68" ht="15" hidden="0" customHeight="1">
      <x:c r="A68" s="70"/>
      <x:c r="B68" s="70"/>
      <x:c r="C68" s="70"/>
      <x:c r="D68" s="70"/>
      <x:c r="E68" s="70"/>
      <x:c r="F68" s="70"/>
      <x:c r="G68" s="70"/>
      <x:c r="H68" s="70"/>
    </x:row>
    <x:row r="69" ht="15" hidden="0" customHeight="1">
      <x:c r="A69" s="70"/>
      <x:c r="B69" s="70"/>
      <x:c r="C69" s="70"/>
      <x:c r="D69" s="70"/>
      <x:c r="E69" s="70"/>
      <x:c r="F69" s="70"/>
      <x:c r="G69" s="70"/>
      <x:c r="H69" s="70"/>
    </x:row>
    <x:row r="70" ht="15" hidden="0" customHeight="1">
      <x:c r="A70" s="70"/>
      <x:c r="B70" s="70"/>
      <x:c r="C70" s="70"/>
      <x:c r="D70" s="70"/>
      <x:c r="E70" s="70"/>
      <x:c r="F70" s="70"/>
      <x:c r="G70" s="70"/>
      <x:c r="H70" s="70"/>
    </x:row>
    <x:row r="71" ht="15" hidden="0" customHeight="1">
      <x:c r="A71" s="70"/>
      <x:c r="B71" s="70"/>
      <x:c r="C71" s="70"/>
      <x:c r="D71" s="70"/>
      <x:c r="E71" s="70"/>
      <x:c r="F71" s="70"/>
      <x:c r="G71" s="70"/>
      <x:c r="H71" s="70"/>
    </x:row>
    <x:row r="72" ht="15" hidden="0" customHeight="1">
      <x:c r="A72" s="70"/>
      <x:c r="B72" s="70"/>
      <x:c r="C72" s="70"/>
      <x:c r="D72" s="70"/>
      <x:c r="E72" s="70"/>
      <x:c r="F72" s="70"/>
      <x:c r="G72" s="70"/>
      <x:c r="H72" s="70"/>
    </x:row>
    <x:row r="73" ht="15" hidden="0" customHeight="1">
      <x:c r="A73" s="70"/>
      <x:c r="B73" s="70"/>
      <x:c r="C73" s="70"/>
      <x:c r="D73" s="70"/>
      <x:c r="E73" s="70"/>
      <x:c r="F73" s="70"/>
      <x:c r="G73" s="70"/>
      <x:c r="H73" s="70"/>
    </x:row>
    <x:row r="74" ht="15" hidden="0" customHeight="1">
      <x:c r="A74" s="70"/>
      <x:c r="B74" s="70"/>
      <x:c r="C74" s="70"/>
      <x:c r="D74" s="70"/>
      <x:c r="E74" s="70"/>
      <x:c r="F74" s="70"/>
      <x:c r="G74" s="70"/>
      <x:c r="H74" s="70"/>
    </x:row>
    <x:row r="75" ht="15" hidden="0" customHeight="1">
      <x:c r="A75" s="70"/>
      <x:c r="B75" s="70"/>
      <x:c r="C75" s="70"/>
      <x:c r="D75" s="70"/>
      <x:c r="E75" s="70"/>
      <x:c r="F75" s="70"/>
      <x:c r="G75" s="70"/>
      <x:c r="H75" s="70"/>
    </x:row>
    <x:row r="76" ht="15" hidden="0" customHeight="1">
      <x:c r="A76" s="70"/>
      <x:c r="B76" s="70"/>
      <x:c r="C76" s="70"/>
      <x:c r="D76" s="70"/>
      <x:c r="E76" s="70"/>
      <x:c r="F76" s="70"/>
      <x:c r="G76" s="70"/>
      <x:c r="H76" s="70"/>
    </x:row>
    <x:row r="77" ht="15" hidden="0" customHeight="1">
      <x:c r="A77" s="70"/>
      <x:c r="B77" s="70"/>
      <x:c r="C77" s="70"/>
      <x:c r="D77" s="70"/>
      <x:c r="E77" s="70"/>
      <x:c r="F77" s="70"/>
      <x:c r="G77" s="70"/>
      <x:c r="H77" s="70"/>
    </x:row>
    <x:row r="78" ht="15" hidden="0" customHeight="1">
      <x:c r="A78" s="70"/>
      <x:c r="B78" s="70"/>
      <x:c r="C78" s="70"/>
      <x:c r="D78" s="70"/>
      <x:c r="E78" s="70"/>
      <x:c r="F78" s="70"/>
      <x:c r="G78" s="70"/>
      <x:c r="H78" s="70"/>
    </x:row>
    <x:row r="79" ht="15" hidden="0" customHeight="1">
      <x:c r="A79" s="70"/>
      <x:c r="B79" s="70"/>
      <x:c r="C79" s="70"/>
      <x:c r="D79" s="70"/>
      <x:c r="E79" s="70"/>
      <x:c r="F79" s="70"/>
      <x:c r="G79" s="70"/>
      <x:c r="H79" s="70"/>
    </x:row>
    <x:row r="80" ht="15" hidden="0" customHeight="1">
      <x:c r="A80" s="70"/>
      <x:c r="B80" s="70"/>
      <x:c r="C80" s="70"/>
      <x:c r="D80" s="70"/>
      <x:c r="E80" s="70"/>
      <x:c r="F80" s="70"/>
      <x:c r="G80" s="70"/>
      <x:c r="H80" s="70"/>
    </x:row>
    <x:row r="81" ht="15" hidden="0" customHeight="1">
      <x:c r="A81" s="70"/>
      <x:c r="B81" s="70"/>
      <x:c r="C81" s="70"/>
      <x:c r="D81" s="70"/>
      <x:c r="E81" s="70"/>
      <x:c r="F81" s="70"/>
      <x:c r="G81" s="70"/>
      <x:c r="H81" s="70"/>
    </x:row>
    <x:row r="82" ht="15" hidden="0" customHeight="1">
      <x:c r="A82" s="70"/>
      <x:c r="B82" s="70"/>
      <x:c r="C82" s="70"/>
      <x:c r="D82" s="70"/>
      <x:c r="E82" s="70"/>
      <x:c r="F82" s="70"/>
      <x:c r="G82" s="70"/>
      <x:c r="H82" s="70"/>
    </x:row>
    <x:row r="83" ht="15" hidden="0" customHeight="1">
      <x:c r="A83" s="70"/>
      <x:c r="B83" s="70"/>
      <x:c r="C83" s="70"/>
      <x:c r="D83" s="70"/>
      <x:c r="E83" s="70"/>
      <x:c r="F83" s="70"/>
      <x:c r="G83" s="70"/>
      <x:c r="H83" s="70"/>
    </x:row>
    <x:row r="84" ht="15" hidden="0" customHeight="1">
      <x:c r="A84" s="70"/>
      <x:c r="B84" s="70"/>
      <x:c r="C84" s="70"/>
      <x:c r="D84" s="70"/>
      <x:c r="E84" s="70"/>
      <x:c r="F84" s="70"/>
      <x:c r="G84" s="70"/>
      <x:c r="H84" s="70"/>
    </x:row>
    <x:row r="85" ht="15" hidden="0" customHeight="1">
      <x:c r="A85" s="70"/>
      <x:c r="B85" s="70"/>
      <x:c r="C85" s="70"/>
      <x:c r="D85" s="70"/>
      <x:c r="E85" s="70"/>
      <x:c r="F85" s="70"/>
      <x:c r="G85" s="70"/>
      <x:c r="H85" s="70"/>
    </x:row>
    <x:row r="86" ht="15" hidden="0" customHeight="1">
      <x:c r="A86" s="70"/>
      <x:c r="B86" s="70"/>
      <x:c r="C86" s="70"/>
      <x:c r="D86" s="70"/>
      <x:c r="E86" s="70"/>
      <x:c r="F86" s="70"/>
      <x:c r="G86" s="70"/>
      <x:c r="H86" s="70"/>
    </x:row>
    <x:row r="87" ht="15" hidden="0" customHeight="1">
      <x:c r="A87" s="70"/>
      <x:c r="B87" s="70"/>
      <x:c r="C87" s="70"/>
      <x:c r="D87" s="70"/>
      <x:c r="E87" s="70"/>
      <x:c r="F87" s="70"/>
      <x:c r="G87" s="70"/>
      <x:c r="H87" s="70"/>
    </x:row>
    <x:row r="88" ht="15" hidden="0" customHeight="1">
      <x:c r="A88" s="70"/>
      <x:c r="B88" s="70"/>
      <x:c r="C88" s="70"/>
      <x:c r="D88" s="70"/>
      <x:c r="E88" s="70"/>
      <x:c r="F88" s="70"/>
      <x:c r="G88" s="70"/>
      <x:c r="H88" s="70"/>
    </x:row>
    <x:row r="89" ht="15" hidden="0" customHeight="1">
      <x:c r="A89" s="70"/>
      <x:c r="B89" s="70"/>
      <x:c r="C89" s="70"/>
      <x:c r="D89" s="70"/>
      <x:c r="E89" s="70"/>
      <x:c r="F89" s="70"/>
      <x:c r="G89" s="70"/>
      <x:c r="H89" s="70"/>
    </x:row>
    <x:row r="90" ht="15" hidden="0" customHeight="1">
      <x:c r="A90" s="70"/>
      <x:c r="B90" s="70"/>
      <x:c r="C90" s="70"/>
      <x:c r="D90" s="70"/>
      <x:c r="E90" s="70"/>
      <x:c r="F90" s="70"/>
      <x:c r="G90" s="70"/>
      <x:c r="H90" s="70"/>
    </x:row>
    <x:row r="91" ht="15" hidden="0" customHeight="1">
      <x:c r="A91" s="70"/>
      <x:c r="B91" s="70"/>
      <x:c r="C91" s="70"/>
      <x:c r="D91" s="70"/>
      <x:c r="E91" s="70"/>
      <x:c r="F91" s="70"/>
      <x:c r="G91" s="70"/>
      <x:c r="H91" s="70"/>
    </x:row>
    <x:row r="92" ht="15" hidden="0" customHeight="1">
      <x:c r="A92" s="70"/>
      <x:c r="B92" s="70"/>
      <x:c r="C92" s="70"/>
      <x:c r="D92" s="70"/>
      <x:c r="E92" s="70"/>
      <x:c r="F92" s="70"/>
      <x:c r="G92" s="70"/>
      <x:c r="H92" s="70"/>
    </x:row>
    <x:row r="93" ht="15" hidden="0" customHeight="1">
      <x:c r="A93" s="70"/>
      <x:c r="B93" s="70"/>
      <x:c r="C93" s="70"/>
      <x:c r="D93" s="70"/>
      <x:c r="E93" s="70"/>
      <x:c r="F93" s="70"/>
      <x:c r="G93" s="70"/>
      <x:c r="H93" s="70"/>
    </x:row>
    <x:row r="94" ht="15" hidden="0" customHeight="1">
      <x:c r="A94" s="70"/>
      <x:c r="B94" s="70"/>
      <x:c r="C94" s="70"/>
      <x:c r="D94" s="70"/>
      <x:c r="E94" s="70"/>
      <x:c r="F94" s="70"/>
      <x:c r="G94" s="70"/>
      <x:c r="H94" s="70"/>
    </x:row>
    <x:row r="95" ht="15" hidden="0" customHeight="1">
      <x:c r="A95" s="70"/>
      <x:c r="B95" s="70"/>
      <x:c r="C95" s="70"/>
      <x:c r="D95" s="70"/>
      <x:c r="E95" s="70"/>
      <x:c r="F95" s="70"/>
      <x:c r="G95" s="70"/>
      <x:c r="H95" s="70"/>
    </x:row>
    <x:row r="96" ht="15" hidden="0" customHeight="1">
      <x:c r="A96" s="70"/>
      <x:c r="B96" s="70"/>
      <x:c r="C96" s="70"/>
      <x:c r="D96" s="70"/>
      <x:c r="E96" s="70"/>
      <x:c r="F96" s="70"/>
      <x:c r="G96" s="70"/>
      <x:c r="H96" s="70"/>
    </x:row>
    <x:row r="97" ht="15" hidden="0" customHeight="1">
      <x:c r="A97" s="70"/>
      <x:c r="B97" s="70"/>
      <x:c r="C97" s="70"/>
      <x:c r="D97" s="70"/>
      <x:c r="E97" s="70"/>
      <x:c r="F97" s="70"/>
      <x:c r="G97" s="70"/>
      <x:c r="H97" s="70"/>
    </x:row>
    <x:row r="98" ht="15" hidden="0" customHeight="1">
      <x:c r="A98" s="70"/>
      <x:c r="B98" s="70"/>
      <x:c r="C98" s="70"/>
      <x:c r="D98" s="70"/>
      <x:c r="E98" s="70"/>
      <x:c r="F98" s="70"/>
      <x:c r="G98" s="70"/>
      <x:c r="H98" s="70"/>
    </x:row>
    <x:row r="99" ht="15" hidden="0" customHeight="1">
      <x:c r="A99" s="70"/>
      <x:c r="B99" s="70"/>
      <x:c r="C99" s="70"/>
      <x:c r="D99" s="70"/>
      <x:c r="E99" s="70"/>
      <x:c r="F99" s="70"/>
      <x:c r="G99" s="70"/>
      <x:c r="H99" s="70"/>
    </x:row>
    <x:row r="100" ht="15" hidden="0" customHeight="1">
      <x:c r="A100" s="70"/>
      <x:c r="B100" s="70"/>
      <x:c r="C100" s="70"/>
      <x:c r="D100" s="70"/>
      <x:c r="E100" s="70"/>
      <x:c r="F100" s="70"/>
      <x:c r="G100" s="70"/>
      <x:c r="H100" s="70"/>
    </x:row>
    <x:row r="101" ht="15" hidden="0" customHeight="1">
      <x:c r="A101" s="70"/>
      <x:c r="B101" s="70"/>
      <x:c r="C101" s="70"/>
      <x:c r="D101" s="70"/>
      <x:c r="E101" s="70"/>
      <x:c r="F101" s="70"/>
      <x:c r="G101" s="70"/>
      <x:c r="H101" s="70"/>
    </x:row>
    <x:row r="102" ht="15" hidden="0" customHeight="1">
      <x:c r="A102" s="70"/>
      <x:c r="B102" s="70"/>
      <x:c r="C102" s="70"/>
      <x:c r="D102" s="70"/>
      <x:c r="E102" s="70"/>
      <x:c r="F102" s="70"/>
      <x:c r="G102" s="70"/>
      <x:c r="H102" s="70"/>
    </x:row>
    <x:row r="103" ht="15" hidden="0" customHeight="1">
      <x:c r="A103" s="70"/>
      <x:c r="B103" s="70"/>
      <x:c r="C103" s="70"/>
      <x:c r="D103" s="70"/>
      <x:c r="E103" s="70"/>
      <x:c r="F103" s="70"/>
      <x:c r="G103" s="70"/>
      <x:c r="H103" s="70"/>
    </x:row>
    <x:row r="104" ht="15" hidden="0" customHeight="1">
      <x:c r="A104" s="70"/>
      <x:c r="B104" s="70"/>
      <x:c r="C104" s="70"/>
      <x:c r="D104" s="70"/>
      <x:c r="E104" s="70"/>
      <x:c r="F104" s="70"/>
      <x:c r="G104" s="70"/>
      <x:c r="H104" s="70"/>
    </x:row>
    <x:row r="105" ht="15" hidden="0" customHeight="1">
      <x:c r="A105" s="70"/>
      <x:c r="B105" s="70"/>
      <x:c r="C105" s="70"/>
      <x:c r="D105" s="70"/>
      <x:c r="E105" s="70"/>
      <x:c r="F105" s="70"/>
      <x:c r="G105" s="70"/>
      <x:c r="H105" s="70"/>
    </x:row>
    <x:row r="106" ht="15" hidden="0" customHeight="1">
      <x:c r="A106" s="70"/>
      <x:c r="B106" s="70"/>
      <x:c r="C106" s="70"/>
      <x:c r="D106" s="70"/>
      <x:c r="E106" s="70"/>
      <x:c r="F106" s="70"/>
      <x:c r="G106" s="70"/>
      <x:c r="H106" s="70"/>
    </x:row>
    <x:row r="107" ht="15" hidden="0" customHeight="1">
      <x:c r="A107" s="70"/>
      <x:c r="B107" s="70"/>
      <x:c r="C107" s="70"/>
      <x:c r="D107" s="70"/>
      <x:c r="E107" s="70"/>
      <x:c r="F107" s="70"/>
      <x:c r="G107" s="70"/>
      <x:c r="H107" s="70"/>
    </x:row>
    <x:row r="108" ht="15" hidden="0" customHeight="1">
      <x:c r="A108" s="70"/>
      <x:c r="B108" s="70"/>
      <x:c r="C108" s="70"/>
      <x:c r="D108" s="70"/>
      <x:c r="E108" s="70"/>
      <x:c r="F108" s="70"/>
      <x:c r="G108" s="70"/>
      <x:c r="H108" s="70"/>
    </x:row>
    <x:row r="109" ht="15" hidden="0" customHeight="1">
      <x:c r="A109" s="70"/>
      <x:c r="B109" s="70"/>
      <x:c r="C109" s="70"/>
      <x:c r="D109" s="70"/>
      <x:c r="E109" s="70"/>
      <x:c r="F109" s="70"/>
      <x:c r="G109" s="70"/>
      <x:c r="H109" s="70"/>
    </x:row>
    <x:row r="110" ht="15" hidden="0" customHeight="1">
      <x:c r="A110" s="70"/>
      <x:c r="B110" s="70"/>
      <x:c r="C110" s="70"/>
      <x:c r="D110" s="70"/>
      <x:c r="E110" s="70"/>
      <x:c r="F110" s="70"/>
      <x:c r="G110" s="70"/>
      <x:c r="H110" s="70"/>
    </x:row>
    <x:row r="111" ht="15" hidden="0" customHeight="1">
      <x:c r="A111" s="70"/>
      <x:c r="B111" s="70"/>
      <x:c r="C111" s="70"/>
      <x:c r="D111" s="70"/>
      <x:c r="E111" s="70"/>
      <x:c r="F111" s="70"/>
      <x:c r="G111" s="70"/>
      <x:c r="H111" s="70"/>
    </x:row>
    <x:row r="112" ht="15" hidden="0" customHeight="1">
      <x:c r="A112" s="70"/>
      <x:c r="B112" s="70"/>
      <x:c r="C112" s="70"/>
      <x:c r="D112" s="70"/>
      <x:c r="E112" s="70"/>
      <x:c r="F112" s="70"/>
      <x:c r="G112" s="70"/>
      <x:c r="H112" s="70"/>
    </x:row>
    <x:row r="113" ht="15" hidden="0" customHeight="1">
      <x:c r="A113" s="70"/>
      <x:c r="B113" s="70"/>
      <x:c r="C113" s="70"/>
      <x:c r="D113" s="70"/>
      <x:c r="E113" s="70"/>
      <x:c r="F113" s="70"/>
      <x:c r="G113" s="70"/>
      <x:c r="H113" s="70"/>
    </x:row>
    <x:row r="114" ht="15" hidden="0" customHeight="1">
      <x:c r="A114" s="70"/>
      <x:c r="B114" s="70"/>
      <x:c r="C114" s="70"/>
      <x:c r="D114" s="70"/>
      <x:c r="E114" s="70"/>
      <x:c r="F114" s="70"/>
      <x:c r="G114" s="70"/>
      <x:c r="H114" s="70"/>
    </x:row>
    <x:row r="115" ht="15" hidden="0" customHeight="1">
      <x:c r="A115" s="70"/>
      <x:c r="B115" s="70"/>
      <x:c r="C115" s="70"/>
      <x:c r="D115" s="70"/>
      <x:c r="E115" s="70"/>
      <x:c r="F115" s="70"/>
      <x:c r="G115" s="70"/>
      <x:c r="H115" s="70"/>
    </x:row>
    <x:row r="116" ht="15" hidden="0" customHeight="1">
      <x:c r="A116" s="70"/>
      <x:c r="B116" s="70"/>
      <x:c r="C116" s="70"/>
      <x:c r="D116" s="70"/>
      <x:c r="E116" s="70"/>
      <x:c r="F116" s="70"/>
      <x:c r="G116" s="70"/>
      <x:c r="H116" s="70"/>
    </x:row>
    <x:row r="117" ht="15" hidden="0" customHeight="1">
      <x:c r="A117" s="70"/>
      <x:c r="B117" s="70"/>
      <x:c r="C117" s="70"/>
      <x:c r="D117" s="70"/>
      <x:c r="E117" s="70"/>
      <x:c r="F117" s="70"/>
      <x:c r="G117" s="70"/>
      <x:c r="H117" s="70"/>
    </x:row>
    <x:row r="118" ht="15" hidden="0" customHeight="1">
      <x:c r="A118" s="70"/>
      <x:c r="B118" s="70"/>
      <x:c r="C118" s="70"/>
      <x:c r="D118" s="70"/>
      <x:c r="E118" s="70"/>
      <x:c r="F118" s="70"/>
      <x:c r="G118" s="70"/>
      <x:c r="H118" s="70"/>
    </x:row>
    <x:row r="119" ht="15" hidden="0" customHeight="1">
      <x:c r="A119" s="70"/>
      <x:c r="B119" s="70"/>
      <x:c r="C119" s="70"/>
      <x:c r="D119" s="70"/>
      <x:c r="E119" s="70"/>
      <x:c r="F119" s="70"/>
      <x:c r="G119" s="70"/>
      <x:c r="H119" s="70"/>
    </x:row>
    <x:row r="120" ht="15" hidden="0" customHeight="1">
      <x:c r="A120" s="70"/>
      <x:c r="B120" s="70"/>
      <x:c r="C120" s="70"/>
      <x:c r="D120" s="70"/>
      <x:c r="E120" s="70"/>
      <x:c r="F120" s="70"/>
      <x:c r="G120" s="70"/>
      <x:c r="H120" s="70"/>
    </x:row>
    <x:row r="121" ht="15" hidden="0" customHeight="1">
      <x:c r="A121" s="70"/>
      <x:c r="B121" s="70"/>
      <x:c r="C121" s="70"/>
      <x:c r="D121" s="70"/>
      <x:c r="E121" s="70"/>
      <x:c r="F121" s="70"/>
      <x:c r="G121" s="70"/>
      <x:c r="H121" s="70"/>
    </x:row>
    <x:row r="122" ht="15" hidden="0" customHeight="1">
      <x:c r="A122" s="70"/>
      <x:c r="B122" s="70"/>
      <x:c r="C122" s="70"/>
      <x:c r="D122" s="70"/>
      <x:c r="E122" s="70"/>
      <x:c r="F122" s="70"/>
      <x:c r="G122" s="70"/>
      <x:c r="H122" s="70"/>
    </x:row>
    <x:row r="123" ht="15" hidden="0" customHeight="1">
      <x:c r="A123" s="70"/>
      <x:c r="B123" s="70"/>
      <x:c r="C123" s="70"/>
      <x:c r="D123" s="70"/>
      <x:c r="E123" s="70"/>
      <x:c r="F123" s="70"/>
      <x:c r="G123" s="70"/>
      <x:c r="H123" s="70"/>
    </x:row>
    <x:row r="124" ht="15" hidden="0" customHeight="1">
      <x:c r="A124" s="70"/>
      <x:c r="B124" s="70"/>
      <x:c r="C124" s="70"/>
      <x:c r="D124" s="70"/>
      <x:c r="E124" s="70"/>
      <x:c r="F124" s="70"/>
      <x:c r="G124" s="70"/>
      <x:c r="H124" s="70"/>
    </x:row>
    <x:row r="125" ht="15" hidden="0" customHeight="1">
      <x:c r="A125" s="70"/>
      <x:c r="B125" s="70"/>
      <x:c r="C125" s="70"/>
      <x:c r="D125" s="70"/>
      <x:c r="E125" s="70"/>
      <x:c r="F125" s="70"/>
      <x:c r="G125" s="70"/>
      <x:c r="H125" s="70"/>
    </x:row>
    <x:row r="126" ht="15" hidden="0" customHeight="1">
      <x:c r="A126" s="70"/>
      <x:c r="B126" s="70"/>
      <x:c r="C126" s="70"/>
      <x:c r="D126" s="70"/>
      <x:c r="E126" s="70"/>
      <x:c r="F126" s="70"/>
      <x:c r="G126" s="70"/>
      <x:c r="H126" s="70"/>
    </x:row>
    <x:row r="127" ht="15" hidden="0" customHeight="1">
      <x:c r="A127" s="70"/>
      <x:c r="B127" s="70"/>
      <x:c r="C127" s="70"/>
      <x:c r="D127" s="70"/>
      <x:c r="E127" s="70"/>
      <x:c r="F127" s="70"/>
      <x:c r="G127" s="70"/>
      <x:c r="H127" s="70"/>
    </x:row>
    <x:row r="128" ht="15" hidden="0" customHeight="1">
      <x:c r="A128" s="70"/>
      <x:c r="B128" s="70"/>
      <x:c r="C128" s="70"/>
      <x:c r="D128" s="70"/>
      <x:c r="E128" s="70"/>
      <x:c r="F128" s="70"/>
      <x:c r="G128" s="70"/>
      <x:c r="H128" s="70"/>
    </x:row>
    <x:row r="129" ht="15" hidden="0" customHeight="1">
      <x:c r="A129" s="70"/>
      <x:c r="B129" s="70"/>
      <x:c r="C129" s="70"/>
      <x:c r="D129" s="70"/>
      <x:c r="E129" s="70"/>
      <x:c r="F129" s="70"/>
      <x:c r="G129" s="70"/>
      <x:c r="H129" s="70"/>
    </x:row>
    <x:row r="130" ht="15" hidden="0" customHeight="1">
      <x:c r="A130" s="70"/>
      <x:c r="B130" s="70"/>
      <x:c r="C130" s="70"/>
      <x:c r="D130" s="70"/>
      <x:c r="E130" s="70"/>
      <x:c r="F130" s="70"/>
      <x:c r="G130" s="70"/>
      <x:c r="H130" s="70"/>
    </x:row>
    <x:row r="131" ht="15" hidden="0" customHeight="1">
      <x:c r="A131" s="70"/>
      <x:c r="B131" s="70"/>
      <x:c r="C131" s="70"/>
      <x:c r="D131" s="70"/>
      <x:c r="E131" s="70"/>
      <x:c r="F131" s="70"/>
      <x:c r="G131" s="70"/>
      <x:c r="H131" s="70"/>
    </x:row>
    <x:row r="132" ht="15" hidden="0" customHeight="1">
      <x:c r="A132" s="70"/>
      <x:c r="B132" s="70"/>
      <x:c r="C132" s="70"/>
      <x:c r="D132" s="70"/>
      <x:c r="E132" s="70"/>
      <x:c r="F132" s="70"/>
      <x:c r="G132" s="70"/>
      <x:c r="H132" s="70"/>
    </x:row>
    <x:row r="133" ht="15" hidden="0" customHeight="1">
      <x:c r="A133" s="70"/>
      <x:c r="B133" s="70"/>
      <x:c r="C133" s="70"/>
      <x:c r="D133" s="70"/>
      <x:c r="E133" s="70"/>
      <x:c r="F133" s="70"/>
      <x:c r="G133" s="70"/>
      <x:c r="H133" s="70"/>
    </x:row>
    <x:row r="134" ht="15" hidden="0" customHeight="1">
      <x:c r="A134" s="70"/>
      <x:c r="B134" s="70"/>
      <x:c r="C134" s="70"/>
      <x:c r="D134" s="70"/>
      <x:c r="E134" s="70"/>
      <x:c r="F134" s="70"/>
      <x:c r="G134" s="70"/>
      <x:c r="H134" s="70"/>
    </x:row>
    <x:row r="135" ht="15" hidden="0" customHeight="1">
      <x:c r="A135" s="70"/>
      <x:c r="B135" s="70"/>
      <x:c r="C135" s="70"/>
      <x:c r="D135" s="70"/>
      <x:c r="E135" s="70"/>
      <x:c r="F135" s="70"/>
      <x:c r="G135" s="70"/>
      <x:c r="H135" s="70"/>
    </x:row>
    <x:row r="136" ht="15" hidden="0" customHeight="1">
      <x:c r="A136" s="70"/>
      <x:c r="B136" s="70"/>
      <x:c r="C136" s="70"/>
      <x:c r="D136" s="70"/>
      <x:c r="E136" s="70"/>
      <x:c r="F136" s="70"/>
      <x:c r="G136" s="70"/>
      <x:c r="H136" s="70"/>
    </x:row>
    <x:row r="137" ht="15" hidden="0" customHeight="1">
      <x:c r="A137" s="70"/>
      <x:c r="B137" s="70"/>
      <x:c r="C137" s="70"/>
      <x:c r="D137" s="70"/>
      <x:c r="E137" s="70"/>
      <x:c r="F137" s="70"/>
      <x:c r="G137" s="70"/>
      <x:c r="H137" s="70"/>
    </x:row>
    <x:row r="138" ht="15" hidden="0" customHeight="1">
      <x:c r="A138" s="70"/>
      <x:c r="B138" s="70"/>
      <x:c r="C138" s="70"/>
      <x:c r="D138" s="70"/>
      <x:c r="E138" s="70"/>
      <x:c r="F138" s="70"/>
      <x:c r="G138" s="70"/>
      <x:c r="H138" s="70"/>
    </x:row>
    <x:row r="139" ht="15" hidden="0" customHeight="1">
      <x:c r="A139" s="70"/>
      <x:c r="B139" s="70"/>
      <x:c r="C139" s="70"/>
      <x:c r="D139" s="70"/>
      <x:c r="E139" s="70"/>
      <x:c r="F139" s="70"/>
      <x:c r="G139" s="70"/>
      <x:c r="H139" s="70"/>
    </x:row>
    <x:row r="140" ht="15" hidden="0" customHeight="1">
      <x:c r="A140" s="70"/>
      <x:c r="B140" s="70"/>
      <x:c r="C140" s="70"/>
      <x:c r="D140" s="70"/>
      <x:c r="E140" s="70"/>
      <x:c r="F140" s="70"/>
      <x:c r="G140" s="70"/>
      <x:c r="H140" s="70"/>
    </x:row>
    <x:row r="141" ht="15" hidden="0" customHeight="1">
      <x:c r="A141" s="70"/>
      <x:c r="B141" s="70"/>
      <x:c r="C141" s="70"/>
      <x:c r="D141" s="70"/>
      <x:c r="E141" s="70"/>
      <x:c r="F141" s="70"/>
      <x:c r="G141" s="70"/>
      <x:c r="H141" s="70"/>
    </x:row>
    <x:row r="142" ht="15" hidden="0" customHeight="1">
      <x:c r="A142" s="70"/>
      <x:c r="B142" s="70"/>
      <x:c r="C142" s="70"/>
      <x:c r="D142" s="70"/>
      <x:c r="E142" s="70"/>
      <x:c r="F142" s="70"/>
      <x:c r="G142" s="70"/>
      <x:c r="H142" s="70"/>
    </x:row>
    <x:row r="143" ht="15" hidden="0" customHeight="1">
      <x:c r="A143" s="70"/>
      <x:c r="B143" s="70"/>
      <x:c r="C143" s="70"/>
      <x:c r="D143" s="70"/>
      <x:c r="E143" s="70"/>
      <x:c r="F143" s="70"/>
      <x:c r="G143" s="70"/>
      <x:c r="H143" s="70"/>
    </x:row>
    <x:row r="144" ht="15" hidden="0" customHeight="1">
      <x:c r="A144" s="70"/>
      <x:c r="B144" s="70"/>
      <x:c r="C144" s="70"/>
      <x:c r="D144" s="70"/>
      <x:c r="E144" s="70"/>
      <x:c r="F144" s="70"/>
      <x:c r="G144" s="70"/>
      <x:c r="H144" s="70"/>
    </x:row>
    <x:row r="145" ht="15" hidden="0" customHeight="1">
      <x:c r="A145" s="70"/>
      <x:c r="B145" s="70"/>
      <x:c r="C145" s="70"/>
      <x:c r="D145" s="70"/>
      <x:c r="E145" s="70"/>
      <x:c r="F145" s="70"/>
      <x:c r="G145" s="70"/>
      <x:c r="H145" s="70"/>
    </x:row>
    <x:row r="146" ht="15" hidden="0" customHeight="1">
      <x:c r="A146" s="70"/>
      <x:c r="B146" s="70"/>
      <x:c r="C146" s="70"/>
      <x:c r="D146" s="70"/>
      <x:c r="E146" s="70"/>
      <x:c r="F146" s="70"/>
      <x:c r="G146" s="70"/>
      <x:c r="H146" s="70"/>
    </x:row>
    <x:row r="147" ht="15" hidden="0" customHeight="1">
      <x:c r="A147" s="70"/>
      <x:c r="B147" s="70"/>
      <x:c r="C147" s="70"/>
      <x:c r="D147" s="70"/>
      <x:c r="E147" s="70"/>
      <x:c r="F147" s="70"/>
      <x:c r="G147" s="70"/>
      <x:c r="H147" s="70"/>
    </x:row>
    <x:row r="148" ht="15" hidden="0" customHeight="1">
      <x:c r="A148" s="70"/>
      <x:c r="B148" s="70"/>
      <x:c r="C148" s="70"/>
      <x:c r="D148" s="70"/>
      <x:c r="E148" s="70"/>
      <x:c r="F148" s="70"/>
      <x:c r="G148" s="70"/>
      <x:c r="H148" s="70"/>
    </x:row>
    <x:row r="149" ht="15" hidden="0" customHeight="1">
      <x:c r="A149" s="70"/>
      <x:c r="B149" s="70"/>
      <x:c r="C149" s="70"/>
      <x:c r="D149" s="70"/>
      <x:c r="E149" s="70"/>
      <x:c r="F149" s="70"/>
      <x:c r="G149" s="70"/>
      <x:c r="H149" s="70"/>
    </x:row>
    <x:row r="150" ht="15" hidden="0" customHeight="1">
      <x:c r="A150" s="70"/>
      <x:c r="B150" s="70"/>
      <x:c r="C150" s="70"/>
      <x:c r="D150" s="70"/>
      <x:c r="E150" s="70"/>
      <x:c r="F150" s="70"/>
      <x:c r="G150" s="70"/>
      <x:c r="H150" s="70"/>
    </x:row>
    <x:row r="151" ht="15" hidden="0" customHeight="1">
      <x:c r="A151" s="70"/>
      <x:c r="B151" s="70"/>
      <x:c r="C151" s="70"/>
      <x:c r="D151" s="70"/>
      <x:c r="E151" s="70"/>
      <x:c r="F151" s="70"/>
      <x:c r="G151" s="70"/>
      <x:c r="H151" s="70"/>
    </x:row>
    <x:row r="152" ht="15" hidden="0" customHeight="1">
      <x:c r="A152" s="70"/>
      <x:c r="B152" s="70"/>
      <x:c r="C152" s="70"/>
      <x:c r="D152" s="70"/>
      <x:c r="E152" s="70"/>
      <x:c r="F152" s="70"/>
      <x:c r="G152" s="70"/>
      <x:c r="H152" s="70"/>
    </x:row>
    <x:row r="153" ht="15" hidden="0" customHeight="1">
      <x:c r="A153" s="70"/>
      <x:c r="B153" s="70"/>
      <x:c r="C153" s="70"/>
      <x:c r="D153" s="70"/>
      <x:c r="E153" s="70"/>
      <x:c r="F153" s="70"/>
      <x:c r="G153" s="70"/>
      <x:c r="H153" s="70"/>
    </x:row>
    <x:row r="154" ht="15" hidden="0" customHeight="1">
      <x:c r="A154" s="70"/>
      <x:c r="B154" s="70"/>
      <x:c r="C154" s="70"/>
      <x:c r="D154" s="70"/>
      <x:c r="E154" s="70"/>
      <x:c r="F154" s="70"/>
      <x:c r="G154" s="70"/>
      <x:c r="H154" s="70"/>
    </x:row>
    <x:row r="155" ht="15" hidden="0" customHeight="1">
      <x:c r="A155" s="70"/>
      <x:c r="B155" s="70"/>
      <x:c r="C155" s="70"/>
      <x:c r="D155" s="70"/>
      <x:c r="E155" s="70"/>
      <x:c r="F155" s="70"/>
      <x:c r="G155" s="70"/>
      <x:c r="H155" s="70"/>
    </x:row>
    <x:row r="156" ht="15" hidden="0" customHeight="1">
      <x:c r="A156" s="70"/>
      <x:c r="B156" s="70"/>
      <x:c r="C156" s="70"/>
      <x:c r="D156" s="70"/>
      <x:c r="E156" s="70"/>
      <x:c r="F156" s="70"/>
      <x:c r="G156" s="70"/>
      <x:c r="H156" s="70"/>
    </x:row>
    <x:row r="157" ht="15" hidden="0" customHeight="1">
      <x:c r="A157" s="70"/>
      <x:c r="B157" s="70"/>
      <x:c r="C157" s="70"/>
      <x:c r="D157" s="70"/>
      <x:c r="E157" s="70"/>
      <x:c r="F157" s="70"/>
      <x:c r="G157" s="70"/>
      <x:c r="H157" s="70"/>
    </x:row>
    <x:row r="158" ht="15" hidden="0" customHeight="1">
      <x:c r="A158" s="70"/>
      <x:c r="B158" s="70"/>
      <x:c r="C158" s="70"/>
      <x:c r="D158" s="70"/>
      <x:c r="E158" s="70"/>
      <x:c r="F158" s="70"/>
      <x:c r="G158" s="70"/>
      <x:c r="H158" s="70"/>
    </x:row>
    <x:row r="159" ht="15" hidden="0" customHeight="1">
      <x:c r="A159" s="70"/>
      <x:c r="B159" s="70"/>
      <x:c r="C159" s="70"/>
      <x:c r="D159" s="70"/>
      <x:c r="E159" s="70"/>
      <x:c r="F159" s="70"/>
      <x:c r="G159" s="70"/>
      <x:c r="H159" s="70"/>
    </x:row>
    <x:row r="160" ht="15" hidden="0" customHeight="1">
      <x:c r="A160" s="70"/>
      <x:c r="B160" s="70"/>
      <x:c r="C160" s="70"/>
      <x:c r="D160" s="70"/>
      <x:c r="E160" s="70"/>
      <x:c r="F160" s="70"/>
      <x:c r="G160" s="70"/>
      <x:c r="H160" s="70"/>
    </x:row>
    <x:row r="161" ht="15" hidden="0" customHeight="1">
      <x:c r="A161" s="70"/>
      <x:c r="B161" s="70"/>
      <x:c r="C161" s="70"/>
      <x:c r="D161" s="70"/>
      <x:c r="E161" s="70"/>
      <x:c r="F161" s="70"/>
      <x:c r="G161" s="70"/>
      <x:c r="H161" s="70"/>
    </x:row>
    <x:row r="162" ht="15" hidden="0" customHeight="1">
      <x:c r="A162" s="70"/>
      <x:c r="B162" s="70"/>
      <x:c r="C162" s="70"/>
      <x:c r="D162" s="70"/>
      <x:c r="E162" s="70"/>
      <x:c r="F162" s="70"/>
      <x:c r="G162" s="70"/>
      <x:c r="H162" s="70"/>
    </x:row>
    <x:row r="163" ht="15" hidden="0" customHeight="1">
      <x:c r="A163" s="70"/>
      <x:c r="B163" s="70"/>
      <x:c r="C163" s="70"/>
      <x:c r="D163" s="70"/>
      <x:c r="E163" s="70"/>
      <x:c r="F163" s="70"/>
      <x:c r="G163" s="70"/>
      <x:c r="H163" s="70"/>
    </x:row>
    <x:row r="164" ht="15" hidden="0" customHeight="1">
      <x:c r="A164" s="70"/>
      <x:c r="B164" s="70"/>
      <x:c r="C164" s="70"/>
      <x:c r="D164" s="70"/>
      <x:c r="E164" s="70"/>
      <x:c r="F164" s="70"/>
      <x:c r="G164" s="70"/>
      <x:c r="H164" s="70"/>
    </x:row>
    <x:row r="165" ht="15" hidden="0" customHeight="1">
      <x:c r="A165" s="70"/>
      <x:c r="B165" s="70"/>
      <x:c r="C165" s="70"/>
      <x:c r="D165" s="70"/>
      <x:c r="E165" s="70"/>
      <x:c r="F165" s="70"/>
      <x:c r="G165" s="70"/>
      <x:c r="H165" s="70"/>
    </x:row>
    <x:row r="166" ht="15" hidden="0" customHeight="1">
      <x:c r="A166" s="70"/>
      <x:c r="B166" s="70"/>
      <x:c r="C166" s="70"/>
      <x:c r="D166" s="70"/>
      <x:c r="E166" s="70"/>
      <x:c r="F166" s="70"/>
      <x:c r="G166" s="70"/>
      <x:c r="H166" s="70"/>
    </x:row>
    <x:row r="167" ht="15" hidden="0" customHeight="1">
      <x:c r="A167" s="70"/>
      <x:c r="B167" s="70"/>
      <x:c r="C167" s="70"/>
      <x:c r="D167" s="70"/>
      <x:c r="E167" s="70"/>
      <x:c r="F167" s="70"/>
      <x:c r="G167" s="70"/>
      <x:c r="H167" s="70"/>
    </x:row>
    <x:row r="168" ht="15" hidden="0" customHeight="1">
      <x:c r="A168" s="70"/>
      <x:c r="B168" s="70"/>
      <x:c r="C168" s="70"/>
      <x:c r="D168" s="70"/>
      <x:c r="E168" s="70"/>
      <x:c r="F168" s="70"/>
      <x:c r="G168" s="70"/>
      <x:c r="H168" s="70"/>
    </x:row>
    <x:row r="169" ht="15" hidden="0" customHeight="1">
      <x:c r="A169" s="70"/>
      <x:c r="B169" s="70"/>
      <x:c r="C169" s="70"/>
      <x:c r="D169" s="70"/>
      <x:c r="E169" s="70"/>
      <x:c r="F169" s="70"/>
      <x:c r="G169" s="70"/>
      <x:c r="H169" s="70"/>
    </x:row>
    <x:row r="170" ht="15" hidden="0" customHeight="1">
      <x:c r="A170" s="70"/>
      <x:c r="B170" s="70"/>
      <x:c r="C170" s="70"/>
      <x:c r="D170" s="70"/>
      <x:c r="E170" s="70"/>
      <x:c r="F170" s="70"/>
      <x:c r="G170" s="70"/>
      <x:c r="H170" s="70"/>
    </x:row>
    <x:row r="171" ht="15" hidden="0" customHeight="1">
      <x:c r="A171" s="70"/>
      <x:c r="B171" s="70"/>
      <x:c r="C171" s="70"/>
      <x:c r="D171" s="70"/>
      <x:c r="E171" s="70"/>
      <x:c r="F171" s="70"/>
      <x:c r="G171" s="70"/>
      <x:c r="H171" s="70"/>
    </x:row>
    <x:row r="172" ht="15" hidden="0" customHeight="1">
      <x:c r="A172" s="70"/>
      <x:c r="B172" s="70"/>
      <x:c r="C172" s="70"/>
      <x:c r="D172" s="70"/>
      <x:c r="E172" s="70"/>
      <x:c r="F172" s="70"/>
      <x:c r="G172" s="70"/>
      <x:c r="H172" s="70"/>
    </x:row>
    <x:row r="173" ht="15" hidden="0" customHeight="1">
      <x:c r="A173" s="70"/>
      <x:c r="B173" s="70"/>
      <x:c r="C173" s="70"/>
      <x:c r="D173" s="70"/>
      <x:c r="E173" s="70"/>
      <x:c r="F173" s="70"/>
      <x:c r="G173" s="70"/>
      <x:c r="H173" s="70"/>
    </x:row>
    <x:row r="174" ht="15" hidden="0" customHeight="1">
      <x:c r="A174" s="70"/>
      <x:c r="B174" s="70"/>
      <x:c r="C174" s="70"/>
      <x:c r="D174" s="70"/>
      <x:c r="E174" s="70"/>
      <x:c r="F174" s="70"/>
      <x:c r="G174" s="70"/>
      <x:c r="H174" s="70"/>
    </x:row>
    <x:row r="175" ht="15" hidden="0" customHeight="1">
      <x:c r="A175" s="70"/>
      <x:c r="B175" s="70"/>
      <x:c r="C175" s="70"/>
      <x:c r="D175" s="70"/>
      <x:c r="E175" s="70"/>
      <x:c r="F175" s="70"/>
      <x:c r="G175" s="70"/>
      <x:c r="H175" s="70"/>
    </x:row>
    <x:row r="176" ht="15" hidden="0" customHeight="1">
      <x:c r="A176" s="70"/>
      <x:c r="B176" s="70"/>
      <x:c r="C176" s="70"/>
      <x:c r="D176" s="70"/>
      <x:c r="E176" s="70"/>
      <x:c r="F176" s="70"/>
      <x:c r="G176" s="70"/>
      <x:c r="H176" s="70"/>
    </x:row>
    <x:row r="177" ht="15" hidden="0" customHeight="1">
      <x:c r="A177" s="70"/>
      <x:c r="B177" s="70"/>
      <x:c r="C177" s="70"/>
      <x:c r="D177" s="70"/>
      <x:c r="E177" s="70"/>
      <x:c r="F177" s="70"/>
      <x:c r="G177" s="70"/>
      <x:c r="H177" s="70"/>
    </x:row>
    <x:row r="178" ht="15" hidden="0" customHeight="1">
      <x:c r="A178" s="70"/>
      <x:c r="B178" s="70"/>
      <x:c r="C178" s="70"/>
      <x:c r="D178" s="70"/>
      <x:c r="E178" s="70"/>
      <x:c r="F178" s="70"/>
      <x:c r="G178" s="70"/>
      <x:c r="H178" s="70"/>
    </x:row>
    <x:row r="179" ht="15" hidden="0" customHeight="1">
      <x:c r="A179" s="70"/>
      <x:c r="B179" s="70"/>
      <x:c r="C179" s="70"/>
      <x:c r="D179" s="70"/>
      <x:c r="E179" s="70"/>
      <x:c r="F179" s="70"/>
      <x:c r="G179" s="70"/>
      <x:c r="H179" s="70"/>
    </x:row>
    <x:row r="180" ht="15" hidden="0" customHeight="1">
      <x:c r="A180" s="70"/>
      <x:c r="B180" s="70"/>
      <x:c r="C180" s="70"/>
      <x:c r="D180" s="70"/>
      <x:c r="E180" s="70"/>
      <x:c r="F180" s="70"/>
      <x:c r="G180" s="70"/>
      <x:c r="H180" s="70"/>
    </x:row>
    <x:row r="181" ht="15" hidden="0" customHeight="1">
      <x:c r="A181" s="70"/>
      <x:c r="B181" s="70"/>
      <x:c r="C181" s="70"/>
      <x:c r="D181" s="70"/>
      <x:c r="E181" s="70"/>
      <x:c r="F181" s="70"/>
      <x:c r="G181" s="70"/>
      <x:c r="H181" s="70"/>
    </x:row>
    <x:row r="182" ht="15" hidden="0" customHeight="1">
      <x:c r="A182" s="70"/>
      <x:c r="B182" s="70"/>
      <x:c r="C182" s="70"/>
      <x:c r="D182" s="70"/>
      <x:c r="E182" s="70"/>
      <x:c r="F182" s="70"/>
      <x:c r="G182" s="70"/>
      <x:c r="H182" s="70"/>
    </x:row>
    <x:row r="183" ht="15" hidden="0" customHeight="1">
      <x:c r="A183" s="70"/>
      <x:c r="B183" s="70"/>
      <x:c r="C183" s="70"/>
      <x:c r="D183" s="70"/>
      <x:c r="E183" s="70"/>
      <x:c r="F183" s="70"/>
      <x:c r="G183" s="70"/>
      <x:c r="H183" s="70"/>
    </x:row>
    <x:row r="184" ht="15" hidden="0" customHeight="1">
      <x:c r="A184" s="70"/>
      <x:c r="B184" s="70"/>
      <x:c r="C184" s="70"/>
      <x:c r="D184" s="70"/>
      <x:c r="E184" s="70"/>
      <x:c r="F184" s="70"/>
      <x:c r="G184" s="70"/>
      <x:c r="H184" s="70"/>
    </x:row>
    <x:row r="185" ht="15" hidden="0" customHeight="1">
      <x:c r="A185" s="70"/>
      <x:c r="B185" s="70"/>
      <x:c r="C185" s="70"/>
      <x:c r="D185" s="70"/>
      <x:c r="E185" s="70"/>
      <x:c r="F185" s="70"/>
      <x:c r="G185" s="70"/>
      <x:c r="H185" s="70"/>
    </x:row>
    <x:row r="186" ht="15" hidden="0" customHeight="1">
      <x:c r="A186" s="70"/>
      <x:c r="B186" s="70"/>
      <x:c r="C186" s="70"/>
      <x:c r="D186" s="70"/>
      <x:c r="E186" s="70"/>
      <x:c r="F186" s="70"/>
      <x:c r="G186" s="70"/>
      <x:c r="H186" s="70"/>
    </x:row>
    <x:row r="187" ht="15" hidden="0" customHeight="1">
      <x:c r="A187" s="70"/>
      <x:c r="B187" s="70"/>
      <x:c r="C187" s="70"/>
      <x:c r="D187" s="70"/>
      <x:c r="E187" s="70"/>
      <x:c r="F187" s="70"/>
      <x:c r="G187" s="70"/>
      <x:c r="H187" s="70"/>
    </x:row>
    <x:row r="188" ht="15" hidden="0" customHeight="1">
      <x:c r="A188" s="70"/>
      <x:c r="B188" s="70"/>
      <x:c r="C188" s="70"/>
      <x:c r="D188" s="70"/>
      <x:c r="E188" s="70"/>
      <x:c r="F188" s="70"/>
      <x:c r="G188" s="70"/>
      <x:c r="H188" s="70"/>
    </x:row>
    <x:row r="189" ht="15" hidden="0" customHeight="1">
      <x:c r="A189" s="70"/>
      <x:c r="B189" s="70"/>
      <x:c r="C189" s="70"/>
      <x:c r="D189" s="70"/>
      <x:c r="E189" s="70"/>
      <x:c r="F189" s="70"/>
      <x:c r="G189" s="70"/>
      <x:c r="H189" s="70"/>
    </x:row>
    <x:row r="190" ht="15" hidden="0" customHeight="1">
      <x:c r="A190" s="70"/>
      <x:c r="B190" s="70"/>
      <x:c r="C190" s="70"/>
      <x:c r="D190" s="70"/>
      <x:c r="E190" s="70"/>
      <x:c r="F190" s="70"/>
      <x:c r="G190" s="70"/>
      <x:c r="H190" s="70"/>
    </x:row>
    <x:row r="191" ht="15" hidden="0" customHeight="1">
      <x:c r="A191" s="70"/>
      <x:c r="B191" s="70"/>
      <x:c r="C191" s="70"/>
      <x:c r="D191" s="70"/>
      <x:c r="E191" s="70"/>
      <x:c r="F191" s="70"/>
      <x:c r="G191" s="70"/>
      <x:c r="H191" s="70"/>
    </x:row>
    <x:row r="192" ht="15" hidden="0" customHeight="1">
      <x:c r="A192" s="70"/>
      <x:c r="B192" s="70"/>
      <x:c r="C192" s="70"/>
      <x:c r="D192" s="70"/>
      <x:c r="E192" s="70"/>
      <x:c r="F192" s="70"/>
      <x:c r="G192" s="70"/>
      <x:c r="H192" s="70"/>
    </x:row>
    <x:row r="193" ht="15" hidden="0" customHeight="1">
      <x:c r="A193" s="70"/>
      <x:c r="B193" s="70"/>
      <x:c r="C193" s="70"/>
      <x:c r="D193" s="70"/>
      <x:c r="E193" s="70"/>
      <x:c r="F193" s="70"/>
      <x:c r="G193" s="70"/>
      <x:c r="H193" s="70"/>
    </x:row>
    <x:row r="194" ht="15" hidden="0" customHeight="1">
      <x:c r="A194" s="70"/>
      <x:c r="B194" s="70"/>
      <x:c r="C194" s="70"/>
      <x:c r="D194" s="70"/>
      <x:c r="E194" s="70"/>
      <x:c r="F194" s="70"/>
      <x:c r="G194" s="70"/>
      <x:c r="H194" s="70"/>
    </x:row>
    <x:row r="195" ht="15" hidden="0" customHeight="1">
      <x:c r="A195" s="70"/>
      <x:c r="B195" s="70"/>
      <x:c r="C195" s="70"/>
      <x:c r="D195" s="70"/>
      <x:c r="E195" s="70"/>
      <x:c r="F195" s="70"/>
      <x:c r="G195" s="70"/>
      <x:c r="H195" s="70"/>
    </x:row>
    <x:row r="196" ht="15" hidden="0" customHeight="1">
      <x:c r="A196" s="70"/>
      <x:c r="B196" s="70"/>
      <x:c r="C196" s="70"/>
      <x:c r="D196" s="70"/>
      <x:c r="E196" s="70"/>
      <x:c r="F196" s="70"/>
      <x:c r="G196" s="70"/>
      <x:c r="H196" s="70"/>
    </x:row>
    <x:row r="197" ht="15" hidden="0" customHeight="1">
      <x:c r="A197" s="70"/>
      <x:c r="B197" s="70"/>
      <x:c r="C197" s="70"/>
      <x:c r="D197" s="70"/>
      <x:c r="E197" s="70"/>
      <x:c r="F197" s="70"/>
      <x:c r="G197" s="70"/>
      <x:c r="H197" s="70"/>
    </x:row>
    <x:row r="198" ht="15" hidden="0" customHeight="1">
      <x:c r="A198" s="70"/>
      <x:c r="B198" s="70"/>
      <x:c r="C198" s="70"/>
      <x:c r="D198" s="70"/>
      <x:c r="E198" s="70"/>
      <x:c r="F198" s="70"/>
      <x:c r="G198" s="70"/>
      <x:c r="H198" s="70"/>
    </x:row>
    <x:row r="199" ht="15" hidden="0" customHeight="1">
      <x:c r="A199" s="70"/>
      <x:c r="B199" s="70"/>
      <x:c r="C199" s="70"/>
      <x:c r="D199" s="70"/>
      <x:c r="E199" s="70"/>
      <x:c r="F199" s="70"/>
      <x:c r="G199" s="70"/>
      <x:c r="H199" s="70"/>
    </x:row>
    <x:row r="200" ht="15" hidden="0" customHeight="1">
      <x:c r="A200" s="70"/>
      <x:c r="B200" s="70"/>
      <x:c r="C200" s="70"/>
      <x:c r="D200" s="70"/>
      <x:c r="E200" s="70"/>
      <x:c r="F200" s="70"/>
      <x:c r="G200" s="70"/>
      <x:c r="H200" s="70"/>
    </x:row>
    <x:row r="201" ht="15" hidden="0" customHeight="1">
      <x:c r="A201" s="70"/>
      <x:c r="B201" s="70"/>
      <x:c r="C201" s="70"/>
      <x:c r="D201" s="70"/>
      <x:c r="E201" s="70"/>
      <x:c r="F201" s="70"/>
      <x:c r="G201" s="70"/>
      <x:c r="H201" s="70"/>
    </x:row>
    <x:row r="202" ht="15" hidden="0" customHeight="1">
      <x:c r="A202" s="70"/>
      <x:c r="B202" s="70"/>
      <x:c r="C202" s="70"/>
      <x:c r="D202" s="70"/>
      <x:c r="E202" s="70"/>
      <x:c r="F202" s="70"/>
      <x:c r="G202" s="70"/>
      <x:c r="H202" s="70"/>
    </x:row>
    <x:row r="203" ht="15" hidden="0" customHeight="1">
      <x:c r="A203" s="70"/>
      <x:c r="B203" s="70"/>
      <x:c r="C203" s="70"/>
      <x:c r="D203" s="70"/>
      <x:c r="E203" s="70"/>
      <x:c r="F203" s="70"/>
      <x:c r="G203" s="70"/>
      <x:c r="H203" s="70"/>
    </x:row>
    <x:row r="204" ht="15" hidden="0" customHeight="1">
      <x:c r="A204" s="70"/>
      <x:c r="B204" s="70"/>
      <x:c r="C204" s="70"/>
      <x:c r="D204" s="70"/>
      <x:c r="E204" s="70"/>
      <x:c r="F204" s="70"/>
      <x:c r="G204" s="70"/>
      <x:c r="H204" s="70"/>
    </x:row>
    <x:row r="205" ht="15" hidden="0" customHeight="1">
      <x:c r="A205" s="70"/>
      <x:c r="B205" s="70"/>
      <x:c r="C205" s="70"/>
      <x:c r="D205" s="70"/>
      <x:c r="E205" s="70"/>
      <x:c r="F205" s="70"/>
      <x:c r="G205" s="70"/>
      <x:c r="H205" s="70"/>
    </x:row>
    <x:row r="206" ht="15" hidden="0" customHeight="1">
      <x:c r="A206" s="70"/>
      <x:c r="B206" s="70"/>
      <x:c r="C206" s="70"/>
      <x:c r="D206" s="70"/>
      <x:c r="E206" s="70"/>
      <x:c r="F206" s="70"/>
      <x:c r="G206" s="70"/>
      <x:c r="H206" s="70"/>
    </x:row>
    <x:row r="207" ht="15" hidden="0" customHeight="1">
      <x:c r="A207" s="70"/>
      <x:c r="B207" s="70"/>
      <x:c r="C207" s="70"/>
      <x:c r="D207" s="70"/>
      <x:c r="E207" s="70"/>
      <x:c r="F207" s="70"/>
      <x:c r="G207" s="70"/>
      <x:c r="H207" s="70"/>
    </x:row>
    <x:row r="208" ht="15" hidden="0" customHeight="1">
      <x:c r="A208" s="70"/>
      <x:c r="B208" s="70"/>
      <x:c r="C208" s="70"/>
      <x:c r="D208" s="70"/>
      <x:c r="E208" s="70"/>
      <x:c r="F208" s="70"/>
      <x:c r="G208" s="70"/>
      <x:c r="H208" s="70"/>
    </x:row>
    <x:row r="209" ht="15" hidden="0" customHeight="1">
      <x:c r="A209" s="70"/>
      <x:c r="B209" s="70"/>
      <x:c r="C209" s="70"/>
      <x:c r="D209" s="70"/>
      <x:c r="E209" s="70"/>
      <x:c r="F209" s="70"/>
      <x:c r="G209" s="70"/>
      <x:c r="H209" s="70"/>
    </x:row>
    <x:row r="210" ht="15" hidden="0" customHeight="1">
      <x:c r="A210" s="70"/>
      <x:c r="B210" s="70"/>
      <x:c r="C210" s="70"/>
      <x:c r="D210" s="70"/>
      <x:c r="E210" s="70"/>
      <x:c r="F210" s="70"/>
      <x:c r="G210" s="70"/>
      <x:c r="H210" s="70"/>
    </x:row>
    <x:row r="211" ht="15" hidden="0" customHeight="1">
      <x:c r="A211" s="70"/>
      <x:c r="B211" s="70"/>
      <x:c r="C211" s="70"/>
      <x:c r="D211" s="70"/>
      <x:c r="E211" s="70"/>
      <x:c r="F211" s="70"/>
      <x:c r="G211" s="70"/>
      <x:c r="H211" s="70"/>
    </x:row>
    <x:row r="212" ht="15" hidden="0" customHeight="1">
      <x:c r="A212" s="70"/>
      <x:c r="B212" s="70"/>
      <x:c r="C212" s="70"/>
      <x:c r="D212" s="70"/>
      <x:c r="E212" s="70"/>
      <x:c r="F212" s="70"/>
      <x:c r="G212" s="70"/>
      <x:c r="H212" s="70"/>
    </x:row>
    <x:row r="213" ht="15" hidden="0" customHeight="1">
      <x:c r="A213" s="70"/>
      <x:c r="B213" s="70"/>
      <x:c r="C213" s="70"/>
      <x:c r="D213" s="70"/>
      <x:c r="E213" s="70"/>
      <x:c r="F213" s="70"/>
      <x:c r="G213" s="70"/>
      <x:c r="H213" s="70"/>
    </x:row>
    <x:row r="214" ht="15" hidden="0" customHeight="1">
      <x:c r="A214" s="70"/>
      <x:c r="B214" s="70"/>
      <x:c r="C214" s="70"/>
      <x:c r="D214" s="70"/>
      <x:c r="E214" s="70"/>
      <x:c r="F214" s="70"/>
      <x:c r="G214" s="70"/>
      <x:c r="H214" s="70"/>
    </x:row>
    <x:row r="215" ht="15" hidden="0" customHeight="1">
      <x:c r="A215" s="70"/>
      <x:c r="B215" s="70"/>
      <x:c r="C215" s="70"/>
      <x:c r="D215" s="70"/>
      <x:c r="E215" s="70"/>
      <x:c r="F215" s="70"/>
      <x:c r="G215" s="70"/>
      <x:c r="H215" s="70"/>
    </x:row>
    <x:row r="216" ht="15" hidden="0" customHeight="1">
      <x:c r="A216" s="70"/>
      <x:c r="B216" s="70"/>
      <x:c r="C216" s="70"/>
      <x:c r="D216" s="70"/>
      <x:c r="E216" s="70"/>
      <x:c r="F216" s="70"/>
      <x:c r="G216" s="70"/>
      <x:c r="H216" s="70"/>
    </x:row>
    <x:row r="217" ht="15" hidden="0" customHeight="1">
      <x:c r="A217" s="70"/>
      <x:c r="B217" s="70"/>
      <x:c r="C217" s="70"/>
      <x:c r="D217" s="70"/>
      <x:c r="E217" s="70"/>
      <x:c r="F217" s="70"/>
      <x:c r="G217" s="70"/>
      <x:c r="H217" s="70"/>
    </x:row>
    <x:row r="218" ht="15" hidden="0" customHeight="1">
      <x:c r="A218" s="70"/>
      <x:c r="B218" s="70"/>
      <x:c r="C218" s="70"/>
      <x:c r="D218" s="70"/>
      <x:c r="E218" s="70"/>
      <x:c r="F218" s="70"/>
      <x:c r="G218" s="70"/>
      <x:c r="H218" s="70"/>
    </x:row>
    <x:row r="219" ht="15" hidden="0" customHeight="1">
      <x:c r="A219" s="70"/>
      <x:c r="B219" s="70"/>
      <x:c r="C219" s="70"/>
      <x:c r="D219" s="70"/>
      <x:c r="E219" s="70"/>
      <x:c r="F219" s="70"/>
      <x:c r="G219" s="70"/>
      <x:c r="H219" s="70"/>
    </x:row>
    <x:row r="220" ht="15" hidden="0" customHeight="1">
      <x:c r="A220" s="70"/>
      <x:c r="B220" s="70"/>
      <x:c r="C220" s="70"/>
      <x:c r="D220" s="70"/>
      <x:c r="E220" s="70"/>
      <x:c r="F220" s="70"/>
      <x:c r="G220" s="70"/>
      <x:c r="H220" s="70"/>
    </x:row>
    <x:row r="221" ht="15" hidden="0" customHeight="1">
      <x:c r="A221" s="70"/>
      <x:c r="B221" s="70"/>
      <x:c r="C221" s="70"/>
      <x:c r="D221" s="70"/>
      <x:c r="E221" s="70"/>
      <x:c r="F221" s="70"/>
      <x:c r="G221" s="70"/>
      <x:c r="H221" s="70"/>
    </x:row>
    <x:row r="222" ht="15" hidden="0" customHeight="1">
      <x:c r="A222" s="70"/>
      <x:c r="B222" s="70"/>
      <x:c r="C222" s="70"/>
      <x:c r="D222" s="70"/>
      <x:c r="E222" s="70"/>
      <x:c r="F222" s="70"/>
      <x:c r="G222" s="70"/>
      <x:c r="H222" s="70"/>
    </x:row>
    <x:row r="223" ht="15" hidden="0" customHeight="1">
      <x:c r="A223" s="70"/>
      <x:c r="B223" s="70"/>
      <x:c r="C223" s="70"/>
      <x:c r="D223" s="70"/>
      <x:c r="E223" s="70"/>
      <x:c r="F223" s="70"/>
      <x:c r="G223" s="70"/>
      <x:c r="H223" s="70"/>
    </x:row>
    <x:row r="224" ht="15" hidden="0" customHeight="1">
      <x:c r="A224" s="70"/>
      <x:c r="B224" s="70"/>
      <x:c r="C224" s="70"/>
      <x:c r="D224" s="70"/>
      <x:c r="E224" s="70"/>
      <x:c r="F224" s="70"/>
      <x:c r="G224" s="70"/>
      <x:c r="H224" s="70"/>
    </x:row>
    <x:row r="225" ht="15" hidden="0" customHeight="1">
      <x:c r="A225" s="70"/>
      <x:c r="B225" s="70"/>
      <x:c r="C225" s="70"/>
      <x:c r="D225" s="70"/>
      <x:c r="E225" s="70"/>
      <x:c r="F225" s="70"/>
      <x:c r="G225" s="70"/>
      <x:c r="H225" s="70"/>
    </x:row>
    <x:row r="226" ht="15" hidden="0" customHeight="1">
      <x:c r="A226" s="70"/>
      <x:c r="B226" s="70"/>
      <x:c r="C226" s="70"/>
      <x:c r="D226" s="70"/>
      <x:c r="E226" s="70"/>
      <x:c r="F226" s="70"/>
      <x:c r="G226" s="70"/>
      <x:c r="H226" s="70"/>
    </x:row>
    <x:row r="227" ht="15" hidden="0" customHeight="1">
      <x:c r="A227" s="70"/>
      <x:c r="B227" s="70"/>
      <x:c r="C227" s="70"/>
      <x:c r="D227" s="70"/>
      <x:c r="E227" s="70"/>
      <x:c r="F227" s="70"/>
      <x:c r="G227" s="70"/>
      <x:c r="H227" s="70"/>
    </x:row>
    <x:row r="228" ht="15" hidden="0" customHeight="1">
      <x:c r="A228" s="70"/>
      <x:c r="B228" s="70"/>
      <x:c r="C228" s="70"/>
      <x:c r="D228" s="70"/>
      <x:c r="E228" s="70"/>
      <x:c r="F228" s="70"/>
      <x:c r="G228" s="70"/>
      <x:c r="H228" s="70"/>
    </x:row>
    <x:row r="229" ht="15" hidden="0" customHeight="1">
      <x:c r="A229" s="70"/>
      <x:c r="B229" s="70"/>
      <x:c r="C229" s="70"/>
      <x:c r="D229" s="70"/>
      <x:c r="E229" s="70"/>
      <x:c r="F229" s="70"/>
      <x:c r="G229" s="70"/>
      <x:c r="H229" s="70"/>
    </x:row>
    <x:row r="230" ht="15" hidden="0" customHeight="1">
      <x:c r="A230" s="70"/>
      <x:c r="B230" s="70"/>
      <x:c r="C230" s="70"/>
      <x:c r="D230" s="70"/>
      <x:c r="E230" s="70"/>
      <x:c r="F230" s="70"/>
      <x:c r="G230" s="70"/>
      <x:c r="H230" s="70"/>
    </x:row>
    <x:row r="231" ht="15" hidden="0" customHeight="1">
      <x:c r="A231" s="70"/>
      <x:c r="B231" s="70"/>
      <x:c r="C231" s="70"/>
      <x:c r="D231" s="70"/>
      <x:c r="E231" s="70"/>
      <x:c r="F231" s="70"/>
      <x:c r="G231" s="70"/>
      <x:c r="H231" s="70"/>
    </x:row>
    <x:row r="232" ht="15" hidden="0" customHeight="1">
      <x:c r="A232" s="70"/>
      <x:c r="B232" s="70"/>
      <x:c r="C232" s="70"/>
      <x:c r="D232" s="70"/>
      <x:c r="E232" s="70"/>
      <x:c r="F232" s="70"/>
      <x:c r="G232" s="70"/>
      <x:c r="H232" s="70"/>
    </x:row>
    <x:row r="233" ht="15" hidden="0" customHeight="1">
      <x:c r="A233" s="70"/>
      <x:c r="B233" s="70"/>
      <x:c r="C233" s="70"/>
      <x:c r="D233" s="70"/>
      <x:c r="E233" s="70"/>
      <x:c r="F233" s="70"/>
      <x:c r="G233" s="70"/>
      <x:c r="H233" s="70"/>
    </x:row>
    <x:row r="234" ht="15" hidden="0" customHeight="1">
      <x:c r="A234" s="70"/>
      <x:c r="B234" s="70"/>
      <x:c r="C234" s="70"/>
      <x:c r="D234" s="70"/>
      <x:c r="E234" s="70"/>
      <x:c r="F234" s="70"/>
      <x:c r="G234" s="70"/>
      <x:c r="H234" s="70"/>
    </x:row>
    <x:row r="235" ht="15" hidden="0" customHeight="1">
      <x:c r="A235" s="70"/>
      <x:c r="B235" s="70"/>
      <x:c r="C235" s="70"/>
      <x:c r="D235" s="70"/>
      <x:c r="E235" s="70"/>
      <x:c r="F235" s="70"/>
      <x:c r="G235" s="70"/>
      <x:c r="H235" s="70"/>
    </x:row>
    <x:row r="236" ht="15" hidden="0" customHeight="1">
      <x:c r="A236" s="70"/>
      <x:c r="B236" s="70"/>
      <x:c r="C236" s="70"/>
      <x:c r="D236" s="70"/>
      <x:c r="E236" s="70"/>
      <x:c r="F236" s="70"/>
      <x:c r="G236" s="70"/>
      <x:c r="H236" s="70"/>
    </x:row>
    <x:row r="237" ht="15" hidden="0" customHeight="1">
      <x:c r="A237" s="70"/>
      <x:c r="B237" s="70"/>
      <x:c r="C237" s="70"/>
      <x:c r="D237" s="70"/>
      <x:c r="E237" s="70"/>
      <x:c r="F237" s="70"/>
      <x:c r="G237" s="70"/>
      <x:c r="H237" s="70"/>
    </x:row>
    <x:row r="238" ht="15" hidden="0" customHeight="1">
      <x:c r="A238" s="70"/>
      <x:c r="B238" s="70"/>
      <x:c r="C238" s="70"/>
      <x:c r="D238" s="70"/>
      <x:c r="E238" s="70"/>
      <x:c r="F238" s="70"/>
      <x:c r="G238" s="70"/>
      <x:c r="H238" s="70"/>
    </x:row>
    <x:row r="239" ht="15" hidden="0" customHeight="1">
      <x:c r="A239" s="70"/>
      <x:c r="B239" s="70"/>
      <x:c r="C239" s="70"/>
      <x:c r="D239" s="70"/>
      <x:c r="E239" s="70"/>
      <x:c r="F239" s="70"/>
      <x:c r="G239" s="70"/>
      <x:c r="H239" s="70"/>
    </x:row>
    <x:row r="240" ht="15" hidden="0" customHeight="1">
      <x:c r="A240" s="70"/>
      <x:c r="B240" s="70"/>
      <x:c r="C240" s="70"/>
      <x:c r="D240" s="70"/>
      <x:c r="E240" s="70"/>
      <x:c r="F240" s="70"/>
      <x:c r="G240" s="70"/>
      <x:c r="H240" s="70"/>
    </x:row>
    <x:row r="241" ht="15" hidden="0" customHeight="1">
      <x:c r="A241" s="70"/>
      <x:c r="B241" s="70"/>
      <x:c r="C241" s="70"/>
      <x:c r="D241" s="70"/>
      <x:c r="E241" s="70"/>
      <x:c r="F241" s="70"/>
      <x:c r="G241" s="70"/>
      <x:c r="H241" s="70"/>
    </x:row>
    <x:row r="242" ht="15" hidden="0" customHeight="1">
      <x:c r="A242" s="70"/>
      <x:c r="B242" s="70"/>
      <x:c r="C242" s="70"/>
      <x:c r="D242" s="70"/>
      <x:c r="E242" s="70"/>
      <x:c r="F242" s="70"/>
      <x:c r="G242" s="70"/>
      <x:c r="H242" s="70"/>
    </x:row>
    <x:row r="243" ht="15" hidden="0" customHeight="1">
      <x:c r="A243" s="70"/>
      <x:c r="B243" s="70"/>
      <x:c r="C243" s="70"/>
      <x:c r="D243" s="70"/>
      <x:c r="E243" s="70"/>
      <x:c r="F243" s="70"/>
      <x:c r="G243" s="70"/>
      <x:c r="H243" s="70"/>
    </x:row>
    <x:row r="244" ht="15" hidden="0" customHeight="1">
      <x:c r="A244" s="70"/>
      <x:c r="B244" s="70"/>
      <x:c r="C244" s="70"/>
      <x:c r="D244" s="70"/>
      <x:c r="E244" s="70"/>
      <x:c r="F244" s="70"/>
      <x:c r="G244" s="70"/>
      <x:c r="H244" s="70"/>
    </x:row>
    <x:row r="245" ht="15" hidden="0" customHeight="1">
      <x:c r="A245" s="70"/>
      <x:c r="B245" s="70"/>
      <x:c r="C245" s="70"/>
      <x:c r="D245" s="70"/>
      <x:c r="E245" s="70"/>
      <x:c r="F245" s="70"/>
      <x:c r="G245" s="70"/>
      <x:c r="H245" s="70"/>
    </x:row>
    <x:row r="246" ht="15" hidden="0" customHeight="1">
      <x:c r="A246" s="70"/>
      <x:c r="B246" s="70"/>
      <x:c r="C246" s="70"/>
      <x:c r="D246" s="70"/>
      <x:c r="E246" s="70"/>
      <x:c r="F246" s="70"/>
      <x:c r="G246" s="70"/>
      <x:c r="H246" s="70"/>
    </x:row>
    <x:row r="247" ht="15" hidden="0" customHeight="1">
      <x:c r="A247" s="70"/>
      <x:c r="B247" s="70"/>
      <x:c r="C247" s="70"/>
      <x:c r="D247" s="70"/>
      <x:c r="E247" s="70"/>
      <x:c r="F247" s="70"/>
      <x:c r="G247" s="70"/>
      <x:c r="H247" s="70"/>
    </x:row>
    <x:row r="248" ht="15" hidden="0" customHeight="1">
      <x:c r="A248" s="70"/>
      <x:c r="B248" s="70"/>
      <x:c r="C248" s="70"/>
      <x:c r="D248" s="70"/>
      <x:c r="E248" s="70"/>
      <x:c r="F248" s="70"/>
      <x:c r="G248" s="70"/>
      <x:c r="H248" s="70"/>
    </x:row>
    <x:row r="249" ht="15" hidden="0" customHeight="1">
      <x:c r="A249" s="70"/>
      <x:c r="B249" s="70"/>
      <x:c r="C249" s="70"/>
      <x:c r="D249" s="70"/>
      <x:c r="E249" s="70"/>
      <x:c r="F249" s="70"/>
      <x:c r="G249" s="70"/>
      <x:c r="H249" s="70"/>
    </x:row>
    <x:row r="250" ht="15" hidden="0" customHeight="1">
      <x:c r="A250" s="70"/>
      <x:c r="B250" s="70"/>
      <x:c r="C250" s="70"/>
      <x:c r="D250" s="70"/>
      <x:c r="E250" s="70"/>
      <x:c r="F250" s="70"/>
      <x:c r="G250" s="70"/>
      <x:c r="H250" s="70"/>
    </x:row>
    <x:row r="251" ht="15" hidden="0" customHeight="1">
      <x:c r="A251" s="70"/>
      <x:c r="B251" s="70"/>
      <x:c r="C251" s="70"/>
      <x:c r="D251" s="70"/>
      <x:c r="E251" s="70"/>
      <x:c r="F251" s="70"/>
      <x:c r="G251" s="70"/>
      <x:c r="H251" s="70"/>
    </x:row>
    <x:row r="252" ht="15" hidden="0" customHeight="1">
      <x:c r="A252" s="70"/>
      <x:c r="B252" s="70"/>
      <x:c r="C252" s="70"/>
      <x:c r="D252" s="70"/>
      <x:c r="E252" s="70"/>
      <x:c r="F252" s="70"/>
      <x:c r="G252" s="70"/>
      <x:c r="H252" s="70"/>
    </x:row>
    <x:row r="253" ht="15" hidden="0" customHeight="1">
      <x:c r="A253" s="70"/>
      <x:c r="B253" s="70"/>
      <x:c r="C253" s="70"/>
      <x:c r="D253" s="70"/>
      <x:c r="E253" s="70"/>
      <x:c r="F253" s="70"/>
      <x:c r="G253" s="70"/>
      <x:c r="H253" s="70"/>
    </x:row>
    <x:row r="254" ht="15" hidden="0" customHeight="1">
      <x:c r="A254" s="70"/>
      <x:c r="B254" s="70"/>
      <x:c r="C254" s="70"/>
      <x:c r="D254" s="70"/>
      <x:c r="E254" s="70"/>
      <x:c r="F254" s="70"/>
      <x:c r="G254" s="70"/>
      <x:c r="H254" s="70"/>
    </x:row>
    <x:row r="255" ht="15" hidden="0" customHeight="1">
      <x:c r="A255" s="70"/>
      <x:c r="B255" s="70"/>
      <x:c r="C255" s="70"/>
      <x:c r="D255" s="70"/>
      <x:c r="E255" s="70"/>
      <x:c r="F255" s="70"/>
      <x:c r="G255" s="70"/>
      <x:c r="H255" s="70"/>
    </x:row>
    <x:row r="256" ht="15" hidden="0" customHeight="1">
      <x:c r="A256" s="70"/>
      <x:c r="B256" s="70"/>
      <x:c r="C256" s="70"/>
      <x:c r="D256" s="70"/>
      <x:c r="E256" s="70"/>
      <x:c r="F256" s="70"/>
      <x:c r="G256" s="70"/>
      <x:c r="H256" s="70"/>
    </x:row>
    <x:row r="257" ht="15" hidden="0" customHeight="1">
      <x:c r="A257" s="70"/>
      <x:c r="B257" s="70"/>
      <x:c r="C257" s="70"/>
      <x:c r="D257" s="70"/>
      <x:c r="E257" s="70"/>
      <x:c r="F257" s="70"/>
      <x:c r="G257" s="70"/>
      <x:c r="H257" s="70"/>
    </x:row>
    <x:row r="258" ht="15" hidden="0" customHeight="1">
      <x:c r="A258" s="70"/>
      <x:c r="B258" s="70"/>
      <x:c r="C258" s="70"/>
      <x:c r="D258" s="70"/>
      <x:c r="E258" s="70"/>
      <x:c r="F258" s="70"/>
      <x:c r="G258" s="70"/>
      <x:c r="H258" s="70"/>
    </x:row>
    <x:row r="259" ht="15" hidden="0" customHeight="1">
      <x:c r="A259" s="70"/>
      <x:c r="B259" s="70"/>
      <x:c r="C259" s="70"/>
      <x:c r="D259" s="70"/>
      <x:c r="E259" s="70"/>
      <x:c r="F259" s="70"/>
      <x:c r="G259" s="70"/>
      <x:c r="H259" s="70"/>
    </x:row>
    <x:row r="260" ht="15" hidden="0" customHeight="1">
      <x:c r="A260" s="70"/>
      <x:c r="B260" s="70"/>
      <x:c r="C260" s="70"/>
      <x:c r="D260" s="70"/>
      <x:c r="E260" s="70"/>
      <x:c r="F260" s="70"/>
      <x:c r="G260" s="70"/>
      <x:c r="H260" s="70"/>
    </x:row>
    <x:row r="261" ht="15" hidden="0" customHeight="1">
      <x:c r="A261" s="70"/>
      <x:c r="B261" s="70"/>
      <x:c r="C261" s="70"/>
      <x:c r="D261" s="70"/>
      <x:c r="E261" s="70"/>
      <x:c r="F261" s="70"/>
      <x:c r="G261" s="70"/>
      <x:c r="H261" s="70"/>
    </x:row>
    <x:row r="262" ht="15" hidden="0" customHeight="1">
      <x:c r="A262" s="70"/>
      <x:c r="B262" s="70"/>
      <x:c r="C262" s="70"/>
      <x:c r="D262" s="70"/>
      <x:c r="E262" s="70"/>
      <x:c r="F262" s="70"/>
      <x:c r="G262" s="70"/>
      <x:c r="H262" s="70"/>
    </x:row>
    <x:row r="263" ht="15" hidden="0" customHeight="1">
      <x:c r="A263" s="70"/>
      <x:c r="B263" s="70"/>
      <x:c r="C263" s="70"/>
      <x:c r="D263" s="70"/>
      <x:c r="E263" s="70"/>
      <x:c r="F263" s="70"/>
      <x:c r="G263" s="70"/>
      <x:c r="H263" s="70"/>
    </x:row>
    <x:row r="264" ht="15" hidden="0" customHeight="1">
      <x:c r="A264" s="70"/>
      <x:c r="B264" s="70"/>
      <x:c r="C264" s="70"/>
      <x:c r="D264" s="70"/>
      <x:c r="E264" s="70"/>
      <x:c r="F264" s="70"/>
      <x:c r="G264" s="70"/>
      <x:c r="H264" s="70"/>
    </x:row>
    <x:row r="265" ht="15" hidden="0" customHeight="1">
      <x:c r="A265" s="70"/>
      <x:c r="B265" s="70"/>
      <x:c r="C265" s="70"/>
      <x:c r="D265" s="70"/>
      <x:c r="E265" s="70"/>
      <x:c r="F265" s="70"/>
      <x:c r="G265" s="70"/>
      <x:c r="H265" s="70"/>
    </x:row>
    <x:row r="266" ht="15" hidden="0" customHeight="1">
      <x:c r="A266" s="70"/>
      <x:c r="B266" s="70"/>
      <x:c r="C266" s="70"/>
      <x:c r="D266" s="70"/>
      <x:c r="E266" s="70"/>
      <x:c r="F266" s="70"/>
      <x:c r="G266" s="70"/>
      <x:c r="H266" s="70"/>
    </x:row>
    <x:row r="267" ht="15" hidden="0" customHeight="1">
      <x:c r="A267" s="70"/>
      <x:c r="B267" s="70"/>
      <x:c r="C267" s="70"/>
      <x:c r="D267" s="70"/>
      <x:c r="E267" s="70"/>
      <x:c r="F267" s="70"/>
      <x:c r="G267" s="70"/>
      <x:c r="H267" s="70"/>
    </x:row>
    <x:row r="268" ht="15" hidden="0" customHeight="1">
      <x:c r="A268" s="70"/>
      <x:c r="B268" s="70"/>
      <x:c r="C268" s="70"/>
      <x:c r="D268" s="70"/>
      <x:c r="E268" s="70"/>
      <x:c r="F268" s="70"/>
      <x:c r="G268" s="70"/>
      <x:c r="H268" s="70"/>
    </x:row>
    <x:row r="269" ht="15" hidden="0" customHeight="1">
      <x:c r="A269" s="70"/>
      <x:c r="B269" s="70"/>
      <x:c r="C269" s="70"/>
      <x:c r="D269" s="70"/>
      <x:c r="E269" s="70"/>
      <x:c r="F269" s="70"/>
      <x:c r="G269" s="70"/>
      <x:c r="H269" s="70"/>
    </x:row>
    <x:row r="270" ht="15" hidden="0" customHeight="1">
      <x:c r="A270" s="70"/>
      <x:c r="B270" s="70"/>
      <x:c r="C270" s="70"/>
      <x:c r="D270" s="70"/>
      <x:c r="E270" s="70"/>
      <x:c r="F270" s="70"/>
      <x:c r="G270" s="70"/>
      <x:c r="H270" s="70"/>
    </x:row>
    <x:row r="271" ht="15" hidden="0" customHeight="1">
      <x:c r="A271" s="70"/>
      <x:c r="B271" s="70"/>
      <x:c r="C271" s="70"/>
      <x:c r="D271" s="70"/>
      <x:c r="E271" s="70"/>
      <x:c r="F271" s="70"/>
      <x:c r="G271" s="70"/>
      <x:c r="H271" s="70"/>
    </x:row>
    <x:row r="272" ht="15" hidden="0" customHeight="1">
      <x:c r="A272" s="70"/>
      <x:c r="B272" s="70"/>
      <x:c r="C272" s="70"/>
      <x:c r="D272" s="70"/>
      <x:c r="E272" s="70"/>
      <x:c r="F272" s="70"/>
      <x:c r="G272" s="70"/>
      <x:c r="H272" s="70"/>
    </x:row>
    <x:row r="273" ht="15" hidden="0" customHeight="1">
      <x:c r="A273" s="70"/>
      <x:c r="B273" s="70"/>
      <x:c r="C273" s="70"/>
      <x:c r="D273" s="70"/>
      <x:c r="E273" s="70"/>
      <x:c r="F273" s="70"/>
      <x:c r="G273" s="70"/>
      <x:c r="H273" s="70"/>
    </x:row>
    <x:row r="274" ht="15" hidden="0" customHeight="1">
      <x:c r="A274" s="70"/>
      <x:c r="B274" s="70"/>
      <x:c r="C274" s="70"/>
      <x:c r="D274" s="70"/>
      <x:c r="E274" s="70"/>
      <x:c r="F274" s="70"/>
      <x:c r="G274" s="70"/>
      <x:c r="H274" s="70"/>
    </x:row>
    <x:row r="275" ht="15" hidden="0" customHeight="1">
      <x:c r="A275" s="70"/>
      <x:c r="B275" s="70"/>
      <x:c r="C275" s="70"/>
      <x:c r="D275" s="70"/>
      <x:c r="E275" s="70"/>
      <x:c r="F275" s="70"/>
      <x:c r="G275" s="70"/>
      <x:c r="H275" s="70"/>
    </x:row>
    <x:row r="276" ht="15" hidden="0" customHeight="1">
      <x:c r="A276" s="70"/>
      <x:c r="B276" s="70"/>
      <x:c r="C276" s="70"/>
      <x:c r="D276" s="70"/>
      <x:c r="E276" s="70"/>
      <x:c r="F276" s="70"/>
      <x:c r="G276" s="70"/>
      <x:c r="H276" s="70"/>
    </x:row>
    <x:row r="277" ht="15" hidden="0" customHeight="1">
      <x:c r="A277" s="70"/>
      <x:c r="B277" s="70"/>
      <x:c r="C277" s="70"/>
      <x:c r="D277" s="70"/>
      <x:c r="E277" s="70"/>
      <x:c r="F277" s="70"/>
      <x:c r="G277" s="70"/>
      <x:c r="H277" s="70"/>
    </x:row>
    <x:row r="278" ht="15" hidden="0" customHeight="1">
      <x:c r="A278" s="70"/>
      <x:c r="B278" s="70"/>
      <x:c r="C278" s="70"/>
      <x:c r="D278" s="70"/>
      <x:c r="E278" s="70"/>
      <x:c r="F278" s="70"/>
      <x:c r="G278" s="70"/>
      <x:c r="H278" s="70"/>
    </x:row>
    <x:row r="279" ht="15" hidden="0" customHeight="1">
      <x:c r="A279" s="70"/>
      <x:c r="B279" s="70"/>
      <x:c r="C279" s="70"/>
      <x:c r="D279" s="70"/>
      <x:c r="E279" s="70"/>
      <x:c r="F279" s="70"/>
      <x:c r="G279" s="70"/>
      <x:c r="H279" s="70"/>
    </x:row>
    <x:row r="280" ht="15" hidden="0" customHeight="1">
      <x:c r="A280" s="70"/>
      <x:c r="B280" s="70"/>
      <x:c r="C280" s="70"/>
      <x:c r="D280" s="70"/>
      <x:c r="E280" s="70"/>
      <x:c r="F280" s="70"/>
      <x:c r="G280" s="70"/>
      <x:c r="H280" s="70"/>
    </x:row>
    <x:row r="281" ht="15" hidden="0" customHeight="1">
      <x:c r="A281" s="70"/>
      <x:c r="B281" s="70"/>
      <x:c r="C281" s="70"/>
      <x:c r="D281" s="70"/>
      <x:c r="E281" s="70"/>
      <x:c r="F281" s="70"/>
      <x:c r="G281" s="70"/>
      <x:c r="H281" s="70"/>
    </x:row>
    <x:row r="282" ht="15" hidden="0" customHeight="1">
      <x:c r="A282" s="70"/>
      <x:c r="B282" s="70"/>
      <x:c r="C282" s="70"/>
      <x:c r="D282" s="70"/>
      <x:c r="E282" s="70"/>
      <x:c r="F282" s="70"/>
      <x:c r="G282" s="70"/>
      <x:c r="H282" s="70"/>
    </x:row>
    <x:row r="283" ht="15" hidden="0" customHeight="1">
      <x:c r="A283" s="70"/>
      <x:c r="B283" s="70"/>
      <x:c r="C283" s="70"/>
      <x:c r="D283" s="70"/>
      <x:c r="E283" s="70"/>
      <x:c r="F283" s="70"/>
      <x:c r="G283" s="70"/>
      <x:c r="H283" s="70"/>
    </x:row>
    <x:row r="284" ht="15" hidden="0" customHeight="1">
      <x:c r="A284" s="70"/>
      <x:c r="B284" s="70"/>
      <x:c r="C284" s="70"/>
      <x:c r="D284" s="70"/>
      <x:c r="E284" s="70"/>
      <x:c r="F284" s="70"/>
      <x:c r="G284" s="70"/>
      <x:c r="H284" s="70"/>
    </x:row>
    <x:row r="285" ht="15" hidden="0" customHeight="1">
      <x:c r="A285" s="70"/>
      <x:c r="B285" s="70"/>
      <x:c r="C285" s="70"/>
      <x:c r="D285" s="70"/>
      <x:c r="E285" s="70"/>
      <x:c r="F285" s="70"/>
      <x:c r="G285" s="70"/>
      <x:c r="H285" s="70"/>
    </x:row>
    <x:row r="286" ht="15" hidden="0" customHeight="1">
      <x:c r="A286" s="70"/>
      <x:c r="B286" s="70"/>
      <x:c r="C286" s="70"/>
      <x:c r="D286" s="70"/>
      <x:c r="E286" s="70"/>
      <x:c r="F286" s="70"/>
      <x:c r="G286" s="70"/>
      <x:c r="H286" s="70"/>
    </x:row>
    <x:row r="287" ht="15" hidden="0" customHeight="1">
      <x:c r="A287" s="70"/>
      <x:c r="B287" s="70"/>
      <x:c r="C287" s="70"/>
      <x:c r="D287" s="70"/>
      <x:c r="E287" s="70"/>
      <x:c r="F287" s="70"/>
      <x:c r="G287" s="70"/>
      <x:c r="H287" s="70"/>
    </x:row>
    <x:row r="288" ht="15" hidden="0" customHeight="1">
      <x:c r="A288" s="70"/>
      <x:c r="B288" s="70"/>
      <x:c r="C288" s="70"/>
      <x:c r="D288" s="70"/>
      <x:c r="E288" s="70"/>
      <x:c r="F288" s="70"/>
      <x:c r="G288" s="70"/>
      <x:c r="H288" s="70"/>
    </x:row>
    <x:row r="289" ht="15" hidden="0" customHeight="1">
      <x:c r="A289" s="70"/>
      <x:c r="B289" s="70"/>
      <x:c r="C289" s="70"/>
      <x:c r="D289" s="70"/>
      <x:c r="E289" s="70"/>
      <x:c r="F289" s="70"/>
      <x:c r="G289" s="70"/>
      <x:c r="H289" s="70"/>
    </x:row>
    <x:row r="290" ht="15" hidden="0" customHeight="1">
      <x:c r="A290" s="70"/>
      <x:c r="B290" s="70"/>
      <x:c r="C290" s="70"/>
      <x:c r="D290" s="70"/>
      <x:c r="E290" s="70"/>
      <x:c r="F290" s="70"/>
      <x:c r="G290" s="70"/>
      <x:c r="H290" s="70"/>
    </x:row>
    <x:row r="291" ht="15" hidden="0" customHeight="1">
      <x:c r="A291" s="70"/>
      <x:c r="B291" s="70"/>
      <x:c r="C291" s="70"/>
      <x:c r="D291" s="70"/>
      <x:c r="E291" s="70"/>
      <x:c r="F291" s="70"/>
      <x:c r="G291" s="70"/>
      <x:c r="H291" s="70"/>
    </x:row>
    <x:row r="292" ht="15" hidden="0" customHeight="1">
      <x:c r="A292" s="70"/>
      <x:c r="B292" s="70"/>
      <x:c r="C292" s="70"/>
      <x:c r="D292" s="70"/>
      <x:c r="E292" s="70"/>
      <x:c r="F292" s="70"/>
      <x:c r="G292" s="70"/>
      <x:c r="H292" s="70"/>
    </x:row>
    <x:row r="293" ht="15" hidden="0" customHeight="1">
      <x:c r="A293" s="70"/>
      <x:c r="B293" s="70"/>
      <x:c r="C293" s="70"/>
      <x:c r="D293" s="70"/>
      <x:c r="E293" s="70"/>
      <x:c r="F293" s="70"/>
      <x:c r="G293" s="70"/>
      <x:c r="H293" s="70"/>
    </x:row>
    <x:row r="294" ht="15" hidden="0" customHeight="1">
      <x:c r="A294" s="70"/>
      <x:c r="B294" s="70"/>
      <x:c r="C294" s="70"/>
      <x:c r="D294" s="70"/>
      <x:c r="E294" s="70"/>
      <x:c r="F294" s="70"/>
      <x:c r="G294" s="70"/>
      <x:c r="H294" s="70"/>
    </x:row>
    <x:row r="295" ht="15" hidden="0" customHeight="1">
      <x:c r="A295" s="70"/>
      <x:c r="B295" s="70"/>
      <x:c r="C295" s="70"/>
      <x:c r="D295" s="70"/>
      <x:c r="E295" s="70"/>
      <x:c r="F295" s="70"/>
      <x:c r="G295" s="70"/>
      <x:c r="H295" s="70"/>
    </x:row>
    <x:row r="296" ht="15" hidden="0" customHeight="1">
      <x:c r="A296" s="70"/>
      <x:c r="B296" s="70"/>
      <x:c r="C296" s="70"/>
      <x:c r="D296" s="70"/>
      <x:c r="E296" s="70"/>
      <x:c r="F296" s="70"/>
      <x:c r="G296" s="70"/>
      <x:c r="H296" s="70"/>
    </x:row>
    <x:row r="297" ht="15" hidden="0" customHeight="1">
      <x:c r="A297" s="70"/>
      <x:c r="B297" s="70"/>
      <x:c r="C297" s="70"/>
      <x:c r="D297" s="70"/>
      <x:c r="E297" s="70"/>
      <x:c r="F297" s="70"/>
      <x:c r="G297" s="70"/>
      <x:c r="H297" s="70"/>
    </x:row>
    <x:row r="298" ht="15" hidden="0" customHeight="1">
      <x:c r="A298" s="70"/>
      <x:c r="B298" s="70"/>
      <x:c r="C298" s="70"/>
      <x:c r="D298" s="70"/>
      <x:c r="E298" s="70"/>
      <x:c r="F298" s="70"/>
      <x:c r="G298" s="70"/>
      <x:c r="H298" s="70"/>
    </x:row>
    <x:row r="299" ht="15" hidden="0" customHeight="1">
      <x:c r="A299" s="70"/>
      <x:c r="B299" s="70"/>
      <x:c r="C299" s="70"/>
      <x:c r="D299" s="70"/>
      <x:c r="E299" s="70"/>
      <x:c r="F299" s="70"/>
      <x:c r="G299" s="70"/>
      <x:c r="H299" s="70"/>
    </x:row>
    <x:row r="300" ht="15" hidden="0" customHeight="1">
      <x:c r="A300" s="70"/>
      <x:c r="B300" s="70"/>
      <x:c r="C300" s="70"/>
      <x:c r="D300" s="70"/>
      <x:c r="E300" s="70"/>
      <x:c r="F300" s="70"/>
      <x:c r="G300" s="70"/>
      <x:c r="H300" s="70"/>
    </x:row>
    <x:row r="301" ht="15" hidden="0" customHeight="1">
      <x:c r="A301" s="70"/>
      <x:c r="B301" s="70"/>
      <x:c r="C301" s="70"/>
      <x:c r="D301" s="70"/>
      <x:c r="E301" s="70"/>
      <x:c r="F301" s="70"/>
      <x:c r="G301" s="70"/>
      <x:c r="H301" s="70"/>
    </x:row>
    <x:row r="302" ht="15" hidden="0" customHeight="1">
      <x:c r="A302" s="70"/>
      <x:c r="B302" s="70"/>
      <x:c r="C302" s="70"/>
      <x:c r="D302" s="70"/>
      <x:c r="E302" s="70"/>
      <x:c r="F302" s="70"/>
      <x:c r="G302" s="70"/>
      <x:c r="H302" s="70"/>
    </x:row>
    <x:row r="303" ht="15" hidden="0" customHeight="1">
      <x:c r="A303" s="70"/>
      <x:c r="B303" s="70"/>
      <x:c r="C303" s="70"/>
      <x:c r="D303" s="70"/>
      <x:c r="E303" s="70"/>
      <x:c r="F303" s="70"/>
      <x:c r="G303" s="70"/>
      <x:c r="H303" s="70"/>
    </x:row>
    <x:row r="304" ht="15" hidden="0" customHeight="1">
      <x:c r="A304" s="70"/>
      <x:c r="B304" s="70"/>
      <x:c r="C304" s="70"/>
      <x:c r="D304" s="70"/>
      <x:c r="E304" s="70"/>
      <x:c r="F304" s="70"/>
      <x:c r="G304" s="70"/>
      <x:c r="H304" s="70"/>
    </x:row>
    <x:row r="305" ht="15" hidden="0" customHeight="1">
      <x:c r="A305" s="70"/>
      <x:c r="B305" s="70"/>
      <x:c r="C305" s="70"/>
      <x:c r="D305" s="70"/>
      <x:c r="E305" s="70"/>
      <x:c r="F305" s="70"/>
      <x:c r="G305" s="70"/>
      <x:c r="H305" s="70"/>
    </x:row>
    <x:row r="306" ht="15" hidden="0" customHeight="1">
      <x:c r="A306" s="70"/>
      <x:c r="B306" s="70"/>
      <x:c r="C306" s="70"/>
      <x:c r="D306" s="70"/>
      <x:c r="E306" s="70"/>
      <x:c r="F306" s="70"/>
      <x:c r="G306" s="70"/>
      <x:c r="H306" s="70"/>
    </x:row>
    <x:row r="307" ht="15" hidden="0" customHeight="1">
      <x:c r="A307" s="70"/>
      <x:c r="B307" s="70"/>
      <x:c r="C307" s="70"/>
      <x:c r="D307" s="70"/>
      <x:c r="E307" s="70"/>
      <x:c r="F307" s="70"/>
      <x:c r="G307" s="70"/>
      <x:c r="H307" s="70"/>
    </x:row>
    <x:row r="308" ht="15" hidden="0" customHeight="1">
      <x:c r="A308" s="70"/>
      <x:c r="B308" s="70"/>
      <x:c r="C308" s="70"/>
      <x:c r="D308" s="70"/>
      <x:c r="E308" s="70"/>
      <x:c r="F308" s="70"/>
      <x:c r="G308" s="70"/>
      <x:c r="H308" s="70"/>
    </x:row>
    <x:row r="309" ht="15" hidden="0" customHeight="1">
      <x:c r="A309" s="70"/>
      <x:c r="B309" s="70"/>
      <x:c r="C309" s="70"/>
      <x:c r="D309" s="70"/>
      <x:c r="E309" s="70"/>
      <x:c r="F309" s="70"/>
      <x:c r="G309" s="70"/>
      <x:c r="H309" s="70"/>
    </x:row>
    <x:row r="310" ht="15" hidden="0" customHeight="1">
      <x:c r="A310" s="70"/>
      <x:c r="B310" s="70"/>
      <x:c r="C310" s="70"/>
      <x:c r="D310" s="70"/>
      <x:c r="E310" s="70"/>
      <x:c r="F310" s="70"/>
      <x:c r="G310" s="70"/>
      <x:c r="H310" s="70"/>
    </x:row>
    <x:row r="311" ht="15" hidden="0" customHeight="1">
      <x:c r="A311" s="70"/>
      <x:c r="B311" s="70"/>
      <x:c r="C311" s="70"/>
      <x:c r="D311" s="70"/>
      <x:c r="E311" s="70"/>
      <x:c r="F311" s="70"/>
      <x:c r="G311" s="70"/>
      <x:c r="H311" s="70"/>
    </x:row>
    <x:row r="312" ht="15" hidden="0" customHeight="1">
      <x:c r="A312" s="70"/>
      <x:c r="B312" s="70"/>
      <x:c r="C312" s="70"/>
      <x:c r="D312" s="70"/>
      <x:c r="E312" s="70"/>
      <x:c r="F312" s="70"/>
      <x:c r="G312" s="70"/>
      <x:c r="H312" s="70"/>
    </x:row>
    <x:row r="313" ht="15" hidden="0" customHeight="1">
      <x:c r="A313" s="70"/>
      <x:c r="B313" s="70"/>
      <x:c r="C313" s="70"/>
      <x:c r="D313" s="70"/>
      <x:c r="E313" s="70"/>
      <x:c r="F313" s="70"/>
      <x:c r="G313" s="70"/>
      <x:c r="H313" s="70"/>
    </x:row>
    <x:row r="314" ht="15" hidden="0" customHeight="1">
      <x:c r="A314" s="70"/>
      <x:c r="B314" s="70"/>
      <x:c r="C314" s="70"/>
      <x:c r="D314" s="70"/>
      <x:c r="E314" s="70"/>
      <x:c r="F314" s="70"/>
      <x:c r="G314" s="70"/>
      <x:c r="H314" s="70"/>
    </x:row>
    <x:row r="315" ht="15" hidden="0" customHeight="1">
      <x:c r="A315" s="70"/>
      <x:c r="B315" s="70"/>
      <x:c r="C315" s="70"/>
      <x:c r="D315" s="70"/>
      <x:c r="E315" s="70"/>
      <x:c r="F315" s="70"/>
      <x:c r="G315" s="70"/>
      <x:c r="H315" s="70"/>
    </x:row>
    <x:row r="316" ht="15" hidden="0" customHeight="1">
      <x:c r="A316" s="70"/>
      <x:c r="B316" s="70"/>
      <x:c r="C316" s="70"/>
      <x:c r="D316" s="70"/>
      <x:c r="E316" s="70"/>
      <x:c r="F316" s="70"/>
      <x:c r="G316" s="70"/>
      <x:c r="H316" s="70"/>
    </x:row>
    <x:row r="317" ht="15" hidden="0" customHeight="1">
      <x:c r="A317" s="70"/>
      <x:c r="B317" s="70"/>
      <x:c r="C317" s="70"/>
      <x:c r="D317" s="70"/>
      <x:c r="E317" s="70"/>
      <x:c r="F317" s="70"/>
      <x:c r="G317" s="70"/>
      <x:c r="H317" s="70"/>
    </x:row>
    <x:row r="318" ht="15" hidden="0" customHeight="1">
      <x:c r="A318" s="70"/>
      <x:c r="B318" s="70"/>
      <x:c r="C318" s="70"/>
      <x:c r="D318" s="70"/>
      <x:c r="E318" s="70"/>
      <x:c r="F318" s="70"/>
      <x:c r="G318" s="70"/>
      <x:c r="H318" s="70"/>
    </x:row>
    <x:row r="319" ht="15" hidden="0" customHeight="1">
      <x:c r="A319" s="70"/>
      <x:c r="B319" s="70"/>
      <x:c r="C319" s="70"/>
      <x:c r="D319" s="70"/>
      <x:c r="E319" s="70"/>
      <x:c r="F319" s="70"/>
      <x:c r="G319" s="70"/>
      <x:c r="H319" s="70"/>
    </x:row>
    <x:row r="320" ht="15" hidden="0" customHeight="1">
      <x:c r="A320" s="70"/>
      <x:c r="B320" s="70"/>
      <x:c r="C320" s="70"/>
      <x:c r="D320" s="70"/>
      <x:c r="E320" s="70"/>
      <x:c r="F320" s="70"/>
      <x:c r="G320" s="70"/>
      <x:c r="H320" s="70"/>
    </x:row>
    <x:row r="321" ht="15" hidden="0" customHeight="1">
      <x:c r="A321" s="70"/>
      <x:c r="B321" s="70"/>
      <x:c r="C321" s="70"/>
      <x:c r="D321" s="70"/>
      <x:c r="E321" s="70"/>
      <x:c r="F321" s="70"/>
      <x:c r="G321" s="70"/>
      <x:c r="H321" s="70"/>
    </x:row>
    <x:row r="322" ht="15" hidden="0" customHeight="1">
      <x:c r="A322" s="70"/>
      <x:c r="B322" s="70"/>
      <x:c r="C322" s="70"/>
      <x:c r="D322" s="70"/>
      <x:c r="E322" s="70"/>
      <x:c r="F322" s="70"/>
      <x:c r="G322" s="70"/>
      <x:c r="H322" s="70"/>
    </x:row>
    <x:row r="323" ht="15" hidden="0" customHeight="1">
      <x:c r="A323" s="70"/>
      <x:c r="B323" s="70"/>
      <x:c r="C323" s="70"/>
      <x:c r="D323" s="70"/>
      <x:c r="E323" s="70"/>
      <x:c r="F323" s="70"/>
      <x:c r="G323" s="70"/>
      <x:c r="H323" s="70"/>
    </x:row>
    <x:row r="324" ht="15" hidden="0" customHeight="1">
      <x:c r="A324" s="70"/>
      <x:c r="B324" s="70"/>
      <x:c r="C324" s="70"/>
      <x:c r="D324" s="70"/>
      <x:c r="E324" s="70"/>
      <x:c r="F324" s="70"/>
      <x:c r="G324" s="70"/>
      <x:c r="H324" s="70"/>
    </x:row>
    <x:row r="325" ht="15" hidden="0" customHeight="1">
      <x:c r="A325" s="70"/>
      <x:c r="B325" s="70"/>
      <x:c r="C325" s="70"/>
      <x:c r="D325" s="70"/>
      <x:c r="E325" s="70"/>
      <x:c r="F325" s="70"/>
      <x:c r="G325" s="70"/>
      <x:c r="H325" s="70"/>
    </x:row>
    <x:row r="326" ht="15" hidden="0" customHeight="1">
      <x:c r="A326" s="70"/>
      <x:c r="B326" s="70"/>
      <x:c r="C326" s="70"/>
      <x:c r="D326" s="70"/>
      <x:c r="E326" s="70"/>
      <x:c r="F326" s="70"/>
      <x:c r="G326" s="70"/>
      <x:c r="H326" s="70"/>
    </x:row>
    <x:row r="327" ht="15" hidden="0" customHeight="1">
      <x:c r="A327" s="70"/>
      <x:c r="B327" s="70"/>
      <x:c r="C327" s="70"/>
      <x:c r="D327" s="70"/>
      <x:c r="E327" s="70"/>
      <x:c r="F327" s="70"/>
      <x:c r="G327" s="70"/>
      <x:c r="H327" s="70"/>
    </x:row>
    <x:row r="328" ht="15" hidden="0" customHeight="1">
      <x:c r="A328" s="70"/>
      <x:c r="B328" s="70"/>
      <x:c r="C328" s="70"/>
      <x:c r="D328" s="70"/>
      <x:c r="E328" s="70"/>
      <x:c r="F328" s="70"/>
      <x:c r="G328" s="70"/>
      <x:c r="H328" s="70"/>
    </x:row>
    <x:row r="329" ht="15" hidden="0" customHeight="1">
      <x:c r="A329" s="70"/>
      <x:c r="B329" s="70"/>
      <x:c r="C329" s="70"/>
      <x:c r="D329" s="70"/>
      <x:c r="E329" s="70"/>
      <x:c r="F329" s="70"/>
      <x:c r="G329" s="70"/>
      <x:c r="H329" s="70"/>
    </x:row>
    <x:row r="330" ht="15" hidden="0" customHeight="1">
      <x:c r="A330" s="70"/>
      <x:c r="B330" s="70"/>
      <x:c r="C330" s="70"/>
      <x:c r="D330" s="70"/>
      <x:c r="E330" s="70"/>
      <x:c r="F330" s="70"/>
      <x:c r="G330" s="70"/>
      <x:c r="H330" s="70"/>
    </x:row>
    <x:row r="331" ht="15" hidden="0" customHeight="1">
      <x:c r="A331" s="70"/>
      <x:c r="B331" s="70"/>
      <x:c r="C331" s="70"/>
      <x:c r="D331" s="70"/>
      <x:c r="E331" s="70"/>
      <x:c r="F331" s="70"/>
      <x:c r="G331" s="70"/>
      <x:c r="H331" s="70"/>
    </x:row>
    <x:row r="332" ht="15" hidden="0" customHeight="1">
      <x:c r="A332" s="70"/>
      <x:c r="B332" s="70"/>
      <x:c r="C332" s="70"/>
      <x:c r="D332" s="70"/>
      <x:c r="E332" s="70"/>
      <x:c r="F332" s="70"/>
      <x:c r="G332" s="70"/>
      <x:c r="H332" s="70"/>
    </x:row>
    <x:row r="333" ht="15" hidden="0" customHeight="1">
      <x:c r="A333" s="70"/>
      <x:c r="B333" s="70"/>
      <x:c r="C333" s="70"/>
      <x:c r="D333" s="70"/>
      <x:c r="E333" s="70"/>
      <x:c r="F333" s="70"/>
      <x:c r="G333" s="70"/>
      <x:c r="H333" s="70"/>
    </x:row>
    <x:row r="334" ht="15" hidden="0" customHeight="1">
      <x:c r="A334" s="70"/>
      <x:c r="B334" s="70"/>
      <x:c r="C334" s="70"/>
      <x:c r="D334" s="70"/>
      <x:c r="E334" s="70"/>
      <x:c r="F334" s="70"/>
      <x:c r="G334" s="70"/>
      <x:c r="H334" s="70"/>
    </x:row>
    <x:row r="335" ht="15" hidden="0" customHeight="1">
      <x:c r="A335" s="70"/>
      <x:c r="B335" s="70"/>
      <x:c r="C335" s="70"/>
      <x:c r="D335" s="70"/>
      <x:c r="E335" s="70"/>
      <x:c r="F335" s="70"/>
      <x:c r="G335" s="70"/>
      <x:c r="H335" s="70"/>
    </x:row>
    <x:row r="336" ht="15" hidden="0" customHeight="1">
      <x:c r="A336" s="70"/>
      <x:c r="B336" s="70"/>
      <x:c r="C336" s="70"/>
      <x:c r="D336" s="70"/>
      <x:c r="E336" s="70"/>
      <x:c r="F336" s="70"/>
      <x:c r="G336" s="70"/>
      <x:c r="H336" s="70"/>
    </x:row>
    <x:row r="337" ht="15" hidden="0" customHeight="1">
      <x:c r="A337" s="70"/>
      <x:c r="B337" s="70"/>
      <x:c r="C337" s="70"/>
      <x:c r="D337" s="70"/>
      <x:c r="E337" s="70"/>
      <x:c r="F337" s="70"/>
      <x:c r="G337" s="70"/>
      <x:c r="H337" s="70"/>
    </x:row>
    <x:row r="338" ht="15" hidden="0" customHeight="1">
      <x:c r="A338" s="70"/>
      <x:c r="B338" s="70"/>
      <x:c r="C338" s="70"/>
      <x:c r="D338" s="70"/>
      <x:c r="E338" s="70"/>
      <x:c r="F338" s="70"/>
      <x:c r="G338" s="70"/>
      <x:c r="H338" s="70"/>
    </x:row>
    <x:row r="339" ht="15" hidden="0" customHeight="1">
      <x:c r="A339" s="70"/>
      <x:c r="B339" s="70"/>
      <x:c r="C339" s="70"/>
      <x:c r="D339" s="70"/>
      <x:c r="E339" s="70"/>
      <x:c r="F339" s="70"/>
      <x:c r="G339" s="70"/>
      <x:c r="H339" s="70"/>
    </x:row>
    <x:row r="340" ht="15" hidden="0" customHeight="1">
      <x:c r="A340" s="70"/>
      <x:c r="B340" s="70"/>
      <x:c r="C340" s="70"/>
      <x:c r="D340" s="70"/>
      <x:c r="E340" s="70"/>
      <x:c r="F340" s="70"/>
      <x:c r="G340" s="70"/>
      <x:c r="H340" s="70"/>
    </x:row>
    <x:row r="341" ht="15" hidden="0" customHeight="1">
      <x:c r="A341" s="70"/>
      <x:c r="B341" s="70"/>
      <x:c r="C341" s="70"/>
      <x:c r="D341" s="70"/>
      <x:c r="E341" s="70"/>
      <x:c r="F341" s="70"/>
      <x:c r="G341" s="70"/>
      <x:c r="H341" s="70"/>
    </x:row>
    <x:row r="342" ht="15" hidden="0" customHeight="1">
      <x:c r="A342" s="70"/>
      <x:c r="B342" s="70"/>
      <x:c r="C342" s="70"/>
      <x:c r="D342" s="70"/>
      <x:c r="E342" s="70"/>
      <x:c r="F342" s="70"/>
      <x:c r="G342" s="70"/>
      <x:c r="H342" s="70"/>
    </x:row>
    <x:row r="343" ht="15" hidden="0" customHeight="1">
      <x:c r="A343" s="70"/>
      <x:c r="B343" s="70"/>
      <x:c r="C343" s="70"/>
      <x:c r="D343" s="70"/>
      <x:c r="E343" s="70"/>
      <x:c r="F343" s="70"/>
      <x:c r="G343" s="70"/>
      <x:c r="H343" s="70"/>
    </x:row>
    <x:row r="344" ht="15" hidden="0" customHeight="1">
      <x:c r="A344" s="70"/>
      <x:c r="B344" s="70"/>
      <x:c r="C344" s="70"/>
      <x:c r="D344" s="70"/>
      <x:c r="E344" s="70"/>
      <x:c r="F344" s="70"/>
      <x:c r="G344" s="70"/>
      <x:c r="H344" s="70"/>
    </x:row>
    <x:row r="345" ht="15" hidden="0" customHeight="1">
      <x:c r="A345" s="70"/>
      <x:c r="B345" s="70"/>
      <x:c r="C345" s="70"/>
      <x:c r="D345" s="70"/>
      <x:c r="E345" s="70"/>
      <x:c r="F345" s="70"/>
      <x:c r="G345" s="70"/>
      <x:c r="H345" s="70"/>
    </x:row>
    <x:row r="346" ht="15" hidden="0" customHeight="1">
      <x:c r="A346" s="70"/>
      <x:c r="B346" s="70"/>
      <x:c r="C346" s="70"/>
      <x:c r="D346" s="70"/>
      <x:c r="E346" s="70"/>
      <x:c r="F346" s="70"/>
      <x:c r="G346" s="70"/>
      <x:c r="H346" s="70"/>
    </x:row>
    <x:row r="347" ht="15" hidden="0" customHeight="1">
      <x:c r="A347" s="70"/>
      <x:c r="B347" s="70"/>
      <x:c r="C347" s="70"/>
      <x:c r="D347" s="70"/>
      <x:c r="E347" s="70"/>
      <x:c r="F347" s="70"/>
      <x:c r="G347" s="70"/>
      <x:c r="H347" s="70"/>
    </x:row>
    <x:row r="348" ht="15" hidden="0" customHeight="1">
      <x:c r="A348" s="70"/>
      <x:c r="B348" s="70"/>
      <x:c r="C348" s="70"/>
      <x:c r="D348" s="70"/>
      <x:c r="E348" s="70"/>
      <x:c r="F348" s="70"/>
      <x:c r="G348" s="70"/>
      <x:c r="H348" s="70"/>
    </x:row>
    <x:row r="349" ht="15" hidden="0" customHeight="1">
      <x:c r="A349" s="70"/>
      <x:c r="B349" s="70"/>
      <x:c r="C349" s="70"/>
      <x:c r="D349" s="70"/>
      <x:c r="E349" s="70"/>
      <x:c r="F349" s="70"/>
      <x:c r="G349" s="70"/>
      <x:c r="H349" s="70"/>
    </x:row>
    <x:row r="350" ht="15" hidden="0" customHeight="1">
      <x:c r="A350" s="70"/>
      <x:c r="B350" s="70"/>
      <x:c r="C350" s="70"/>
      <x:c r="D350" s="70"/>
      <x:c r="E350" s="70"/>
      <x:c r="F350" s="70"/>
      <x:c r="G350" s="70"/>
      <x:c r="H350" s="70"/>
    </x:row>
    <x:row r="351" ht="15" hidden="0" customHeight="1">
      <x:c r="A351" s="70"/>
      <x:c r="B351" s="70"/>
      <x:c r="C351" s="70"/>
      <x:c r="D351" s="70"/>
      <x:c r="E351" s="70"/>
      <x:c r="F351" s="70"/>
      <x:c r="G351" s="70"/>
      <x:c r="H351" s="70"/>
    </x:row>
    <x:row r="352" ht="15" hidden="0" customHeight="1">
      <x:c r="A352" s="70"/>
      <x:c r="B352" s="70"/>
      <x:c r="C352" s="70"/>
      <x:c r="D352" s="70"/>
      <x:c r="E352" s="70"/>
      <x:c r="F352" s="70"/>
      <x:c r="G352" s="70"/>
      <x:c r="H352" s="70"/>
    </x:row>
    <x:row r="353" ht="15" hidden="0" customHeight="1">
      <x:c r="A353" s="70"/>
      <x:c r="B353" s="70"/>
      <x:c r="C353" s="70"/>
      <x:c r="D353" s="70"/>
      <x:c r="E353" s="70"/>
      <x:c r="F353" s="70"/>
      <x:c r="G353" s="70"/>
      <x:c r="H353" s="70"/>
    </x:row>
    <x:row r="354" ht="15" hidden="0" customHeight="1">
      <x:c r="A354" s="70"/>
      <x:c r="B354" s="70"/>
      <x:c r="C354" s="70"/>
      <x:c r="D354" s="70"/>
      <x:c r="E354" s="70"/>
      <x:c r="F354" s="70"/>
      <x:c r="G354" s="70"/>
      <x:c r="H354" s="70"/>
    </x:row>
    <x:row r="355" ht="15" hidden="0" customHeight="1">
      <x:c r="A355" s="70"/>
      <x:c r="B355" s="70"/>
      <x:c r="C355" s="70"/>
      <x:c r="D355" s="70"/>
      <x:c r="E355" s="70"/>
      <x:c r="F355" s="70"/>
      <x:c r="G355" s="70"/>
      <x:c r="H355" s="70"/>
    </x:row>
    <x:row r="356" ht="15" hidden="0" customHeight="1">
      <x:c r="A356" s="70"/>
      <x:c r="B356" s="70"/>
      <x:c r="C356" s="70"/>
      <x:c r="D356" s="70"/>
      <x:c r="E356" s="70"/>
      <x:c r="F356" s="70"/>
      <x:c r="G356" s="70"/>
      <x:c r="H356" s="70"/>
    </x:row>
    <x:row r="357" ht="15" hidden="0" customHeight="1">
      <x:c r="A357" s="70"/>
      <x:c r="B357" s="70"/>
      <x:c r="C357" s="70"/>
      <x:c r="D357" s="70"/>
      <x:c r="E357" s="70"/>
      <x:c r="F357" s="70"/>
      <x:c r="G357" s="70"/>
      <x:c r="H357" s="70"/>
    </x:row>
    <x:row r="358" ht="15" hidden="0" customHeight="1">
      <x:c r="A358" s="70"/>
      <x:c r="B358" s="70"/>
      <x:c r="C358" s="70"/>
      <x:c r="D358" s="70"/>
      <x:c r="E358" s="70"/>
      <x:c r="F358" s="70"/>
      <x:c r="G358" s="70"/>
      <x:c r="H358" s="70"/>
    </x:row>
    <x:row r="359" ht="15" hidden="0" customHeight="1">
      <x:c r="A359" s="70"/>
      <x:c r="B359" s="70"/>
      <x:c r="C359" s="70"/>
      <x:c r="D359" s="70"/>
      <x:c r="E359" s="70"/>
      <x:c r="F359" s="70"/>
      <x:c r="G359" s="70"/>
      <x:c r="H359" s="70"/>
    </x:row>
    <x:row r="360" ht="15" hidden="0" customHeight="1">
      <x:c r="A360" s="70"/>
      <x:c r="B360" s="70"/>
      <x:c r="C360" s="70"/>
      <x:c r="D360" s="70"/>
      <x:c r="E360" s="70"/>
      <x:c r="F360" s="70"/>
      <x:c r="G360" s="70"/>
      <x:c r="H360" s="70"/>
    </x:row>
    <x:row r="361" ht="15" hidden="0" customHeight="1">
      <x:c r="A361" s="70"/>
      <x:c r="B361" s="70"/>
      <x:c r="C361" s="70"/>
      <x:c r="D361" s="70"/>
      <x:c r="E361" s="70"/>
      <x:c r="F361" s="70"/>
      <x:c r="G361" s="70"/>
      <x:c r="H361" s="70"/>
    </x:row>
    <x:row r="362" ht="15" hidden="0" customHeight="1">
      <x:c r="A362" s="70"/>
      <x:c r="B362" s="70"/>
      <x:c r="C362" s="70"/>
      <x:c r="D362" s="70"/>
      <x:c r="E362" s="70"/>
      <x:c r="F362" s="70"/>
      <x:c r="G362" s="70"/>
      <x:c r="H362" s="70"/>
    </x:row>
    <x:row r="363" ht="15" hidden="0" customHeight="1">
      <x:c r="A363" s="70"/>
      <x:c r="B363" s="70"/>
      <x:c r="C363" s="70"/>
      <x:c r="D363" s="70"/>
      <x:c r="E363" s="70"/>
      <x:c r="F363" s="70"/>
      <x:c r="G363" s="70"/>
      <x:c r="H363" s="70"/>
    </x:row>
    <x:row r="364" ht="15" hidden="0" customHeight="1">
      <x:c r="A364" s="70"/>
      <x:c r="B364" s="70"/>
      <x:c r="C364" s="70"/>
      <x:c r="D364" s="70"/>
      <x:c r="E364" s="70"/>
      <x:c r="F364" s="70"/>
      <x:c r="G364" s="70"/>
      <x:c r="H364" s="70"/>
    </x:row>
    <x:row r="365" ht="15" hidden="0" customHeight="1">
      <x:c r="A365" s="70"/>
      <x:c r="B365" s="70"/>
      <x:c r="C365" s="70"/>
      <x:c r="D365" s="70"/>
      <x:c r="E365" s="70"/>
      <x:c r="F365" s="70"/>
      <x:c r="G365" s="70"/>
      <x:c r="H365" s="70"/>
    </x:row>
    <x:row r="366" ht="15" hidden="0" customHeight="1">
      <x:c r="A366" s="70"/>
      <x:c r="B366" s="70"/>
      <x:c r="C366" s="70"/>
      <x:c r="D366" s="70"/>
      <x:c r="E366" s="70"/>
      <x:c r="F366" s="70"/>
      <x:c r="G366" s="70"/>
      <x:c r="H366" s="70"/>
    </x:row>
    <x:row r="367" ht="15" hidden="0" customHeight="1">
      <x:c r="A367" s="70"/>
      <x:c r="B367" s="70"/>
      <x:c r="C367" s="70"/>
      <x:c r="D367" s="70"/>
      <x:c r="E367" s="70"/>
      <x:c r="F367" s="70"/>
      <x:c r="G367" s="70"/>
      <x:c r="H367" s="70"/>
    </x:row>
    <x:row r="368" ht="15" hidden="0" customHeight="1">
      <x:c r="A368" s="70"/>
      <x:c r="B368" s="70"/>
      <x:c r="C368" s="70"/>
      <x:c r="D368" s="70"/>
      <x:c r="E368" s="70"/>
      <x:c r="F368" s="70"/>
      <x:c r="G368" s="70"/>
      <x:c r="H368" s="70"/>
    </x:row>
    <x:row r="369" ht="15" hidden="0" customHeight="1">
      <x:c r="A369" s="70"/>
      <x:c r="B369" s="70"/>
      <x:c r="C369" s="70"/>
      <x:c r="D369" s="70"/>
      <x:c r="E369" s="70"/>
      <x:c r="F369" s="70"/>
      <x:c r="G369" s="70"/>
      <x:c r="H369" s="70"/>
    </x:row>
    <x:row r="370" ht="15" hidden="0" customHeight="1">
      <x:c r="A370" s="70"/>
      <x:c r="B370" s="70"/>
      <x:c r="C370" s="70"/>
      <x:c r="D370" s="70"/>
      <x:c r="E370" s="70"/>
      <x:c r="F370" s="70"/>
      <x:c r="G370" s="70"/>
      <x:c r="H370" s="70"/>
    </x:row>
    <x:row r="371" ht="15" hidden="0" customHeight="1">
      <x:c r="A371" s="70"/>
      <x:c r="B371" s="70"/>
      <x:c r="C371" s="70"/>
      <x:c r="D371" s="70"/>
      <x:c r="E371" s="70"/>
      <x:c r="F371" s="70"/>
      <x:c r="G371" s="70"/>
      <x:c r="H371" s="70"/>
    </x:row>
    <x:row r="372" ht="15" hidden="0" customHeight="1">
      <x:c r="A372" s="70"/>
      <x:c r="B372" s="70"/>
      <x:c r="C372" s="70"/>
      <x:c r="D372" s="70"/>
      <x:c r="E372" s="70"/>
      <x:c r="F372" s="70"/>
      <x:c r="G372" s="70"/>
      <x:c r="H372" s="70"/>
    </x:row>
    <x:row r="373" ht="15" hidden="0" customHeight="1">
      <x:c r="A373" s="70"/>
      <x:c r="B373" s="70"/>
      <x:c r="C373" s="70"/>
      <x:c r="D373" s="70"/>
      <x:c r="E373" s="70"/>
      <x:c r="F373" s="70"/>
      <x:c r="G373" s="70"/>
      <x:c r="H373" s="70"/>
    </x:row>
    <x:row r="374" ht="15" hidden="0" customHeight="1">
      <x:c r="A374" s="70"/>
      <x:c r="B374" s="70"/>
      <x:c r="C374" s="70"/>
      <x:c r="D374" s="70"/>
      <x:c r="E374" s="70"/>
      <x:c r="F374" s="70"/>
      <x:c r="G374" s="70"/>
      <x:c r="H374" s="70"/>
    </x:row>
    <x:row r="375" ht="15" hidden="0" customHeight="1">
      <x:c r="A375" s="70"/>
      <x:c r="B375" s="70"/>
      <x:c r="C375" s="70"/>
      <x:c r="D375" s="70"/>
      <x:c r="E375" s="70"/>
      <x:c r="F375" s="70"/>
      <x:c r="G375" s="70"/>
      <x:c r="H375" s="70"/>
    </x:row>
    <x:row r="376" ht="15" hidden="0" customHeight="1">
      <x:c r="A376" s="70"/>
      <x:c r="B376" s="70"/>
      <x:c r="C376" s="70"/>
      <x:c r="D376" s="70"/>
      <x:c r="E376" s="70"/>
      <x:c r="F376" s="70"/>
      <x:c r="G376" s="70"/>
      <x:c r="H376" s="70"/>
    </x:row>
    <x:row r="377" ht="15" hidden="0" customHeight="1">
      <x:c r="A377" s="70"/>
      <x:c r="B377" s="70"/>
      <x:c r="C377" s="70"/>
      <x:c r="D377" s="70"/>
      <x:c r="E377" s="70"/>
      <x:c r="F377" s="70"/>
      <x:c r="G377" s="70"/>
      <x:c r="H377" s="70"/>
    </x:row>
    <x:row r="378" ht="15" hidden="0" customHeight="1">
      <x:c r="A378" s="70"/>
      <x:c r="B378" s="70"/>
      <x:c r="C378" s="70"/>
      <x:c r="D378" s="70"/>
      <x:c r="E378" s="70"/>
      <x:c r="F378" s="70"/>
      <x:c r="G378" s="70"/>
      <x:c r="H378" s="70"/>
    </x:row>
    <x:row r="379" ht="15" hidden="0" customHeight="1">
      <x:c r="A379" s="70"/>
      <x:c r="B379" s="70"/>
      <x:c r="C379" s="70"/>
      <x:c r="D379" s="70"/>
      <x:c r="E379" s="70"/>
      <x:c r="F379" s="70"/>
      <x:c r="G379" s="70"/>
      <x:c r="H379" s="70"/>
    </x:row>
    <x:row r="380" ht="15" hidden="0" customHeight="1">
      <x:c r="A380" s="70"/>
      <x:c r="B380" s="70"/>
      <x:c r="C380" s="70"/>
      <x:c r="D380" s="70"/>
      <x:c r="E380" s="70"/>
      <x:c r="F380" s="70"/>
      <x:c r="G380" s="70"/>
      <x:c r="H380" s="70"/>
    </x:row>
    <x:row r="381" ht="15" hidden="0" customHeight="1">
      <x:c r="A381" s="70"/>
      <x:c r="B381" s="70"/>
      <x:c r="C381" s="70"/>
      <x:c r="D381" s="70"/>
      <x:c r="E381" s="70"/>
      <x:c r="F381" s="70"/>
      <x:c r="G381" s="70"/>
      <x:c r="H381" s="70"/>
    </x:row>
    <x:row r="382" ht="15" hidden="0" customHeight="1">
      <x:c r="A382" s="70"/>
      <x:c r="B382" s="70"/>
      <x:c r="C382" s="70"/>
      <x:c r="D382" s="70"/>
      <x:c r="E382" s="70"/>
      <x:c r="F382" s="70"/>
      <x:c r="G382" s="70"/>
      <x:c r="H382" s="70"/>
    </x:row>
    <x:row r="383" ht="15" hidden="0" customHeight="1">
      <x:c r="A383" s="70"/>
      <x:c r="B383" s="70"/>
      <x:c r="C383" s="70"/>
      <x:c r="D383" s="70"/>
      <x:c r="E383" s="70"/>
      <x:c r="F383" s="70"/>
      <x:c r="G383" s="70"/>
      <x:c r="H383" s="70"/>
    </x:row>
    <x:row r="384" ht="15" hidden="0" customHeight="1">
      <x:c r="A384" s="70"/>
      <x:c r="B384" s="70"/>
      <x:c r="C384" s="70"/>
      <x:c r="D384" s="70"/>
      <x:c r="E384" s="70"/>
      <x:c r="F384" s="70"/>
      <x:c r="G384" s="70"/>
      <x:c r="H384" s="70"/>
    </x:row>
    <x:row r="385" ht="15" hidden="0" customHeight="1">
      <x:c r="A385" s="70"/>
      <x:c r="B385" s="70"/>
      <x:c r="C385" s="70"/>
      <x:c r="D385" s="70"/>
      <x:c r="E385" s="70"/>
      <x:c r="F385" s="70"/>
      <x:c r="G385" s="70"/>
      <x:c r="H385" s="70"/>
    </x:row>
    <x:row r="386" ht="15" hidden="0" customHeight="1">
      <x:c r="A386" s="70"/>
      <x:c r="B386" s="70"/>
      <x:c r="C386" s="70"/>
      <x:c r="D386" s="70"/>
      <x:c r="E386" s="70"/>
      <x:c r="F386" s="70"/>
      <x:c r="G386" s="70"/>
      <x:c r="H386" s="70"/>
    </x:row>
    <x:row r="387" ht="15" hidden="0" customHeight="1">
      <x:c r="A387" s="70"/>
      <x:c r="B387" s="70"/>
      <x:c r="C387" s="70"/>
      <x:c r="D387" s="70"/>
      <x:c r="E387" s="70"/>
      <x:c r="F387" s="70"/>
      <x:c r="G387" s="70"/>
      <x:c r="H387" s="70"/>
    </x:row>
    <x:row r="388" ht="15" hidden="0" customHeight="1">
      <x:c r="A388" s="70"/>
      <x:c r="B388" s="70"/>
      <x:c r="C388" s="70"/>
      <x:c r="D388" s="70"/>
      <x:c r="E388" s="70"/>
      <x:c r="F388" s="70"/>
      <x:c r="G388" s="70"/>
      <x:c r="H388" s="70"/>
    </x:row>
    <x:row r="389" ht="15" hidden="0" customHeight="1">
      <x:c r="A389" s="70"/>
      <x:c r="B389" s="70"/>
      <x:c r="C389" s="70"/>
      <x:c r="D389" s="70"/>
      <x:c r="E389" s="70"/>
      <x:c r="F389" s="70"/>
      <x:c r="G389" s="70"/>
      <x:c r="H389" s="70"/>
    </x:row>
    <x:row r="390" ht="15" hidden="0" customHeight="1">
      <x:c r="A390" s="70"/>
      <x:c r="B390" s="70"/>
      <x:c r="C390" s="70"/>
      <x:c r="D390" s="70"/>
      <x:c r="E390" s="70"/>
      <x:c r="F390" s="70"/>
      <x:c r="G390" s="70"/>
      <x:c r="H390" s="70"/>
    </x:row>
    <x:row r="391" ht="15" hidden="0" customHeight="1">
      <x:c r="A391" s="70"/>
      <x:c r="B391" s="70"/>
      <x:c r="C391" s="70"/>
      <x:c r="D391" s="70"/>
      <x:c r="E391" s="70"/>
      <x:c r="F391" s="70"/>
      <x:c r="G391" s="70"/>
      <x:c r="H391" s="70"/>
    </x:row>
    <x:row r="392" ht="15" hidden="0" customHeight="1">
      <x:c r="A392" s="70"/>
      <x:c r="B392" s="70"/>
      <x:c r="C392" s="70"/>
      <x:c r="D392" s="70"/>
      <x:c r="E392" s="70"/>
      <x:c r="F392" s="70"/>
      <x:c r="G392" s="70"/>
      <x:c r="H392" s="70"/>
    </x:row>
    <x:row r="393" ht="15" hidden="0" customHeight="1">
      <x:c r="A393" s="70"/>
      <x:c r="B393" s="70"/>
      <x:c r="C393" s="70"/>
      <x:c r="D393" s="70"/>
      <x:c r="E393" s="70"/>
      <x:c r="F393" s="70"/>
      <x:c r="G393" s="70"/>
      <x:c r="H393" s="70"/>
    </x:row>
    <x:row r="394" ht="15" hidden="0" customHeight="1">
      <x:c r="A394" s="70"/>
      <x:c r="B394" s="70"/>
      <x:c r="C394" s="70"/>
      <x:c r="D394" s="70"/>
      <x:c r="E394" s="70"/>
      <x:c r="F394" s="70"/>
      <x:c r="G394" s="70"/>
      <x:c r="H394" s="70"/>
    </x:row>
    <x:row r="395" ht="15" hidden="0" customHeight="1">
      <x:c r="A395" s="70"/>
      <x:c r="B395" s="70"/>
      <x:c r="C395" s="70"/>
      <x:c r="D395" s="70"/>
      <x:c r="E395" s="70"/>
      <x:c r="F395" s="70"/>
      <x:c r="G395" s="70"/>
      <x:c r="H395" s="70"/>
    </x:row>
    <x:row r="396" ht="15" hidden="0" customHeight="1">
      <x:c r="A396" s="70"/>
      <x:c r="B396" s="70"/>
      <x:c r="C396" s="70"/>
      <x:c r="D396" s="70"/>
      <x:c r="E396" s="70"/>
      <x:c r="F396" s="70"/>
      <x:c r="G396" s="70"/>
      <x:c r="H396" s="70"/>
    </x:row>
    <x:row r="397" ht="15" hidden="0" customHeight="1">
      <x:c r="A397" s="70"/>
      <x:c r="B397" s="70"/>
      <x:c r="C397" s="70"/>
      <x:c r="D397" s="70"/>
      <x:c r="E397" s="70"/>
      <x:c r="F397" s="70"/>
      <x:c r="G397" s="70"/>
      <x:c r="H397" s="70"/>
    </x:row>
    <x:row r="398" ht="15" hidden="0" customHeight="1">
      <x:c r="A398" s="70"/>
      <x:c r="B398" s="70"/>
      <x:c r="C398" s="70"/>
      <x:c r="D398" s="70"/>
      <x:c r="E398" s="70"/>
      <x:c r="F398" s="70"/>
      <x:c r="G398" s="70"/>
      <x:c r="H398" s="70"/>
    </x:row>
    <x:row r="399" ht="15" hidden="0" customHeight="1">
      <x:c r="A399" s="70"/>
      <x:c r="B399" s="70"/>
      <x:c r="C399" s="70"/>
      <x:c r="D399" s="70"/>
      <x:c r="E399" s="70"/>
      <x:c r="F399" s="70"/>
      <x:c r="G399" s="70"/>
      <x:c r="H399" s="70"/>
    </x:row>
    <x:row r="400" ht="15" hidden="0" customHeight="1">
      <x:c r="A400" s="70"/>
      <x:c r="B400" s="70"/>
      <x:c r="C400" s="70"/>
      <x:c r="D400" s="70"/>
      <x:c r="E400" s="70"/>
      <x:c r="F400" s="70"/>
      <x:c r="G400" s="70"/>
      <x:c r="H400" s="70"/>
    </x:row>
  </x:sheetData>
  <x:mergeCells>
    <x:mergeCell ref="A1:G1"/>
    <x:mergeCell ref="A2:G2"/>
  </x:mergeCells>
  <x:pageMargins left="0.7" right="0.7" top="0.75" bottom="0.75" header="0.3" footer="0.3"/>
  <x:tableParts count="1">
    <x:tablePart xmlns:r="http://schemas.openxmlformats.org/officeDocument/2006/relationships" r:id="R9e3b89249a1247bc"/>
  </x:tableParts>
</x:worksheet>
</file>

<file path=xl/worksheets/sheet6.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5" hidden="0" customWidth="1"/>
    <x:col min="2" max="2" width="26" hidden="0" customWidth="1"/>
    <x:col min="3" max="3" width="52" hidden="0" customWidth="1"/>
    <x:col min="4" max="4" width="28" hidden="0" customWidth="1"/>
    <x:col min="5" max="5" width="38" hidden="0" customWidth="1"/>
    <x:col min="6" max="6" width="18" hidden="0" customWidth="1"/>
    <x:col min="7" max="7" width="75" hidden="0" customWidth="1"/>
  </x:cols>
  <x:sheetData>
    <x:row r="1" ht="34" customHeight="1">
      <x:c r="A1" s="3" t="str">
        <x:v>30 điểm đối chiếu nguồn → đích</x:v>
      </x:c>
      <x:c r="B1" s="3"/>
      <x:c r="C1" s="3"/>
      <x:c r="D1" s="3"/>
      <x:c r="E1" s="3"/>
      <x:c r="F1" s="3"/>
      <x:c r="G1" s="3"/>
    </x:row>
    <x:row r="2" ht="33" customHeight="1">
      <x:c r="A2" s="7" t="str">
        <x:v>PUBLIC_CONTENT không phải deployed SHA. Đọc source evidence register trước khi nhận định runtime.</x:v>
      </x:c>
      <x:c r="B2" s="7"/>
      <x:c r="C2" s="7"/>
      <x:c r="D2" s="7"/>
      <x:c r="E2" s="7"/>
      <x:c r="F2" s="7"/>
      <x:c r="G2" s="7"/>
    </x:row>
    <x:row r="4" ht="36" customHeight="1">
      <x:c r="A4" s="68" t="str">
        <x:v>ID</x:v>
      </x:c>
      <x:c r="B4" s="68" t="str">
        <x:v>Bề mặt</x:v>
      </x:c>
      <x:c r="C4" s="68" t="str">
        <x:v>Nguồn</x:v>
      </x:c>
      <x:c r="D4" s="68" t="str">
        <x:v>Hành động</x:v>
      </x:c>
      <x:c r="E4" s="68" t="str">
        <x:v>Đích</x:v>
      </x:c>
      <x:c r="F4" s="68" t="str">
        <x:v>Task</x:v>
      </x:c>
      <x:c r="G4" s="68" t="str">
        <x:v>Nghiệm thu</x:v>
      </x:c>
    </x:row>
    <x:row r="5" ht="15" hidden="0" customHeight="1">
      <x:c r="A5" s="56" t="str">
        <x:v>MAP-01</x:v>
      </x:c>
      <x:c r="B5" s="56" t="str">
        <x:v>/</x:v>
      </x:c>
      <x:c r="C5" s="56" t="str">
        <x:v>index.html</x:v>
      </x:c>
      <x:c r="D5" s="56" t="str">
        <x:v>KEEP_REWRITE</x:v>
      </x:c>
      <x:c r="E5" s="56" t="str">
        <x:v>/</x:v>
      </x:c>
      <x:c r="F5" s="56" t="str">
        <x:v>WEB-01</x:v>
      </x:c>
      <x:c r="G5" s="56" t="str">
        <x:v>Remove absoluteprediction and fake score proof; clarify launchscope</x:v>
      </x:c>
    </x:row>
    <x:row r="6" ht="15" hidden="0" customHeight="1">
      <x:c r="A6" s="56" t="str">
        <x:v>MAP-02</x:v>
      </x:c>
      <x:c r="B6" s="56" t="str">
        <x:v>/gioi-thieu</x:v>
      </x:c>
      <x:c r="C6" s="56" t="str">
        <x:v>gioi-thieu.html</x:v>
      </x:c>
      <x:c r="D6" s="56" t="str">
        <x:v>REWRITE</x:v>
      </x:c>
      <x:c r="E6" s="56" t="str">
        <x:v>/gioi-thieu</x:v>
      </x:c>
      <x:c r="F6" s="56" t="str">
        <x:v>WEB-01</x:v>
      </x:c>
      <x:c r="G6" s="56" t="str">
        <x:v>Founder selfdeclared expertise vsverified credential distinguished</x:v>
      </x:c>
    </x:row>
    <x:row r="7" ht="15" hidden="0" customHeight="1">
      <x:c r="A7" s="56" t="str">
        <x:v>MAP-03</x:v>
      </x:c>
      <x:c r="B7" s="56" t="str">
        <x:v>/he-thong-life-code</x:v>
      </x:c>
      <x:c r="C7" s="56" t="str">
        <x:v>he-thong-life-code.html</x:v>
      </x:c>
      <x:c r="D7" s="56" t="str">
        <x:v>REWRITE</x:v>
      </x:c>
      <x:c r="E7" s="56" t="str">
        <x:v>/he-thong-life-code</x:v>
      </x:c>
      <x:c r="F7" s="56" t="str">
        <x:v>GOV-02</x:v>
      </x:c>
      <x:c r="G7" s="56" t="str">
        <x:v>Correct typedclaims/12layers/9products/unknown handling</x:v>
      </x:c>
    </x:row>
    <x:row r="8" ht="15" hidden="0" customHeight="1">
      <x:c r="A8" s="56" t="str">
        <x:v>MAP-04</x:v>
      </x:c>
      <x:c r="B8" s="56" t="str">
        <x:v>/9-levels-life-code</x:v>
      </x:c>
      <x:c r="C8" s="56" t="str">
        <x:v>9-levels-life-code.html</x:v>
      </x:c>
      <x:c r="D8" s="56" t="str">
        <x:v>REWRITE</x:v>
      </x:c>
      <x:c r="E8" s="56" t="str">
        <x:v>/9-levels-life-code</x:v>
      </x:c>
      <x:c r="F8" s="56" t="str">
        <x:v>GOV-09</x:v>
      </x:c>
      <x:c r="G8" s="56" t="str">
        <x:v>DAG eligibility; page budget notevidence; scope release</x:v>
      </x:c>
    </x:row>
    <x:row r="9" ht="15" hidden="0" customHeight="1">
      <x:c r="A9" s="56" t="str">
        <x:v>MAP-05</x:v>
      </x:c>
      <x:c r="B9" s="56" t="str">
        <x:v>/life-code-index</x:v>
      </x:c>
      <x:c r="C9" s="56" t="str">
        <x:v>life-code-index.html</x:v>
      </x:c>
      <x:c r="D9" s="56" t="str">
        <x:v>DEPRECATE_LEGACY_COPY</x:v>
      </x:c>
      <x:c r="E9" s="56" t="str">
        <x:v>/life-code-index</x:v>
      </x:c>
      <x:c r="F9" s="56" t="str">
        <x:v>METHOD-07</x:v>
      </x:c>
      <x:c r="G9" s="56" t="str">
        <x:v>Nulls; no clientdenominator/inbornpersonscore</x:v>
      </x:c>
    </x:row>
    <x:row r="10" ht="15" hidden="0" customHeight="1">
      <x:c r="A10" s="56" t="str">
        <x:v>MAP-06</x:v>
      </x:c>
      <x:c r="B10" s="56" t="str">
        <x:v>/timeline-cuoc-doi</x:v>
      </x:c>
      <x:c r="C10" s="56" t="str">
        <x:v>timeline-cuoc-doi.html</x:v>
      </x:c>
      <x:c r="D10" s="56" t="str">
        <x:v>REWRITE</x:v>
      </x:c>
      <x:c r="E10" s="56" t="str">
        <x:v>/timeline-cuoc-doi</x:v>
      </x:c>
      <x:c r="F10" s="56" t="str">
        <x:v>METHOD-08</x:v>
      </x:c>
      <x:c r="G10" s="56" t="str">
        <x:v>History/symbolic/plan/model tracks; no seedrisk</x:v>
      </x:c>
    </x:row>
    <x:row r="11" ht="15" hidden="0" customHeight="1">
      <x:c r="A11" s="56" t="str">
        <x:v>MAP-07</x:v>
      </x:c>
      <x:c r="B11" s="56" t="str">
        <x:v>/bao-cao-life-code</x:v>
      </x:c>
      <x:c r="C11" s="56" t="str">
        <x:v>bao-cao-life-code.html</x:v>
      </x:c>
      <x:c r="D11" s="56" t="str">
        <x:v>REWRITE</x:v>
      </x:c>
      <x:c r="E11" s="56" t="str">
        <x:v>/bao-cao-life-code</x:v>
      </x:c>
      <x:c r="F11" s="56" t="str">
        <x:v>REPORT-01</x:v>
      </x:c>
      <x:c r="G11" s="56" t="str">
        <x:v>Structuredsnapshot/version; pagecounts conditional</x:v>
      </x:c>
    </x:row>
    <x:row r="12" ht="15" hidden="0" customHeight="1">
      <x:c r="A12" s="56" t="str">
        <x:v>MAP-08</x:v>
      </x:c>
      <x:c r="B12" s="56" t="str">
        <x:v>/bat-dau</x:v>
      </x:c>
      <x:c r="C12" s="56" t="str">
        <x:v>bat-dau.html</x:v>
      </x:c>
      <x:c r="D12" s="56" t="str">
        <x:v>CONTAIN_THEN_REPLACE</x:v>
      </x:c>
      <x:c r="E12" s="56" t="str">
        <x:v>/app/start</x:v>
      </x:c>
      <x:c r="F12" s="56" t="str">
        <x:v>P0-03</x:v>
      </x:c>
      <x:c r="G12" s="56" t="str">
        <x:v>Stop hardcoded scores and unsafe session</x:v>
      </x:c>
    </x:row>
    <x:row r="13" ht="15" hidden="0" customHeight="1">
      <x:c r="A13" s="56" t="str">
        <x:v>MAP-09</x:v>
      </x:c>
      <x:c r="B13" s="56" t="str">
        <x:v>/dashboard</x:v>
      </x:c>
      <x:c r="C13" s="56" t="str">
        <x:v>dashboard.html</x:v>
      </x:c>
      <x:c r="D13" s="56" t="str">
        <x:v>CONTAIN_THEN_REPLACE</x:v>
      </x:c>
      <x:c r="E13" s="56" t="str">
        <x:v>/app/dashboard</x:v>
      </x:c>
      <x:c r="F13" s="56" t="str">
        <x:v>WEB-06</x:v>
      </x:c>
      <x:c r="G13" s="56" t="str">
        <x:v>Privateauth goalsfirst, no pseudo-riskdials</x:v>
      </x:c>
    </x:row>
    <x:row r="14" ht="15" hidden="0" customHeight="1">
      <x:c r="A14" s="56" t="str">
        <x:v>MAP-10</x:v>
      </x:c>
      <x:c r="B14" s="56" t="str">
        <x:v>/account</x:v>
      </x:c>
      <x:c r="C14" s="56" t="str">
        <x:v>account.html</x:v>
      </x:c>
      <x:c r="D14" s="56" t="str">
        <x:v>CONTAIN_THEN_REPLACE</x:v>
      </x:c>
      <x:c r="E14" s="56" t="str">
        <x:v>/app/settings</x:v>
      </x:c>
      <x:c r="F14" s="56" t="str">
        <x:v>TRUST-01</x:v>
      </x:c>
      <x:c r="G14" s="56" t="str">
        <x:v>Session/authmodel not clientuser_id</x:v>
      </x:c>
    </x:row>
    <x:row r="15" ht="15" hidden="0" customHeight="1">
      <x:c r="A15" s="56" t="str">
        <x:v>MAP-11</x:v>
      </x:c>
      <x:c r="B15" s="56" t="str">
        <x:v>/engine-lab</x:v>
      </x:c>
      <x:c r="C15" s="56" t="str">
        <x:v>engine-lab.html</x:v>
      </x:c>
      <x:c r="D15" s="56" t="str">
        <x:v>RESTRICT</x:v>
      </x:c>
      <x:c r="E15" s="56" t="str">
        <x:v>/internal/engine-lab</x:v>
      </x:c>
      <x:c r="F15" s="56" t="str">
        <x:v>P0-05</x:v>
      </x:c>
      <x:c r="G15" s="56" t="str">
        <x:v>Serveraccess allowlist; hidealone insufficient</x:v>
      </x:c>
    </x:row>
    <x:row r="16" ht="15" hidden="0" customHeight="1">
      <x:c r="A16" s="56" t="str">
        <x:v>MAP-12</x:v>
      </x:c>
      <x:c r="B16" s="56" t="str">
        <x:v>/chinh-sach-bao-mat</x:v>
      </x:c>
      <x:c r="C16" s="56" t="str">
        <x:v>chinh-sach-bao-mat.html</x:v>
      </x:c>
      <x:c r="D16" s="56" t="str">
        <x:v>REWRITE_AND_IMPLEMENT</x:v>
      </x:c>
      <x:c r="E16" s="56" t="str">
        <x:v>/chinh-sach-bao-mat</x:v>
      </x:c>
      <x:c r="F16" s="56" t="str">
        <x:v>GOV-04</x:v>
      </x:c>
      <x:c r="G16" s="56" t="str">
        <x:v>Deletion/export not futurepromise</x:v>
      </x:c>
    </x:row>
    <x:row r="17" ht="15" hidden="0" customHeight="1">
      <x:c r="A17" s="56" t="str">
        <x:v>MAP-13</x:v>
      </x:c>
      <x:c r="B17" s="56" t="str">
        <x:v>/dieu-khoan-su-dung</x:v>
      </x:c>
      <x:c r="C17" s="56" t="str">
        <x:v>dieu-khoan-su-dung.html</x:v>
      </x:c>
      <x:c r="D17" s="56" t="str">
        <x:v>LEGAL_REVIEW</x:v>
      </x:c>
      <x:c r="E17" s="56" t="str">
        <x:v>/dieu-khoan-su-dung</x:v>
      </x:c>
      <x:c r="F17" s="56" t="str">
        <x:v>GOV-05</x:v>
      </x:c>
      <x:c r="G17" s="56" t="str">
        <x:v>VN2026AI/TMĐT/privacy scope current</x:v>
      </x:c>
    </x:row>
    <x:row r="18" ht="15" hidden="0" customHeight="1">
      <x:c r="A18" s="56" t="str">
        <x:v>MAP-14</x:v>
      </x:c>
      <x:c r="B18" s="56" t="str">
        <x:v>/ban-quyen-so-huu-tri-tue</x:v>
      </x:c>
      <x:c r="C18" s="56" t="str">
        <x:v>ban-quyen-so-huu-tri-tue.html</x:v>
      </x:c>
      <x:c r="D18" s="56" t="str">
        <x:v>RIGHTS_REVIEW</x:v>
      </x:c>
      <x:c r="E18" s="56" t="str">
        <x:v>/ban-quyen-so-huu-tri-tue</x:v>
      </x:c>
      <x:c r="F18" s="56" t="str">
        <x:v>GOV-07</x:v>
      </x:c>
      <x:c r="G18" s="56" t="str">
        <x:v>Method ideas notall owned, thirdparty expression licensed</x:v>
      </x:c>
    </x:row>
    <x:row r="19" ht="15" hidden="0" customHeight="1">
      <x:c r="A19" s="56" t="str">
        <x:v>MAP-15</x:v>
      </x:c>
      <x:c r="B19" s="56" t="str">
        <x:v>/cau-hoi-thuong-gap</x:v>
      </x:c>
      <x:c r="C19" s="56" t="str">
        <x:v>cau-hoi-thuong-gap.html</x:v>
      </x:c>
      <x:c r="D19" s="56" t="str">
        <x:v>REWRITE</x:v>
      </x:c>
      <x:c r="E19" s="56" t="str">
        <x:v>/cau-hoi-thuong-gap</x:v>
      </x:c>
      <x:c r="F19" s="56" t="str">
        <x:v>WEB-01</x:v>
      </x:c>
      <x:c r="G19" s="56" t="str">
        <x:v>Free data rights/prices unknown scope and AI disclosure</x:v>
      </x:c>
    </x:row>
    <x:row r="20" ht="15" hidden="0" customHeight="1">
      <x:c r="A20" s="56" t="str">
        <x:v>MAP-16</x:v>
      </x:c>
      <x:c r="B20" s="56" t="str">
        <x:v>/lien-he</x:v>
      </x:c>
      <x:c r="C20" s="56" t="str">
        <x:v>lien-he.html</x:v>
      </x:c>
      <x:c r="D20" s="56" t="str">
        <x:v>REWRITE</x:v>
      </x:c>
      <x:c r="E20" s="56" t="str">
        <x:v>/lien-he</x:v>
      </x:c>
      <x:c r="F20" s="56" t="str">
        <x:v>COMMERCE-08</x:v>
      </x:c>
      <x:c r="G20" s="56" t="str">
        <x:v>Support/rights channel real beforepublic promise</x:v>
      </x:c>
    </x:row>
    <x:row r="21" ht="15" hidden="0" customHeight="1">
      <x:c r="A21" s="56" t="str">
        <x:v>MAP-17</x:v>
      </x:c>
      <x:c r="B21" s="56" t="str">
        <x:v>/api/v1/profile/:id</x:v>
      </x:c>
      <x:c r="C21" s="56" t="str">
        <x:v>workers/life-code-api/src/index.js</x:v>
      </x:c>
      <x:c r="D21" s="56" t="str">
        <x:v>DISABLE_THEN_RETIRE</x:v>
      </x:c>
      <x:c r="E21" s="56" t="str">
        <x:v>/api/v2/subjects/{subjectId}</x:v>
      </x:c>
      <x:c r="F21" s="56" t="str">
        <x:v>P0-03</x:v>
      </x:c>
      <x:c r="G21" s="56" t="str">
        <x:v>No rawID access; objectgrant</x:v>
      </x:c>
    </x:row>
    <x:row r="22" ht="15" hidden="0" customHeight="1">
      <x:c r="A22" s="56" t="str">
        <x:v>MAP-18</x:v>
      </x:c>
      <x:c r="B22" s="56" t="str">
        <x:v>/api/v1/session/start</x:v>
      </x:c>
      <x:c r="C22" s="56" t="str">
        <x:v>workers/life-code-api/src/index.js</x:v>
      </x:c>
      <x:c r="D22" s="56" t="str">
        <x:v>DISABLE_THEN_RETIRE</x:v>
      </x:c>
      <x:c r="E22" s="56" t="str">
        <x:v>/api/v2/auth/login</x:v>
      </x:c>
      <x:c r="F22" s="56" t="str">
        <x:v>P0-04</x:v>
      </x:c>
      <x:c r="G22" s="56" t="str">
        <x:v>No clientasserted identity</x:v>
      </x:c>
    </x:row>
    <x:row r="23" ht="15" hidden="0" customHeight="1">
      <x:c r="A23" s="56" t="str">
        <x:v>MAP-19</x:v>
      </x:c>
      <x:c r="B23" s="56" t="str">
        <x:v>/api/v1/report</x:v>
      </x:c>
      <x:c r="C23" s="56" t="str">
        <x:v>workers/life-code-api/src/index.js</x:v>
      </x:c>
      <x:c r="D23" s="56" t="str">
        <x:v>DISABLE_THEN_ADAPT</x:v>
      </x:c>
      <x:c r="E23" s="56" t="str">
        <x:v>/api/v2/reports</x:v>
      </x:c>
      <x:c r="F23" s="56" t="str">
        <x:v>API-06</x:v>
      </x:c>
      <x:c r="G23" s="56" t="str">
        <x:v>Subject+result ownerbound, no bypassfallback</x:v>
      </x:c>
    </x:row>
    <x:row r="24" ht="15" hidden="0" customHeight="1">
      <x:c r="A24" s="56" t="str">
        <x:v>MAP-20</x:v>
      </x:c>
      <x:c r="B24" s="56" t="str">
        <x:v>/api/v1/lci</x:v>
      </x:c>
      <x:c r="C24" s="56" t="str">
        <x:v>workers/life-code-api/src/engine.mjs</x:v>
      </x:c>
      <x:c r="D24" s="56" t="str">
        <x:v>QUARANTINE</x:v>
      </x:c>
      <x:c r="E24" s="56" t="str">
        <x:v>/api/v2/analysis-runs</x:v>
      </x:c>
      <x:c r="F24" s="56" t="str">
        <x:v>METHOD-07</x:v>
      </x:c>
      <x:c r="G24" s="56" t="str">
        <x:v>No legacy weightedfake metric</x:v>
      </x:c>
    </x:row>
    <x:row r="25" ht="15" hidden="0" customHeight="1">
      <x:c r="A25" s="56" t="str">
        <x:v>MAP-21</x:v>
      </x:c>
      <x:c r="B25" s="56" t="str">
        <x:v>/api/v1/timeline</x:v>
      </x:c>
      <x:c r="C25" s="56" t="str">
        <x:v>engine/core/timeline.js</x:v>
      </x:c>
      <x:c r="D25" s="56" t="str">
        <x:v>QUARANTINE</x:v>
      </x:c>
      <x:c r="E25" s="56" t="str">
        <x:v>/api/v2/subjects/{subjectId}/timeline</x:v>
      </x:c>
      <x:c r="F25" s="56" t="str">
        <x:v>METHOD-08</x:v>
      </x:c>
      <x:c r="G25" s="56" t="str">
        <x:v>Sinseed unavailable public</x:v>
      </x:c>
    </x:row>
    <x:row r="26" ht="15" hidden="0" customHeight="1">
      <x:c r="A26" s="56" t="str">
        <x:v>MAP-22</x:v>
      </x:c>
      <x:c r="B26" s="56" t="str">
        <x:v>/api/v1/life-code-data</x:v>
      </x:c>
      <x:c r="C26" s="56" t="str">
        <x:v>workers/life-code-api/src/index.js</x:v>
      </x:c>
      <x:c r="D26" s="56" t="str">
        <x:v>RETIRE_LEGACY_WRITE</x:v>
      </x:c>
      <x:c r="E26" s="56" t="str">
        <x:v>/api/v2/analysis-runs</x:v>
      </x:c>
      <x:c r="F26" s="56" t="str">
        <x:v>API-03</x:v>
      </x:c>
      <x:c r="G26" s="56" t="str">
        <x:v>Typedresult, validatedserver methods</x:v>
      </x:c>
    </x:row>
    <x:row r="27" ht="15" hidden="0" customHeight="1">
      <x:c r="A27" s="56" t="str">
        <x:v>MAP-23</x:v>
      </x:c>
      <x:c r="B27" s="56" t="str">
        <x:v>BUILD</x:v>
      </x:c>
      <x:c r="C27" s="56" t="str">
        <x:v>scripts/prepare-pages.sh</x:v>
      </x:c>
      <x:c r="D27" s="56" t="str">
        <x:v>REPLACE</x:v>
      </x:c>
      <x:c r="E27" s="56" t="str">
        <x:v>apps/public-web/build</x:v>
      </x:c>
      <x:c r="F27" s="56" t="str">
        <x:v>OPS-02</x:v>
      </x:c>
      <x:c r="G27" s="56" t="str">
        <x:v>Publicallowlist notdenylist</x:v>
      </x:c>
    </x:row>
    <x:row r="28" ht="15" hidden="0" customHeight="1">
      <x:c r="A28" s="56" t="str">
        <x:v>MAP-24</x:v>
      </x:c>
      <x:c r="B28" s="56" t="str">
        <x:v>CI</x:v>
      </x:c>
      <x:c r="C28" s="56" t="str">
        <x:v>.github/workflows/deploy-pages.yml</x:v>
      </x:c>
      <x:c r="D28" s="56" t="str">
        <x:v>REPLACE</x:v>
      </x:c>
      <x:c r="E28" s="56" t="str">
        <x:v>ci/release-policy</x:v>
      </x:c>
      <x:c r="F28" s="56" t="str">
        <x:v>OPS-01</x:v>
      </x:c>
      <x:c r="G28" s="56" t="str">
        <x:v>No dirtydeploy; manifest andgate beforedelivery</x:v>
      </x:c>
    </x:row>
    <x:row r="29" ht="15" hidden="0" customHeight="1">
      <x:c r="A29" s="56" t="str">
        <x:v>MAP-25</x:v>
      </x:c>
      <x:c r="B29" s="56" t="str">
        <x:v>CI-WORKER</x:v>
      </x:c>
      <x:c r="C29" s="56" t="str">
        <x:v>.github/workflows/deploy-worker.yml</x:v>
      </x:c>
      <x:c r="D29" s="56" t="str">
        <x:v>REVIEW</x:v>
      </x:c>
      <x:c r="E29" s="56" t="str">
        <x:v>ci/worker-release</x:v>
      </x:c>
      <x:c r="F29" s="56" t="str">
        <x:v>OPS-03</x:v>
      </x:c>
      <x:c r="G29" s="56" t="str">
        <x:v>Separate receipt Worker andPages</x:v>
      </x:c>
    </x:row>
    <x:row r="30" ht="15" hidden="0" customHeight="1">
      <x:c r="A30" s="56" t="str">
        <x:v>MAP-26</x:v>
      </x:c>
      <x:c r="B30" s="56" t="str">
        <x:v>METHOD-CORE</x:v>
      </x:c>
      <x:c r="C30" s="56" t="str">
        <x:v>engine/core + workers/life-code-api/src/engine.mjs</x:v>
      </x:c>
      <x:c r="D30" s="56" t="str">
        <x:v>CONSOLIDATE</x:v>
      </x:c>
      <x:c r="E30" s="56" t="str">
        <x:v>packages/method-core</x:v>
      </x:c>
      <x:c r="F30" s="56" t="str">
        <x:v>METHOD-10</x:v>
      </x:c>
      <x:c r="G30" s="56" t="str">
        <x:v>Singleimplementation noUI copy</x:v>
      </x:c>
    </x:row>
    <x:row r="31" ht="15" hidden="0" customHeight="1">
      <x:c r="A31" s="56" t="str">
        <x:v>MAP-27</x:v>
      </x:c>
      <x:c r="B31" s="56" t="str">
        <x:v>DB</x:v>
      </x:c>
      <x:c r="C31" s="56" t="str">
        <x:v>workers/life-code-api/migrations</x:v>
      </x:c>
      <x:c r="D31" s="56" t="str">
        <x:v>MIGRATE_CONTROLLED</x:v>
      </x:c>
      <x:c r="E31" s="56" t="str">
        <x:v>database/migrations</x:v>
      </x:c>
      <x:c r="F31" s="56" t="str">
        <x:v>DATA-04</x:v>
      </x:c>
      <x:c r="G31" s="56" t="str">
        <x:v>CurrentD1 not PG, validownership beforemigration</x:v>
      </x:c>
    </x:row>
    <x:row r="32" ht="15" hidden="0" customHeight="1">
      <x:c r="A32" s="56" t="str">
        <x:v>MAP-28</x:v>
      </x:c>
      <x:c r="B32" s="56" t="str">
        <x:v>DOCS</x:v>
      </x:c>
      <x:c r="C32" s="56" t="str">
        <x:v>docs/LEVELS_ARCHITECTURE_V1.md</x:v>
      </x:c>
      <x:c r="D32" s="56" t="str">
        <x:v>SUPERSEDE_AFTER_APPROVAL</x:v>
      </x:c>
      <x:c r="E32" s="56" t="str">
        <x:v>specs/products/NINE_LEVELS</x:v>
      </x:c>
      <x:c r="F32" s="56" t="str">
        <x:v>GOV-01</x:v>
      </x:c>
      <x:c r="G32" s="56" t="str">
        <x:v>Sequentialstronggating explicitlydeprecated</x:v>
      </x:c>
    </x:row>
    <x:row r="33" ht="24" hidden="0" customHeight="1">
      <x:c r="A33" s="56" t="str">
        <x:v>MAP-29</x:v>
      </x:c>
      <x:c r="B33" s="56" t="str">
        <x:v>DOCS</x:v>
      </x:c>
      <x:c r="C33" s="56" t="str">
        <x:v>docs/audit/LIFE_CODE_OS_COMPREHENSIVE_UPGRADE_PLAN_2026-10-11.md</x:v>
      </x:c>
      <x:c r="D33" s="56" t="str">
        <x:v>RECONCILE</x:v>
      </x:c>
      <x:c r="E33" s="56" t="str">
        <x:v>docs/master</x:v>
      </x:c>
      <x:c r="F33" s="56" t="str">
        <x:v>GOV-01</x:v>
      </x:c>
      <x:c r="G33" s="56" t="str">
        <x:v>Newbranch plan notproof runtimefix</x:v>
      </x:c>
    </x:row>
    <x:row r="34" ht="15" hidden="0" customHeight="1">
      <x:c r="A34" s="56" t="str">
        <x:v>MAP-30</x:v>
      </x:c>
      <x:c r="B34" s="56" t="str">
        <x:v>STATUS</x:v>
      </x:c>
      <x:c r="C34" s="56" t="str">
        <x:v>PROJECT_STATUS_MASTER.md</x:v>
      </x:c>
      <x:c r="D34" s="56" t="str">
        <x:v>CORRECT_EVIDENCE</x:v>
      </x:c>
      <x:c r="E34" s="56" t="str">
        <x:v>docs/status</x:v>
      </x:c>
      <x:c r="F34" s="56" t="str">
        <x:v>P0-02</x:v>
      </x:c>
      <x:c r="G34" s="56" t="str">
        <x:v>No subjective90–95% readiness</x:v>
      </x:c>
    </x:row>
    <x:row r="35" ht="15" hidden="0" customHeight="1">
      <x:c r="A35" s="70"/>
      <x:c r="B35" s="70"/>
      <x:c r="C35" s="70"/>
      <x:c r="D35" s="70"/>
      <x:c r="E35" s="70"/>
      <x:c r="F35" s="70"/>
      <x:c r="G35" s="70"/>
    </x:row>
    <x:row r="36" ht="15" hidden="0" customHeight="1">
      <x:c r="A36" s="70"/>
      <x:c r="B36" s="70"/>
      <x:c r="C36" s="70"/>
      <x:c r="D36" s="70"/>
      <x:c r="E36" s="70"/>
      <x:c r="F36" s="70"/>
      <x:c r="G36" s="70"/>
    </x:row>
    <x:row r="37" ht="15" hidden="0" customHeight="1">
      <x:c r="A37" s="70"/>
      <x:c r="B37" s="70"/>
      <x:c r="C37" s="70"/>
      <x:c r="D37" s="70"/>
      <x:c r="E37" s="70"/>
      <x:c r="F37" s="70"/>
      <x:c r="G37" s="70"/>
    </x:row>
    <x:row r="38" ht="15" hidden="0" customHeight="1">
      <x:c r="A38" s="70"/>
      <x:c r="B38" s="70"/>
      <x:c r="C38" s="70"/>
      <x:c r="D38" s="70"/>
      <x:c r="E38" s="70"/>
      <x:c r="F38" s="70"/>
      <x:c r="G38" s="70"/>
    </x:row>
    <x:row r="39" ht="15" hidden="0" customHeight="1">
      <x:c r="A39" s="70"/>
      <x:c r="B39" s="70"/>
      <x:c r="C39" s="70"/>
      <x:c r="D39" s="70"/>
      <x:c r="E39" s="70"/>
      <x:c r="F39" s="70"/>
      <x:c r="G39" s="70"/>
    </x:row>
    <x:row r="40" ht="15" hidden="0" customHeight="1">
      <x:c r="A40" s="70"/>
      <x:c r="B40" s="70"/>
      <x:c r="C40" s="70"/>
      <x:c r="D40" s="70"/>
      <x:c r="E40" s="70"/>
      <x:c r="F40" s="70"/>
      <x:c r="G40" s="70"/>
    </x:row>
    <x:row r="41" ht="15" hidden="0" customHeight="1">
      <x:c r="A41" s="70"/>
      <x:c r="B41" s="70"/>
      <x:c r="C41" s="70"/>
      <x:c r="D41" s="70"/>
      <x:c r="E41" s="70"/>
      <x:c r="F41" s="70"/>
      <x:c r="G41" s="70"/>
    </x:row>
    <x:row r="42" ht="15" hidden="0" customHeight="1">
      <x:c r="A42" s="70"/>
      <x:c r="B42" s="70"/>
      <x:c r="C42" s="70"/>
      <x:c r="D42" s="70"/>
      <x:c r="E42" s="70"/>
      <x:c r="F42" s="70"/>
      <x:c r="G42" s="70"/>
    </x:row>
    <x:row r="43" ht="15" hidden="0" customHeight="1">
      <x:c r="A43" s="70"/>
      <x:c r="B43" s="70"/>
      <x:c r="C43" s="70"/>
      <x:c r="D43" s="70"/>
      <x:c r="E43" s="70"/>
      <x:c r="F43" s="70"/>
      <x:c r="G43" s="70"/>
    </x:row>
    <x:row r="44" ht="15" hidden="0" customHeight="1">
      <x:c r="A44" s="70"/>
      <x:c r="B44" s="70"/>
      <x:c r="C44" s="70"/>
      <x:c r="D44" s="70"/>
      <x:c r="E44" s="70"/>
      <x:c r="F44" s="70"/>
      <x:c r="G44" s="70"/>
    </x:row>
    <x:row r="45" ht="15" hidden="0" customHeight="1">
      <x:c r="A45" s="70"/>
      <x:c r="B45" s="70"/>
      <x:c r="C45" s="70"/>
      <x:c r="D45" s="70"/>
      <x:c r="E45" s="70"/>
      <x:c r="F45" s="70"/>
      <x:c r="G45" s="70"/>
    </x:row>
    <x:row r="46" ht="15" hidden="0" customHeight="1">
      <x:c r="A46" s="70"/>
      <x:c r="B46" s="70"/>
      <x:c r="C46" s="70"/>
      <x:c r="D46" s="70"/>
      <x:c r="E46" s="70"/>
      <x:c r="F46" s="70"/>
      <x:c r="G46" s="70"/>
    </x:row>
    <x:row r="47" ht="15" hidden="0" customHeight="1">
      <x:c r="A47" s="70"/>
      <x:c r="B47" s="70"/>
      <x:c r="C47" s="70"/>
      <x:c r="D47" s="70"/>
      <x:c r="E47" s="70"/>
      <x:c r="F47" s="70"/>
      <x:c r="G47" s="70"/>
    </x:row>
    <x:row r="48" ht="15" hidden="0" customHeight="1">
      <x:c r="A48" s="70"/>
      <x:c r="B48" s="70"/>
      <x:c r="C48" s="70"/>
      <x:c r="D48" s="70"/>
      <x:c r="E48" s="70"/>
      <x:c r="F48" s="70"/>
      <x:c r="G48" s="70"/>
    </x:row>
    <x:row r="49" ht="15" hidden="0" customHeight="1">
      <x:c r="A49" s="70"/>
      <x:c r="B49" s="70"/>
      <x:c r="C49" s="70"/>
      <x:c r="D49" s="70"/>
      <x:c r="E49" s="70"/>
      <x:c r="F49" s="70"/>
      <x:c r="G49" s="70"/>
    </x:row>
    <x:row r="50" ht="15" hidden="0" customHeight="1">
      <x:c r="A50" s="70"/>
      <x:c r="B50" s="70"/>
      <x:c r="C50" s="70"/>
      <x:c r="D50" s="70"/>
      <x:c r="E50" s="70"/>
      <x:c r="F50" s="70"/>
      <x:c r="G50" s="70"/>
    </x:row>
    <x:row r="51" ht="15" hidden="0" customHeight="1">
      <x:c r="A51" s="70"/>
      <x:c r="B51" s="70"/>
      <x:c r="C51" s="70"/>
      <x:c r="D51" s="70"/>
      <x:c r="E51" s="70"/>
      <x:c r="F51" s="70"/>
      <x:c r="G51" s="70"/>
    </x:row>
    <x:row r="52" ht="15" hidden="0" customHeight="1">
      <x:c r="A52" s="70"/>
      <x:c r="B52" s="70"/>
      <x:c r="C52" s="70"/>
      <x:c r="D52" s="70"/>
      <x:c r="E52" s="70"/>
      <x:c r="F52" s="70"/>
      <x:c r="G52" s="70"/>
    </x:row>
    <x:row r="53" ht="15" hidden="0" customHeight="1">
      <x:c r="A53" s="70"/>
      <x:c r="B53" s="70"/>
      <x:c r="C53" s="70"/>
      <x:c r="D53" s="70"/>
      <x:c r="E53" s="70"/>
      <x:c r="F53" s="70"/>
      <x:c r="G53" s="70"/>
    </x:row>
    <x:row r="54" ht="15" hidden="0" customHeight="1">
      <x:c r="A54" s="70"/>
      <x:c r="B54" s="70"/>
      <x:c r="C54" s="70"/>
      <x:c r="D54" s="70"/>
      <x:c r="E54" s="70"/>
      <x:c r="F54" s="70"/>
      <x:c r="G54" s="70"/>
    </x:row>
    <x:row r="55" ht="15" hidden="0" customHeight="1">
      <x:c r="A55" s="70"/>
      <x:c r="B55" s="70"/>
      <x:c r="C55" s="70"/>
      <x:c r="D55" s="70"/>
      <x:c r="E55" s="70"/>
      <x:c r="F55" s="70"/>
      <x:c r="G55" s="70"/>
    </x:row>
    <x:row r="56" ht="15" hidden="0" customHeight="1">
      <x:c r="A56" s="70"/>
      <x:c r="B56" s="70"/>
      <x:c r="C56" s="70"/>
      <x:c r="D56" s="70"/>
      <x:c r="E56" s="70"/>
      <x:c r="F56" s="70"/>
      <x:c r="G56" s="70"/>
    </x:row>
    <x:row r="57" ht="15" hidden="0" customHeight="1">
      <x:c r="A57" s="70"/>
      <x:c r="B57" s="70"/>
      <x:c r="C57" s="70"/>
      <x:c r="D57" s="70"/>
      <x:c r="E57" s="70"/>
      <x:c r="F57" s="70"/>
      <x:c r="G57" s="70"/>
    </x:row>
    <x:row r="58" ht="15" hidden="0" customHeight="1">
      <x:c r="A58" s="70"/>
      <x:c r="B58" s="70"/>
      <x:c r="C58" s="70"/>
      <x:c r="D58" s="70"/>
      <x:c r="E58" s="70"/>
      <x:c r="F58" s="70"/>
      <x:c r="G58" s="70"/>
    </x:row>
    <x:row r="59" ht="15" hidden="0" customHeight="1">
      <x:c r="A59" s="70"/>
      <x:c r="B59" s="70"/>
      <x:c r="C59" s="70"/>
      <x:c r="D59" s="70"/>
      <x:c r="E59" s="70"/>
      <x:c r="F59" s="70"/>
      <x:c r="G59" s="70"/>
    </x:row>
    <x:row r="60" ht="15" hidden="0" customHeight="1">
      <x:c r="A60" s="70"/>
      <x:c r="B60" s="70"/>
      <x:c r="C60" s="70"/>
      <x:c r="D60" s="70"/>
      <x:c r="E60" s="70"/>
      <x:c r="F60" s="70"/>
      <x:c r="G60" s="70"/>
    </x:row>
    <x:row r="61" ht="15" hidden="0" customHeight="1">
      <x:c r="A61" s="70"/>
      <x:c r="B61" s="70"/>
      <x:c r="C61" s="70"/>
      <x:c r="D61" s="70"/>
      <x:c r="E61" s="70"/>
      <x:c r="F61" s="70"/>
      <x:c r="G61" s="70"/>
    </x:row>
    <x:row r="62" ht="15" hidden="0" customHeight="1">
      <x:c r="A62" s="70"/>
      <x:c r="B62" s="70"/>
      <x:c r="C62" s="70"/>
      <x:c r="D62" s="70"/>
      <x:c r="E62" s="70"/>
      <x:c r="F62" s="70"/>
      <x:c r="G62" s="70"/>
    </x:row>
    <x:row r="63" ht="15" hidden="0" customHeight="1">
      <x:c r="A63" s="70"/>
      <x:c r="B63" s="70"/>
      <x:c r="C63" s="70"/>
      <x:c r="D63" s="70"/>
      <x:c r="E63" s="70"/>
      <x:c r="F63" s="70"/>
      <x:c r="G63" s="70"/>
    </x:row>
    <x:row r="64" ht="15" hidden="0" customHeight="1">
      <x:c r="A64" s="70"/>
      <x:c r="B64" s="70"/>
      <x:c r="C64" s="70"/>
      <x:c r="D64" s="70"/>
      <x:c r="E64" s="70"/>
      <x:c r="F64" s="70"/>
      <x:c r="G64" s="70"/>
    </x:row>
    <x:row r="65" ht="15" hidden="0" customHeight="1">
      <x:c r="A65" s="70"/>
      <x:c r="B65" s="70"/>
      <x:c r="C65" s="70"/>
      <x:c r="D65" s="70"/>
      <x:c r="E65" s="70"/>
      <x:c r="F65" s="70"/>
      <x:c r="G65" s="70"/>
    </x:row>
    <x:row r="66" ht="15" hidden="0" customHeight="1">
      <x:c r="A66" s="70"/>
      <x:c r="B66" s="70"/>
      <x:c r="C66" s="70"/>
      <x:c r="D66" s="70"/>
      <x:c r="E66" s="70"/>
      <x:c r="F66" s="70"/>
      <x:c r="G66" s="70"/>
    </x:row>
    <x:row r="67" ht="15" hidden="0" customHeight="1">
      <x:c r="A67" s="70"/>
      <x:c r="B67" s="70"/>
      <x:c r="C67" s="70"/>
      <x:c r="D67" s="70"/>
      <x:c r="E67" s="70"/>
      <x:c r="F67" s="70"/>
      <x:c r="G67" s="70"/>
    </x:row>
    <x:row r="68" ht="15" hidden="0" customHeight="1">
      <x:c r="A68" s="70"/>
      <x:c r="B68" s="70"/>
      <x:c r="C68" s="70"/>
      <x:c r="D68" s="70"/>
      <x:c r="E68" s="70"/>
      <x:c r="F68" s="70"/>
      <x:c r="G68" s="70"/>
    </x:row>
    <x:row r="69" ht="15" hidden="0" customHeight="1">
      <x:c r="A69" s="70"/>
      <x:c r="B69" s="70"/>
      <x:c r="C69" s="70"/>
      <x:c r="D69" s="70"/>
      <x:c r="E69" s="70"/>
      <x:c r="F69" s="70"/>
      <x:c r="G69" s="70"/>
    </x:row>
    <x:row r="70" ht="15" hidden="0" customHeight="1">
      <x:c r="A70" s="70"/>
      <x:c r="B70" s="70"/>
      <x:c r="C70" s="70"/>
      <x:c r="D70" s="70"/>
      <x:c r="E70" s="70"/>
      <x:c r="F70" s="70"/>
      <x:c r="G70" s="70"/>
    </x:row>
    <x:row r="71" ht="15" hidden="0" customHeight="1">
      <x:c r="A71" s="70"/>
      <x:c r="B71" s="70"/>
      <x:c r="C71" s="70"/>
      <x:c r="D71" s="70"/>
      <x:c r="E71" s="70"/>
      <x:c r="F71" s="70"/>
      <x:c r="G71" s="70"/>
    </x:row>
    <x:row r="72" ht="15" hidden="0" customHeight="1">
      <x:c r="A72" s="70"/>
      <x:c r="B72" s="70"/>
      <x:c r="C72" s="70"/>
      <x:c r="D72" s="70"/>
      <x:c r="E72" s="70"/>
      <x:c r="F72" s="70"/>
      <x:c r="G72" s="70"/>
    </x:row>
    <x:row r="73" ht="15" hidden="0" customHeight="1">
      <x:c r="A73" s="70"/>
      <x:c r="B73" s="70"/>
      <x:c r="C73" s="70"/>
      <x:c r="D73" s="70"/>
      <x:c r="E73" s="70"/>
      <x:c r="F73" s="70"/>
      <x:c r="G73" s="70"/>
    </x:row>
    <x:row r="74" ht="15" hidden="0" customHeight="1">
      <x:c r="A74" s="70"/>
      <x:c r="B74" s="70"/>
      <x:c r="C74" s="70"/>
      <x:c r="D74" s="70"/>
      <x:c r="E74" s="70"/>
      <x:c r="F74" s="70"/>
      <x:c r="G74" s="70"/>
    </x:row>
    <x:row r="75" ht="15" hidden="0" customHeight="1">
      <x:c r="A75" s="70"/>
      <x:c r="B75" s="70"/>
      <x:c r="C75" s="70"/>
      <x:c r="D75" s="70"/>
      <x:c r="E75" s="70"/>
      <x:c r="F75" s="70"/>
      <x:c r="G75" s="70"/>
    </x:row>
    <x:row r="76" ht="15" hidden="0" customHeight="1">
      <x:c r="A76" s="70"/>
      <x:c r="B76" s="70"/>
      <x:c r="C76" s="70"/>
      <x:c r="D76" s="70"/>
      <x:c r="E76" s="70"/>
      <x:c r="F76" s="70"/>
      <x:c r="G76" s="70"/>
    </x:row>
    <x:row r="77" ht="15" hidden="0" customHeight="1">
      <x:c r="A77" s="70"/>
      <x:c r="B77" s="70"/>
      <x:c r="C77" s="70"/>
      <x:c r="D77" s="70"/>
      <x:c r="E77" s="70"/>
      <x:c r="F77" s="70"/>
      <x:c r="G77" s="70"/>
    </x:row>
    <x:row r="78" ht="15" hidden="0" customHeight="1">
      <x:c r="A78" s="70"/>
      <x:c r="B78" s="70"/>
      <x:c r="C78" s="70"/>
      <x:c r="D78" s="70"/>
      <x:c r="E78" s="70"/>
      <x:c r="F78" s="70"/>
      <x:c r="G78" s="70"/>
    </x:row>
    <x:row r="79" ht="15" hidden="0" customHeight="1">
      <x:c r="A79" s="70"/>
      <x:c r="B79" s="70"/>
      <x:c r="C79" s="70"/>
      <x:c r="D79" s="70"/>
      <x:c r="E79" s="70"/>
      <x:c r="F79" s="70"/>
      <x:c r="G79" s="70"/>
    </x:row>
    <x:row r="80" ht="15" hidden="0" customHeight="1">
      <x:c r="A80" s="70"/>
      <x:c r="B80" s="70"/>
      <x:c r="C80" s="70"/>
      <x:c r="D80" s="70"/>
      <x:c r="E80" s="70"/>
      <x:c r="F80" s="70"/>
      <x:c r="G80" s="70"/>
    </x:row>
    <x:row r="81" ht="15" hidden="0" customHeight="1">
      <x:c r="A81" s="70"/>
      <x:c r="B81" s="70"/>
      <x:c r="C81" s="70"/>
      <x:c r="D81" s="70"/>
      <x:c r="E81" s="70"/>
      <x:c r="F81" s="70"/>
      <x:c r="G81" s="70"/>
    </x:row>
    <x:row r="82" ht="15" hidden="0" customHeight="1">
      <x:c r="A82" s="70"/>
      <x:c r="B82" s="70"/>
      <x:c r="C82" s="70"/>
      <x:c r="D82" s="70"/>
      <x:c r="E82" s="70"/>
      <x:c r="F82" s="70"/>
      <x:c r="G82" s="70"/>
    </x:row>
    <x:row r="83" ht="15" hidden="0" customHeight="1">
      <x:c r="A83" s="70"/>
      <x:c r="B83" s="70"/>
      <x:c r="C83" s="70"/>
      <x:c r="D83" s="70"/>
      <x:c r="E83" s="70"/>
      <x:c r="F83" s="70"/>
      <x:c r="G83" s="70"/>
    </x:row>
    <x:row r="84" ht="15" hidden="0" customHeight="1">
      <x:c r="A84" s="70"/>
      <x:c r="B84" s="70"/>
      <x:c r="C84" s="70"/>
      <x:c r="D84" s="70"/>
      <x:c r="E84" s="70"/>
      <x:c r="F84" s="70"/>
      <x:c r="G84" s="70"/>
    </x:row>
    <x:row r="85" ht="15" hidden="0" customHeight="1">
      <x:c r="A85" s="70"/>
      <x:c r="B85" s="70"/>
      <x:c r="C85" s="70"/>
      <x:c r="D85" s="70"/>
      <x:c r="E85" s="70"/>
      <x:c r="F85" s="70"/>
      <x:c r="G85" s="70"/>
    </x:row>
    <x:row r="86" ht="15" hidden="0" customHeight="1">
      <x:c r="A86" s="70"/>
      <x:c r="B86" s="70"/>
      <x:c r="C86" s="70"/>
      <x:c r="D86" s="70"/>
      <x:c r="E86" s="70"/>
      <x:c r="F86" s="70"/>
      <x:c r="G86" s="70"/>
    </x:row>
    <x:row r="87" ht="15" hidden="0" customHeight="1">
      <x:c r="A87" s="70"/>
      <x:c r="B87" s="70"/>
      <x:c r="C87" s="70"/>
      <x:c r="D87" s="70"/>
      <x:c r="E87" s="70"/>
      <x:c r="F87" s="70"/>
      <x:c r="G87" s="70"/>
    </x:row>
    <x:row r="88" ht="15" hidden="0" customHeight="1">
      <x:c r="A88" s="70"/>
      <x:c r="B88" s="70"/>
      <x:c r="C88" s="70"/>
      <x:c r="D88" s="70"/>
      <x:c r="E88" s="70"/>
      <x:c r="F88" s="70"/>
      <x:c r="G88" s="70"/>
    </x:row>
    <x:row r="89" ht="15" hidden="0" customHeight="1">
      <x:c r="A89" s="70"/>
      <x:c r="B89" s="70"/>
      <x:c r="C89" s="70"/>
      <x:c r="D89" s="70"/>
      <x:c r="E89" s="70"/>
      <x:c r="F89" s="70"/>
      <x:c r="G89" s="70"/>
    </x:row>
    <x:row r="90" ht="15" hidden="0" customHeight="1">
      <x:c r="A90" s="70"/>
      <x:c r="B90" s="70"/>
      <x:c r="C90" s="70"/>
      <x:c r="D90" s="70"/>
      <x:c r="E90" s="70"/>
      <x:c r="F90" s="70"/>
      <x:c r="G90" s="70"/>
    </x:row>
    <x:row r="91" ht="15" hidden="0" customHeight="1">
      <x:c r="A91" s="70"/>
      <x:c r="B91" s="70"/>
      <x:c r="C91" s="70"/>
      <x:c r="D91" s="70"/>
      <x:c r="E91" s="70"/>
      <x:c r="F91" s="70"/>
      <x:c r="G91" s="70"/>
    </x:row>
    <x:row r="92" ht="15" hidden="0" customHeight="1">
      <x:c r="A92" s="70"/>
      <x:c r="B92" s="70"/>
      <x:c r="C92" s="70"/>
      <x:c r="D92" s="70"/>
      <x:c r="E92" s="70"/>
      <x:c r="F92" s="70"/>
      <x:c r="G92" s="70"/>
    </x:row>
    <x:row r="93" ht="15" hidden="0" customHeight="1">
      <x:c r="A93" s="70"/>
      <x:c r="B93" s="70"/>
      <x:c r="C93" s="70"/>
      <x:c r="D93" s="70"/>
      <x:c r="E93" s="70"/>
      <x:c r="F93" s="70"/>
      <x:c r="G93" s="70"/>
    </x:row>
    <x:row r="94" ht="15" hidden="0" customHeight="1">
      <x:c r="A94" s="70"/>
      <x:c r="B94" s="70"/>
      <x:c r="C94" s="70"/>
      <x:c r="D94" s="70"/>
      <x:c r="E94" s="70"/>
      <x:c r="F94" s="70"/>
      <x:c r="G94" s="70"/>
    </x:row>
    <x:row r="95" ht="15" hidden="0" customHeight="1">
      <x:c r="A95" s="70"/>
      <x:c r="B95" s="70"/>
      <x:c r="C95" s="70"/>
      <x:c r="D95" s="70"/>
      <x:c r="E95" s="70"/>
      <x:c r="F95" s="70"/>
      <x:c r="G95" s="70"/>
    </x:row>
    <x:row r="96" ht="15" hidden="0" customHeight="1">
      <x:c r="A96" s="70"/>
      <x:c r="B96" s="70"/>
      <x:c r="C96" s="70"/>
      <x:c r="D96" s="70"/>
      <x:c r="E96" s="70"/>
      <x:c r="F96" s="70"/>
      <x:c r="G96" s="70"/>
    </x:row>
    <x:row r="97" ht="15" hidden="0" customHeight="1">
      <x:c r="A97" s="70"/>
      <x:c r="B97" s="70"/>
      <x:c r="C97" s="70"/>
      <x:c r="D97" s="70"/>
      <x:c r="E97" s="70"/>
      <x:c r="F97" s="70"/>
      <x:c r="G97" s="70"/>
    </x:row>
    <x:row r="98" ht="15" hidden="0" customHeight="1">
      <x:c r="A98" s="70"/>
      <x:c r="B98" s="70"/>
      <x:c r="C98" s="70"/>
      <x:c r="D98" s="70"/>
      <x:c r="E98" s="70"/>
      <x:c r="F98" s="70"/>
      <x:c r="G98" s="70"/>
    </x:row>
    <x:row r="99" ht="15" hidden="0" customHeight="1">
      <x:c r="A99" s="70"/>
      <x:c r="B99" s="70"/>
      <x:c r="C99" s="70"/>
      <x:c r="D99" s="70"/>
      <x:c r="E99" s="70"/>
      <x:c r="F99" s="70"/>
      <x:c r="G99" s="70"/>
    </x:row>
    <x:row r="100" ht="15" hidden="0" customHeight="1">
      <x:c r="A100" s="70"/>
      <x:c r="B100" s="70"/>
      <x:c r="C100" s="70"/>
      <x:c r="D100" s="70"/>
      <x:c r="E100" s="70"/>
      <x:c r="F100" s="70"/>
      <x:c r="G100" s="70"/>
    </x:row>
    <x:row r="101" ht="15" hidden="0" customHeight="1">
      <x:c r="A101" s="70"/>
      <x:c r="B101" s="70"/>
      <x:c r="C101" s="70"/>
      <x:c r="D101" s="70"/>
      <x:c r="E101" s="70"/>
      <x:c r="F101" s="70"/>
      <x:c r="G101" s="70"/>
    </x:row>
    <x:row r="102" ht="15" hidden="0" customHeight="1">
      <x:c r="A102" s="70"/>
      <x:c r="B102" s="70"/>
      <x:c r="C102" s="70"/>
      <x:c r="D102" s="70"/>
      <x:c r="E102" s="70"/>
      <x:c r="F102" s="70"/>
      <x:c r="G102" s="70"/>
    </x:row>
    <x:row r="103" ht="15" hidden="0" customHeight="1">
      <x:c r="A103" s="70"/>
      <x:c r="B103" s="70"/>
      <x:c r="C103" s="70"/>
      <x:c r="D103" s="70"/>
      <x:c r="E103" s="70"/>
      <x:c r="F103" s="70"/>
      <x:c r="G103" s="70"/>
    </x:row>
    <x:row r="104" ht="15" hidden="0" customHeight="1">
      <x:c r="A104" s="70"/>
      <x:c r="B104" s="70"/>
      <x:c r="C104" s="70"/>
      <x:c r="D104" s="70"/>
      <x:c r="E104" s="70"/>
      <x:c r="F104" s="70"/>
      <x:c r="G104" s="70"/>
    </x:row>
    <x:row r="105" ht="15" hidden="0" customHeight="1">
      <x:c r="A105" s="70"/>
      <x:c r="B105" s="70"/>
      <x:c r="C105" s="70"/>
      <x:c r="D105" s="70"/>
      <x:c r="E105" s="70"/>
      <x:c r="F105" s="70"/>
      <x:c r="G105" s="70"/>
    </x:row>
    <x:row r="106" ht="15" hidden="0" customHeight="1">
      <x:c r="A106" s="70"/>
      <x:c r="B106" s="70"/>
      <x:c r="C106" s="70"/>
      <x:c r="D106" s="70"/>
      <x:c r="E106" s="70"/>
      <x:c r="F106" s="70"/>
      <x:c r="G106" s="70"/>
    </x:row>
    <x:row r="107" ht="15" hidden="0" customHeight="1">
      <x:c r="A107" s="70"/>
      <x:c r="B107" s="70"/>
      <x:c r="C107" s="70"/>
      <x:c r="D107" s="70"/>
      <x:c r="E107" s="70"/>
      <x:c r="F107" s="70"/>
      <x:c r="G107" s="70"/>
    </x:row>
    <x:row r="108" ht="15" hidden="0" customHeight="1">
      <x:c r="A108" s="70"/>
      <x:c r="B108" s="70"/>
      <x:c r="C108" s="70"/>
      <x:c r="D108" s="70"/>
      <x:c r="E108" s="70"/>
      <x:c r="F108" s="70"/>
      <x:c r="G108" s="70"/>
    </x:row>
    <x:row r="109" ht="15" hidden="0" customHeight="1">
      <x:c r="A109" s="70"/>
      <x:c r="B109" s="70"/>
      <x:c r="C109" s="70"/>
      <x:c r="D109" s="70"/>
      <x:c r="E109" s="70"/>
      <x:c r="F109" s="70"/>
      <x:c r="G109" s="70"/>
    </x:row>
    <x:row r="110" ht="15" hidden="0" customHeight="1">
      <x:c r="A110" s="70"/>
      <x:c r="B110" s="70"/>
      <x:c r="C110" s="70"/>
      <x:c r="D110" s="70"/>
      <x:c r="E110" s="70"/>
      <x:c r="F110" s="70"/>
      <x:c r="G110" s="70"/>
    </x:row>
    <x:row r="111" ht="15" hidden="0" customHeight="1">
      <x:c r="A111" s="70"/>
      <x:c r="B111" s="70"/>
      <x:c r="C111" s="70"/>
      <x:c r="D111" s="70"/>
      <x:c r="E111" s="70"/>
      <x:c r="F111" s="70"/>
      <x:c r="G111" s="70"/>
    </x:row>
    <x:row r="112" ht="15" hidden="0" customHeight="1">
      <x:c r="A112" s="70"/>
      <x:c r="B112" s="70"/>
      <x:c r="C112" s="70"/>
      <x:c r="D112" s="70"/>
      <x:c r="E112" s="70"/>
      <x:c r="F112" s="70"/>
      <x:c r="G112" s="70"/>
    </x:row>
    <x:row r="113" ht="15" hidden="0" customHeight="1">
      <x:c r="A113" s="70"/>
      <x:c r="B113" s="70"/>
      <x:c r="C113" s="70"/>
      <x:c r="D113" s="70"/>
      <x:c r="E113" s="70"/>
      <x:c r="F113" s="70"/>
      <x:c r="G113" s="70"/>
    </x:row>
    <x:row r="114" ht="15" hidden="0" customHeight="1">
      <x:c r="A114" s="70"/>
      <x:c r="B114" s="70"/>
      <x:c r="C114" s="70"/>
      <x:c r="D114" s="70"/>
      <x:c r="E114" s="70"/>
      <x:c r="F114" s="70"/>
      <x:c r="G114" s="70"/>
    </x:row>
    <x:row r="115" ht="15" hidden="0" customHeight="1">
      <x:c r="A115" s="70"/>
      <x:c r="B115" s="70"/>
      <x:c r="C115" s="70"/>
      <x:c r="D115" s="70"/>
      <x:c r="E115" s="70"/>
      <x:c r="F115" s="70"/>
      <x:c r="G115" s="70"/>
    </x:row>
    <x:row r="116" ht="15" hidden="0" customHeight="1">
      <x:c r="A116" s="70"/>
      <x:c r="B116" s="70"/>
      <x:c r="C116" s="70"/>
      <x:c r="D116" s="70"/>
      <x:c r="E116" s="70"/>
      <x:c r="F116" s="70"/>
      <x:c r="G116" s="70"/>
    </x:row>
    <x:row r="117" ht="15" hidden="0" customHeight="1">
      <x:c r="A117" s="70"/>
      <x:c r="B117" s="70"/>
      <x:c r="C117" s="70"/>
      <x:c r="D117" s="70"/>
      <x:c r="E117" s="70"/>
      <x:c r="F117" s="70"/>
      <x:c r="G117" s="70"/>
    </x:row>
    <x:row r="118" ht="15" hidden="0" customHeight="1">
      <x:c r="A118" s="70"/>
      <x:c r="B118" s="70"/>
      <x:c r="C118" s="70"/>
      <x:c r="D118" s="70"/>
      <x:c r="E118" s="70"/>
      <x:c r="F118" s="70"/>
      <x:c r="G118" s="70"/>
    </x:row>
    <x:row r="119" ht="15" hidden="0" customHeight="1">
      <x:c r="A119" s="70"/>
      <x:c r="B119" s="70"/>
      <x:c r="C119" s="70"/>
      <x:c r="D119" s="70"/>
      <x:c r="E119" s="70"/>
      <x:c r="F119" s="70"/>
      <x:c r="G119" s="70"/>
    </x:row>
    <x:row r="120" ht="15" hidden="0" customHeight="1">
      <x:c r="A120" s="70"/>
      <x:c r="B120" s="70"/>
      <x:c r="C120" s="70"/>
      <x:c r="D120" s="70"/>
      <x:c r="E120" s="70"/>
      <x:c r="F120" s="70"/>
      <x:c r="G120" s="70"/>
    </x:row>
    <x:row r="121" ht="15" hidden="0" customHeight="1">
      <x:c r="A121" s="70"/>
      <x:c r="B121" s="70"/>
      <x:c r="C121" s="70"/>
      <x:c r="D121" s="70"/>
      <x:c r="E121" s="70"/>
      <x:c r="F121" s="70"/>
      <x:c r="G121" s="70"/>
    </x:row>
    <x:row r="122" ht="15" hidden="0" customHeight="1">
      <x:c r="A122" s="70"/>
      <x:c r="B122" s="70"/>
      <x:c r="C122" s="70"/>
      <x:c r="D122" s="70"/>
      <x:c r="E122" s="70"/>
      <x:c r="F122" s="70"/>
      <x:c r="G122" s="70"/>
    </x:row>
    <x:row r="123" ht="15" hidden="0" customHeight="1">
      <x:c r="A123" s="70"/>
      <x:c r="B123" s="70"/>
      <x:c r="C123" s="70"/>
      <x:c r="D123" s="70"/>
      <x:c r="E123" s="70"/>
      <x:c r="F123" s="70"/>
      <x:c r="G123" s="70"/>
    </x:row>
    <x:row r="124" ht="15" hidden="0" customHeight="1">
      <x:c r="A124" s="70"/>
      <x:c r="B124" s="70"/>
      <x:c r="C124" s="70"/>
      <x:c r="D124" s="70"/>
      <x:c r="E124" s="70"/>
      <x:c r="F124" s="70"/>
      <x:c r="G124" s="70"/>
    </x:row>
    <x:row r="125" ht="15" hidden="0" customHeight="1">
      <x:c r="A125" s="70"/>
      <x:c r="B125" s="70"/>
      <x:c r="C125" s="70"/>
      <x:c r="D125" s="70"/>
      <x:c r="E125" s="70"/>
      <x:c r="F125" s="70"/>
      <x:c r="G125" s="70"/>
    </x:row>
    <x:row r="126" ht="15" hidden="0" customHeight="1">
      <x:c r="A126" s="70"/>
      <x:c r="B126" s="70"/>
      <x:c r="C126" s="70"/>
      <x:c r="D126" s="70"/>
      <x:c r="E126" s="70"/>
      <x:c r="F126" s="70"/>
      <x:c r="G126" s="70"/>
    </x:row>
    <x:row r="127" ht="15" hidden="0" customHeight="1">
      <x:c r="A127" s="70"/>
      <x:c r="B127" s="70"/>
      <x:c r="C127" s="70"/>
      <x:c r="D127" s="70"/>
      <x:c r="E127" s="70"/>
      <x:c r="F127" s="70"/>
      <x:c r="G127" s="70"/>
    </x:row>
    <x:row r="128" ht="15" hidden="0" customHeight="1">
      <x:c r="A128" s="70"/>
      <x:c r="B128" s="70"/>
      <x:c r="C128" s="70"/>
      <x:c r="D128" s="70"/>
      <x:c r="E128" s="70"/>
      <x:c r="F128" s="70"/>
      <x:c r="G128" s="70"/>
    </x:row>
    <x:row r="129" ht="15" hidden="0" customHeight="1">
      <x:c r="A129" s="70"/>
      <x:c r="B129" s="70"/>
      <x:c r="C129" s="70"/>
      <x:c r="D129" s="70"/>
      <x:c r="E129" s="70"/>
      <x:c r="F129" s="70"/>
      <x:c r="G129" s="70"/>
    </x:row>
    <x:row r="130" ht="15" hidden="0" customHeight="1">
      <x:c r="A130" s="70"/>
      <x:c r="B130" s="70"/>
      <x:c r="C130" s="70"/>
      <x:c r="D130" s="70"/>
      <x:c r="E130" s="70"/>
      <x:c r="F130" s="70"/>
      <x:c r="G130" s="70"/>
    </x:row>
    <x:row r="131" ht="15" hidden="0" customHeight="1">
      <x:c r="A131" s="70"/>
      <x:c r="B131" s="70"/>
      <x:c r="C131" s="70"/>
      <x:c r="D131" s="70"/>
      <x:c r="E131" s="70"/>
      <x:c r="F131" s="70"/>
      <x:c r="G131" s="70"/>
    </x:row>
    <x:row r="132" ht="15" hidden="0" customHeight="1">
      <x:c r="A132" s="70"/>
      <x:c r="B132" s="70"/>
      <x:c r="C132" s="70"/>
      <x:c r="D132" s="70"/>
      <x:c r="E132" s="70"/>
      <x:c r="F132" s="70"/>
      <x:c r="G132" s="70"/>
    </x:row>
    <x:row r="133" ht="15" hidden="0" customHeight="1">
      <x:c r="A133" s="70"/>
      <x:c r="B133" s="70"/>
      <x:c r="C133" s="70"/>
      <x:c r="D133" s="70"/>
      <x:c r="E133" s="70"/>
      <x:c r="F133" s="70"/>
      <x:c r="G133" s="70"/>
    </x:row>
    <x:row r="134" ht="15" hidden="0" customHeight="1">
      <x:c r="A134" s="70"/>
      <x:c r="B134" s="70"/>
      <x:c r="C134" s="70"/>
      <x:c r="D134" s="70"/>
      <x:c r="E134" s="70"/>
      <x:c r="F134" s="70"/>
      <x:c r="G134" s="70"/>
    </x:row>
    <x:row r="135" ht="15" hidden="0" customHeight="1">
      <x:c r="A135" s="70"/>
      <x:c r="B135" s="70"/>
      <x:c r="C135" s="70"/>
      <x:c r="D135" s="70"/>
      <x:c r="E135" s="70"/>
      <x:c r="F135" s="70"/>
      <x:c r="G135" s="70"/>
    </x:row>
    <x:row r="136" ht="15" hidden="0" customHeight="1">
      <x:c r="A136" s="70"/>
      <x:c r="B136" s="70"/>
      <x:c r="C136" s="70"/>
      <x:c r="D136" s="70"/>
      <x:c r="E136" s="70"/>
      <x:c r="F136" s="70"/>
      <x:c r="G136" s="70"/>
    </x:row>
    <x:row r="137" ht="15" hidden="0" customHeight="1">
      <x:c r="A137" s="70"/>
      <x:c r="B137" s="70"/>
      <x:c r="C137" s="70"/>
      <x:c r="D137" s="70"/>
      <x:c r="E137" s="70"/>
      <x:c r="F137" s="70"/>
      <x:c r="G137" s="70"/>
    </x:row>
    <x:row r="138" ht="15" hidden="0" customHeight="1">
      <x:c r="A138" s="70"/>
      <x:c r="B138" s="70"/>
      <x:c r="C138" s="70"/>
      <x:c r="D138" s="70"/>
      <x:c r="E138" s="70"/>
      <x:c r="F138" s="70"/>
      <x:c r="G138" s="70"/>
    </x:row>
    <x:row r="139" ht="15" hidden="0" customHeight="1">
      <x:c r="A139" s="70"/>
      <x:c r="B139" s="70"/>
      <x:c r="C139" s="70"/>
      <x:c r="D139" s="70"/>
      <x:c r="E139" s="70"/>
      <x:c r="F139" s="70"/>
      <x:c r="G139" s="70"/>
    </x:row>
    <x:row r="140" ht="15" hidden="0" customHeight="1">
      <x:c r="A140" s="70"/>
      <x:c r="B140" s="70"/>
      <x:c r="C140" s="70"/>
      <x:c r="D140" s="70"/>
      <x:c r="E140" s="70"/>
      <x:c r="F140" s="70"/>
      <x:c r="G140" s="70"/>
    </x:row>
    <x:row r="141" ht="15" hidden="0" customHeight="1">
      <x:c r="A141" s="70"/>
      <x:c r="B141" s="70"/>
      <x:c r="C141" s="70"/>
      <x:c r="D141" s="70"/>
      <x:c r="E141" s="70"/>
      <x:c r="F141" s="70"/>
      <x:c r="G141" s="70"/>
    </x:row>
    <x:row r="142" ht="15" hidden="0" customHeight="1">
      <x:c r="A142" s="70"/>
      <x:c r="B142" s="70"/>
      <x:c r="C142" s="70"/>
      <x:c r="D142" s="70"/>
      <x:c r="E142" s="70"/>
      <x:c r="F142" s="70"/>
      <x:c r="G142" s="70"/>
    </x:row>
    <x:row r="143" ht="15" hidden="0" customHeight="1">
      <x:c r="A143" s="70"/>
      <x:c r="B143" s="70"/>
      <x:c r="C143" s="70"/>
      <x:c r="D143" s="70"/>
      <x:c r="E143" s="70"/>
      <x:c r="F143" s="70"/>
      <x:c r="G143" s="70"/>
    </x:row>
    <x:row r="144" ht="15" hidden="0" customHeight="1">
      <x:c r="A144" s="70"/>
      <x:c r="B144" s="70"/>
      <x:c r="C144" s="70"/>
      <x:c r="D144" s="70"/>
      <x:c r="E144" s="70"/>
      <x:c r="F144" s="70"/>
      <x:c r="G144" s="70"/>
    </x:row>
    <x:row r="145" ht="15" hidden="0" customHeight="1">
      <x:c r="A145" s="70"/>
      <x:c r="B145" s="70"/>
      <x:c r="C145" s="70"/>
      <x:c r="D145" s="70"/>
      <x:c r="E145" s="70"/>
      <x:c r="F145" s="70"/>
      <x:c r="G145" s="70"/>
    </x:row>
    <x:row r="146" ht="15" hidden="0" customHeight="1">
      <x:c r="A146" s="70"/>
      <x:c r="B146" s="70"/>
      <x:c r="C146" s="70"/>
      <x:c r="D146" s="70"/>
      <x:c r="E146" s="70"/>
      <x:c r="F146" s="70"/>
      <x:c r="G146" s="70"/>
    </x:row>
    <x:row r="147" ht="15" hidden="0" customHeight="1">
      <x:c r="A147" s="70"/>
      <x:c r="B147" s="70"/>
      <x:c r="C147" s="70"/>
      <x:c r="D147" s="70"/>
      <x:c r="E147" s="70"/>
      <x:c r="F147" s="70"/>
      <x:c r="G147" s="70"/>
    </x:row>
    <x:row r="148" ht="15" hidden="0" customHeight="1">
      <x:c r="A148" s="70"/>
      <x:c r="B148" s="70"/>
      <x:c r="C148" s="70"/>
      <x:c r="D148" s="70"/>
      <x:c r="E148" s="70"/>
      <x:c r="F148" s="70"/>
      <x:c r="G148" s="70"/>
    </x:row>
    <x:row r="149" ht="15" hidden="0" customHeight="1">
      <x:c r="A149" s="70"/>
      <x:c r="B149" s="70"/>
      <x:c r="C149" s="70"/>
      <x:c r="D149" s="70"/>
      <x:c r="E149" s="70"/>
      <x:c r="F149" s="70"/>
      <x:c r="G149" s="70"/>
    </x:row>
    <x:row r="150" ht="15" hidden="0" customHeight="1">
      <x:c r="A150" s="70"/>
      <x:c r="B150" s="70"/>
      <x:c r="C150" s="70"/>
      <x:c r="D150" s="70"/>
      <x:c r="E150" s="70"/>
      <x:c r="F150" s="70"/>
      <x:c r="G150" s="70"/>
    </x:row>
    <x:row r="151" ht="15" hidden="0" customHeight="1">
      <x:c r="A151" s="70"/>
      <x:c r="B151" s="70"/>
      <x:c r="C151" s="70"/>
      <x:c r="D151" s="70"/>
      <x:c r="E151" s="70"/>
      <x:c r="F151" s="70"/>
      <x:c r="G151" s="70"/>
    </x:row>
    <x:row r="152" ht="15" hidden="0" customHeight="1">
      <x:c r="A152" s="70"/>
      <x:c r="B152" s="70"/>
      <x:c r="C152" s="70"/>
      <x:c r="D152" s="70"/>
      <x:c r="E152" s="70"/>
      <x:c r="F152" s="70"/>
      <x:c r="G152" s="70"/>
    </x:row>
    <x:row r="153" ht="15" hidden="0" customHeight="1">
      <x:c r="A153" s="70"/>
      <x:c r="B153" s="70"/>
      <x:c r="C153" s="70"/>
      <x:c r="D153" s="70"/>
      <x:c r="E153" s="70"/>
      <x:c r="F153" s="70"/>
      <x:c r="G153" s="70"/>
    </x:row>
    <x:row r="154" ht="15" hidden="0" customHeight="1">
      <x:c r="A154" s="70"/>
      <x:c r="B154" s="70"/>
      <x:c r="C154" s="70"/>
      <x:c r="D154" s="70"/>
      <x:c r="E154" s="70"/>
      <x:c r="F154" s="70"/>
      <x:c r="G154" s="70"/>
    </x:row>
    <x:row r="155" ht="15" hidden="0" customHeight="1">
      <x:c r="A155" s="70"/>
      <x:c r="B155" s="70"/>
      <x:c r="C155" s="70"/>
      <x:c r="D155" s="70"/>
      <x:c r="E155" s="70"/>
      <x:c r="F155" s="70"/>
      <x:c r="G155" s="70"/>
    </x:row>
    <x:row r="156" ht="15" hidden="0" customHeight="1">
      <x:c r="A156" s="70"/>
      <x:c r="B156" s="70"/>
      <x:c r="C156" s="70"/>
      <x:c r="D156" s="70"/>
      <x:c r="E156" s="70"/>
      <x:c r="F156" s="70"/>
      <x:c r="G156" s="70"/>
    </x:row>
    <x:row r="157" ht="15" hidden="0" customHeight="1">
      <x:c r="A157" s="70"/>
      <x:c r="B157" s="70"/>
      <x:c r="C157" s="70"/>
      <x:c r="D157" s="70"/>
      <x:c r="E157" s="70"/>
      <x:c r="F157" s="70"/>
      <x:c r="G157" s="70"/>
    </x:row>
    <x:row r="158" ht="15" hidden="0" customHeight="1">
      <x:c r="A158" s="70"/>
      <x:c r="B158" s="70"/>
      <x:c r="C158" s="70"/>
      <x:c r="D158" s="70"/>
      <x:c r="E158" s="70"/>
      <x:c r="F158" s="70"/>
      <x:c r="G158" s="70"/>
    </x:row>
    <x:row r="159" ht="15" hidden="0" customHeight="1">
      <x:c r="A159" s="70"/>
      <x:c r="B159" s="70"/>
      <x:c r="C159" s="70"/>
      <x:c r="D159" s="70"/>
      <x:c r="E159" s="70"/>
      <x:c r="F159" s="70"/>
      <x:c r="G159" s="70"/>
    </x:row>
    <x:row r="160" ht="15" hidden="0" customHeight="1">
      <x:c r="A160" s="70"/>
      <x:c r="B160" s="70"/>
      <x:c r="C160" s="70"/>
      <x:c r="D160" s="70"/>
      <x:c r="E160" s="70"/>
      <x:c r="F160" s="70"/>
      <x:c r="G160" s="70"/>
    </x:row>
    <x:row r="161" ht="15" hidden="0" customHeight="1">
      <x:c r="A161" s="70"/>
      <x:c r="B161" s="70"/>
      <x:c r="C161" s="70"/>
      <x:c r="D161" s="70"/>
      <x:c r="E161" s="70"/>
      <x:c r="F161" s="70"/>
      <x:c r="G161" s="70"/>
    </x:row>
    <x:row r="162" ht="15" hidden="0" customHeight="1">
      <x:c r="A162" s="70"/>
      <x:c r="B162" s="70"/>
      <x:c r="C162" s="70"/>
      <x:c r="D162" s="70"/>
      <x:c r="E162" s="70"/>
      <x:c r="F162" s="70"/>
      <x:c r="G162" s="70"/>
    </x:row>
    <x:row r="163" ht="15" hidden="0" customHeight="1">
      <x:c r="A163" s="70"/>
      <x:c r="B163" s="70"/>
      <x:c r="C163" s="70"/>
      <x:c r="D163" s="70"/>
      <x:c r="E163" s="70"/>
      <x:c r="F163" s="70"/>
      <x:c r="G163" s="70"/>
    </x:row>
    <x:row r="164" ht="15" hidden="0" customHeight="1">
      <x:c r="A164" s="70"/>
      <x:c r="B164" s="70"/>
      <x:c r="C164" s="70"/>
      <x:c r="D164" s="70"/>
      <x:c r="E164" s="70"/>
      <x:c r="F164" s="70"/>
      <x:c r="G164" s="70"/>
    </x:row>
    <x:row r="165" ht="15" hidden="0" customHeight="1">
      <x:c r="A165" s="70"/>
      <x:c r="B165" s="70"/>
      <x:c r="C165" s="70"/>
      <x:c r="D165" s="70"/>
      <x:c r="E165" s="70"/>
      <x:c r="F165" s="70"/>
      <x:c r="G165" s="70"/>
    </x:row>
    <x:row r="166" ht="15" hidden="0" customHeight="1">
      <x:c r="A166" s="70"/>
      <x:c r="B166" s="70"/>
      <x:c r="C166" s="70"/>
      <x:c r="D166" s="70"/>
      <x:c r="E166" s="70"/>
      <x:c r="F166" s="70"/>
      <x:c r="G166" s="70"/>
    </x:row>
    <x:row r="167" ht="15" hidden="0" customHeight="1">
      <x:c r="A167" s="70"/>
      <x:c r="B167" s="70"/>
      <x:c r="C167" s="70"/>
      <x:c r="D167" s="70"/>
      <x:c r="E167" s="70"/>
      <x:c r="F167" s="70"/>
      <x:c r="G167" s="70"/>
    </x:row>
    <x:row r="168" ht="15" hidden="0" customHeight="1">
      <x:c r="A168" s="70"/>
      <x:c r="B168" s="70"/>
      <x:c r="C168" s="70"/>
      <x:c r="D168" s="70"/>
      <x:c r="E168" s="70"/>
      <x:c r="F168" s="70"/>
      <x:c r="G168" s="70"/>
    </x:row>
    <x:row r="169" ht="15" hidden="0" customHeight="1">
      <x:c r="A169" s="70"/>
      <x:c r="B169" s="70"/>
      <x:c r="C169" s="70"/>
      <x:c r="D169" s="70"/>
      <x:c r="E169" s="70"/>
      <x:c r="F169" s="70"/>
      <x:c r="G169" s="70"/>
    </x:row>
    <x:row r="170" ht="15" hidden="0" customHeight="1">
      <x:c r="A170" s="70"/>
      <x:c r="B170" s="70"/>
      <x:c r="C170" s="70"/>
      <x:c r="D170" s="70"/>
      <x:c r="E170" s="70"/>
      <x:c r="F170" s="70"/>
      <x:c r="G170" s="70"/>
    </x:row>
    <x:row r="171" ht="15" hidden="0" customHeight="1">
      <x:c r="A171" s="70"/>
      <x:c r="B171" s="70"/>
      <x:c r="C171" s="70"/>
      <x:c r="D171" s="70"/>
      <x:c r="E171" s="70"/>
      <x:c r="F171" s="70"/>
      <x:c r="G171" s="70"/>
    </x:row>
    <x:row r="172" ht="15" hidden="0" customHeight="1">
      <x:c r="A172" s="70"/>
      <x:c r="B172" s="70"/>
      <x:c r="C172" s="70"/>
      <x:c r="D172" s="70"/>
      <x:c r="E172" s="70"/>
      <x:c r="F172" s="70"/>
      <x:c r="G172" s="70"/>
    </x:row>
    <x:row r="173" ht="15" hidden="0" customHeight="1">
      <x:c r="A173" s="70"/>
      <x:c r="B173" s="70"/>
      <x:c r="C173" s="70"/>
      <x:c r="D173" s="70"/>
      <x:c r="E173" s="70"/>
      <x:c r="F173" s="70"/>
      <x:c r="G173" s="70"/>
    </x:row>
    <x:row r="174" ht="15" hidden="0" customHeight="1">
      <x:c r="A174" s="70"/>
      <x:c r="B174" s="70"/>
      <x:c r="C174" s="70"/>
      <x:c r="D174" s="70"/>
      <x:c r="E174" s="70"/>
      <x:c r="F174" s="70"/>
      <x:c r="G174" s="70"/>
    </x:row>
    <x:row r="175" ht="15" hidden="0" customHeight="1">
      <x:c r="A175" s="70"/>
      <x:c r="B175" s="70"/>
      <x:c r="C175" s="70"/>
      <x:c r="D175" s="70"/>
      <x:c r="E175" s="70"/>
      <x:c r="F175" s="70"/>
      <x:c r="G175" s="70"/>
    </x:row>
    <x:row r="176" ht="15" hidden="0" customHeight="1">
      <x:c r="A176" s="70"/>
      <x:c r="B176" s="70"/>
      <x:c r="C176" s="70"/>
      <x:c r="D176" s="70"/>
      <x:c r="E176" s="70"/>
      <x:c r="F176" s="70"/>
      <x:c r="G176" s="70"/>
    </x:row>
    <x:row r="177" ht="15" hidden="0" customHeight="1">
      <x:c r="A177" s="70"/>
      <x:c r="B177" s="70"/>
      <x:c r="C177" s="70"/>
      <x:c r="D177" s="70"/>
      <x:c r="E177" s="70"/>
      <x:c r="F177" s="70"/>
      <x:c r="G177" s="70"/>
    </x:row>
    <x:row r="178" ht="15" hidden="0" customHeight="1">
      <x:c r="A178" s="70"/>
      <x:c r="B178" s="70"/>
      <x:c r="C178" s="70"/>
      <x:c r="D178" s="70"/>
      <x:c r="E178" s="70"/>
      <x:c r="F178" s="70"/>
      <x:c r="G178" s="70"/>
    </x:row>
    <x:row r="179" ht="15" hidden="0" customHeight="1">
      <x:c r="A179" s="70"/>
      <x:c r="B179" s="70"/>
      <x:c r="C179" s="70"/>
      <x:c r="D179" s="70"/>
      <x:c r="E179" s="70"/>
      <x:c r="F179" s="70"/>
      <x:c r="G179" s="70"/>
    </x:row>
    <x:row r="180" ht="15" hidden="0" customHeight="1">
      <x:c r="A180" s="70"/>
      <x:c r="B180" s="70"/>
      <x:c r="C180" s="70"/>
      <x:c r="D180" s="70"/>
      <x:c r="E180" s="70"/>
      <x:c r="F180" s="70"/>
      <x:c r="G180" s="70"/>
    </x:row>
    <x:row r="181" ht="15" hidden="0" customHeight="1">
      <x:c r="A181" s="70"/>
      <x:c r="B181" s="70"/>
      <x:c r="C181" s="70"/>
      <x:c r="D181" s="70"/>
      <x:c r="E181" s="70"/>
      <x:c r="F181" s="70"/>
      <x:c r="G181" s="70"/>
    </x:row>
    <x:row r="182" ht="15" hidden="0" customHeight="1">
      <x:c r="A182" s="70"/>
      <x:c r="B182" s="70"/>
      <x:c r="C182" s="70"/>
      <x:c r="D182" s="70"/>
      <x:c r="E182" s="70"/>
      <x:c r="F182" s="70"/>
      <x:c r="G182" s="70"/>
    </x:row>
    <x:row r="183" ht="15" hidden="0" customHeight="1">
      <x:c r="A183" s="70"/>
      <x:c r="B183" s="70"/>
      <x:c r="C183" s="70"/>
      <x:c r="D183" s="70"/>
      <x:c r="E183" s="70"/>
      <x:c r="F183" s="70"/>
      <x:c r="G183" s="70"/>
    </x:row>
    <x:row r="184" ht="15" hidden="0" customHeight="1">
      <x:c r="A184" s="70"/>
      <x:c r="B184" s="70"/>
      <x:c r="C184" s="70"/>
      <x:c r="D184" s="70"/>
      <x:c r="E184" s="70"/>
      <x:c r="F184" s="70"/>
      <x:c r="G184" s="70"/>
    </x:row>
    <x:row r="185" ht="15" hidden="0" customHeight="1">
      <x:c r="A185" s="70"/>
      <x:c r="B185" s="70"/>
      <x:c r="C185" s="70"/>
      <x:c r="D185" s="70"/>
      <x:c r="E185" s="70"/>
      <x:c r="F185" s="70"/>
      <x:c r="G185" s="70"/>
    </x:row>
    <x:row r="186" ht="15" hidden="0" customHeight="1">
      <x:c r="A186" s="70"/>
      <x:c r="B186" s="70"/>
      <x:c r="C186" s="70"/>
      <x:c r="D186" s="70"/>
      <x:c r="E186" s="70"/>
      <x:c r="F186" s="70"/>
      <x:c r="G186" s="70"/>
    </x:row>
    <x:row r="187" ht="15" hidden="0" customHeight="1">
      <x:c r="A187" s="70"/>
      <x:c r="B187" s="70"/>
      <x:c r="C187" s="70"/>
      <x:c r="D187" s="70"/>
      <x:c r="E187" s="70"/>
      <x:c r="F187" s="70"/>
      <x:c r="G187" s="70"/>
    </x:row>
    <x:row r="188" ht="15" hidden="0" customHeight="1">
      <x:c r="A188" s="70"/>
      <x:c r="B188" s="70"/>
      <x:c r="C188" s="70"/>
      <x:c r="D188" s="70"/>
      <x:c r="E188" s="70"/>
      <x:c r="F188" s="70"/>
      <x:c r="G188" s="70"/>
    </x:row>
    <x:row r="189" ht="15" hidden="0" customHeight="1">
      <x:c r="A189" s="70"/>
      <x:c r="B189" s="70"/>
      <x:c r="C189" s="70"/>
      <x:c r="D189" s="70"/>
      <x:c r="E189" s="70"/>
      <x:c r="F189" s="70"/>
      <x:c r="G189" s="70"/>
    </x:row>
    <x:row r="190" ht="15" hidden="0" customHeight="1">
      <x:c r="A190" s="70"/>
      <x:c r="B190" s="70"/>
      <x:c r="C190" s="70"/>
      <x:c r="D190" s="70"/>
      <x:c r="E190" s="70"/>
      <x:c r="F190" s="70"/>
      <x:c r="G190" s="70"/>
    </x:row>
    <x:row r="191" ht="15" hidden="0" customHeight="1">
      <x:c r="A191" s="70"/>
      <x:c r="B191" s="70"/>
      <x:c r="C191" s="70"/>
      <x:c r="D191" s="70"/>
      <x:c r="E191" s="70"/>
      <x:c r="F191" s="70"/>
      <x:c r="G191" s="70"/>
    </x:row>
    <x:row r="192" ht="15" hidden="0" customHeight="1">
      <x:c r="A192" s="70"/>
      <x:c r="B192" s="70"/>
      <x:c r="C192" s="70"/>
      <x:c r="D192" s="70"/>
      <x:c r="E192" s="70"/>
      <x:c r="F192" s="70"/>
      <x:c r="G192" s="70"/>
    </x:row>
    <x:row r="193" ht="15" hidden="0" customHeight="1">
      <x:c r="A193" s="70"/>
      <x:c r="B193" s="70"/>
      <x:c r="C193" s="70"/>
      <x:c r="D193" s="70"/>
      <x:c r="E193" s="70"/>
      <x:c r="F193" s="70"/>
      <x:c r="G193" s="70"/>
    </x:row>
    <x:row r="194" ht="15" hidden="0" customHeight="1">
      <x:c r="A194" s="70"/>
      <x:c r="B194" s="70"/>
      <x:c r="C194" s="70"/>
      <x:c r="D194" s="70"/>
      <x:c r="E194" s="70"/>
      <x:c r="F194" s="70"/>
      <x:c r="G194" s="70"/>
    </x:row>
    <x:row r="195" ht="15" hidden="0" customHeight="1">
      <x:c r="A195" s="70"/>
      <x:c r="B195" s="70"/>
      <x:c r="C195" s="70"/>
      <x:c r="D195" s="70"/>
      <x:c r="E195" s="70"/>
      <x:c r="F195" s="70"/>
      <x:c r="G195" s="70"/>
    </x:row>
    <x:row r="196" ht="15" hidden="0" customHeight="1">
      <x:c r="A196" s="70"/>
      <x:c r="B196" s="70"/>
      <x:c r="C196" s="70"/>
      <x:c r="D196" s="70"/>
      <x:c r="E196" s="70"/>
      <x:c r="F196" s="70"/>
      <x:c r="G196" s="70"/>
    </x:row>
    <x:row r="197" ht="15" hidden="0" customHeight="1">
      <x:c r="A197" s="70"/>
      <x:c r="B197" s="70"/>
      <x:c r="C197" s="70"/>
      <x:c r="D197" s="70"/>
      <x:c r="E197" s="70"/>
      <x:c r="F197" s="70"/>
      <x:c r="G197" s="70"/>
    </x:row>
    <x:row r="198" ht="15" hidden="0" customHeight="1">
      <x:c r="A198" s="70"/>
      <x:c r="B198" s="70"/>
      <x:c r="C198" s="70"/>
      <x:c r="D198" s="70"/>
      <x:c r="E198" s="70"/>
      <x:c r="F198" s="70"/>
      <x:c r="G198" s="70"/>
    </x:row>
    <x:row r="199" ht="15" hidden="0" customHeight="1">
      <x:c r="A199" s="70"/>
      <x:c r="B199" s="70"/>
      <x:c r="C199" s="70"/>
      <x:c r="D199" s="70"/>
      <x:c r="E199" s="70"/>
      <x:c r="F199" s="70"/>
      <x:c r="G199" s="70"/>
    </x:row>
    <x:row r="200" ht="15" hidden="0" customHeight="1">
      <x:c r="A200" s="70"/>
      <x:c r="B200" s="70"/>
      <x:c r="C200" s="70"/>
      <x:c r="D200" s="70"/>
      <x:c r="E200" s="70"/>
      <x:c r="F200" s="70"/>
      <x:c r="G200" s="70"/>
    </x:row>
    <x:row r="201" ht="15" hidden="0" customHeight="1">
      <x:c r="A201" s="70"/>
      <x:c r="B201" s="70"/>
      <x:c r="C201" s="70"/>
      <x:c r="D201" s="70"/>
      <x:c r="E201" s="70"/>
      <x:c r="F201" s="70"/>
      <x:c r="G201" s="70"/>
    </x:row>
    <x:row r="202" ht="15" hidden="0" customHeight="1">
      <x:c r="A202" s="70"/>
      <x:c r="B202" s="70"/>
      <x:c r="C202" s="70"/>
      <x:c r="D202" s="70"/>
      <x:c r="E202" s="70"/>
      <x:c r="F202" s="70"/>
      <x:c r="G202" s="70"/>
    </x:row>
    <x:row r="203" ht="15" hidden="0" customHeight="1">
      <x:c r="A203" s="70"/>
      <x:c r="B203" s="70"/>
      <x:c r="C203" s="70"/>
      <x:c r="D203" s="70"/>
      <x:c r="E203" s="70"/>
      <x:c r="F203" s="70"/>
      <x:c r="G203" s="70"/>
    </x:row>
    <x:row r="204" ht="15" hidden="0" customHeight="1">
      <x:c r="A204" s="70"/>
      <x:c r="B204" s="70"/>
      <x:c r="C204" s="70"/>
      <x:c r="D204" s="70"/>
      <x:c r="E204" s="70"/>
      <x:c r="F204" s="70"/>
      <x:c r="G204" s="70"/>
    </x:row>
    <x:row r="205" ht="15" hidden="0" customHeight="1">
      <x:c r="A205" s="70"/>
      <x:c r="B205" s="70"/>
      <x:c r="C205" s="70"/>
      <x:c r="D205" s="70"/>
      <x:c r="E205" s="70"/>
      <x:c r="F205" s="70"/>
      <x:c r="G205" s="70"/>
    </x:row>
    <x:row r="206" ht="15" hidden="0" customHeight="1">
      <x:c r="A206" s="70"/>
      <x:c r="B206" s="70"/>
      <x:c r="C206" s="70"/>
      <x:c r="D206" s="70"/>
      <x:c r="E206" s="70"/>
      <x:c r="F206" s="70"/>
      <x:c r="G206" s="70"/>
    </x:row>
    <x:row r="207" ht="15" hidden="0" customHeight="1">
      <x:c r="A207" s="70"/>
      <x:c r="B207" s="70"/>
      <x:c r="C207" s="70"/>
      <x:c r="D207" s="70"/>
      <x:c r="E207" s="70"/>
      <x:c r="F207" s="70"/>
      <x:c r="G207" s="70"/>
    </x:row>
    <x:row r="208" ht="15" hidden="0" customHeight="1">
      <x:c r="A208" s="70"/>
      <x:c r="B208" s="70"/>
      <x:c r="C208" s="70"/>
      <x:c r="D208" s="70"/>
      <x:c r="E208" s="70"/>
      <x:c r="F208" s="70"/>
      <x:c r="G208" s="70"/>
    </x:row>
    <x:row r="209" ht="15" hidden="0" customHeight="1">
      <x:c r="A209" s="70"/>
      <x:c r="B209" s="70"/>
      <x:c r="C209" s="70"/>
      <x:c r="D209" s="70"/>
      <x:c r="E209" s="70"/>
      <x:c r="F209" s="70"/>
      <x:c r="G209" s="70"/>
    </x:row>
    <x:row r="210" ht="15" hidden="0" customHeight="1">
      <x:c r="A210" s="70"/>
      <x:c r="B210" s="70"/>
      <x:c r="C210" s="70"/>
      <x:c r="D210" s="70"/>
      <x:c r="E210" s="70"/>
      <x:c r="F210" s="70"/>
      <x:c r="G210" s="70"/>
    </x:row>
    <x:row r="211" ht="15" hidden="0" customHeight="1">
      <x:c r="A211" s="70"/>
      <x:c r="B211" s="70"/>
      <x:c r="C211" s="70"/>
      <x:c r="D211" s="70"/>
      <x:c r="E211" s="70"/>
      <x:c r="F211" s="70"/>
      <x:c r="G211" s="70"/>
    </x:row>
    <x:row r="212" ht="15" hidden="0" customHeight="1">
      <x:c r="A212" s="70"/>
      <x:c r="B212" s="70"/>
      <x:c r="C212" s="70"/>
      <x:c r="D212" s="70"/>
      <x:c r="E212" s="70"/>
      <x:c r="F212" s="70"/>
      <x:c r="G212" s="70"/>
    </x:row>
    <x:row r="213" ht="15" hidden="0" customHeight="1">
      <x:c r="A213" s="70"/>
      <x:c r="B213" s="70"/>
      <x:c r="C213" s="70"/>
      <x:c r="D213" s="70"/>
      <x:c r="E213" s="70"/>
      <x:c r="F213" s="70"/>
      <x:c r="G213" s="70"/>
    </x:row>
    <x:row r="214" ht="15" hidden="0" customHeight="1">
      <x:c r="A214" s="70"/>
      <x:c r="B214" s="70"/>
      <x:c r="C214" s="70"/>
      <x:c r="D214" s="70"/>
      <x:c r="E214" s="70"/>
      <x:c r="F214" s="70"/>
      <x:c r="G214" s="70"/>
    </x:row>
    <x:row r="215" ht="15" hidden="0" customHeight="1">
      <x:c r="A215" s="70"/>
      <x:c r="B215" s="70"/>
      <x:c r="C215" s="70"/>
      <x:c r="D215" s="70"/>
      <x:c r="E215" s="70"/>
      <x:c r="F215" s="70"/>
      <x:c r="G215" s="70"/>
    </x:row>
    <x:row r="216" ht="15" hidden="0" customHeight="1">
      <x:c r="A216" s="70"/>
      <x:c r="B216" s="70"/>
      <x:c r="C216" s="70"/>
      <x:c r="D216" s="70"/>
      <x:c r="E216" s="70"/>
      <x:c r="F216" s="70"/>
      <x:c r="G216" s="70"/>
    </x:row>
    <x:row r="217" ht="15" hidden="0" customHeight="1">
      <x:c r="A217" s="70"/>
      <x:c r="B217" s="70"/>
      <x:c r="C217" s="70"/>
      <x:c r="D217" s="70"/>
      <x:c r="E217" s="70"/>
      <x:c r="F217" s="70"/>
      <x:c r="G217" s="70"/>
    </x:row>
    <x:row r="218" ht="15" hidden="0" customHeight="1">
      <x:c r="A218" s="70"/>
      <x:c r="B218" s="70"/>
      <x:c r="C218" s="70"/>
      <x:c r="D218" s="70"/>
      <x:c r="E218" s="70"/>
      <x:c r="F218" s="70"/>
      <x:c r="G218" s="70"/>
    </x:row>
    <x:row r="219" ht="15" hidden="0" customHeight="1">
      <x:c r="A219" s="70"/>
      <x:c r="B219" s="70"/>
      <x:c r="C219" s="70"/>
      <x:c r="D219" s="70"/>
      <x:c r="E219" s="70"/>
      <x:c r="F219" s="70"/>
      <x:c r="G219" s="70"/>
    </x:row>
    <x:row r="220" ht="15" hidden="0" customHeight="1">
      <x:c r="A220" s="70"/>
      <x:c r="B220" s="70"/>
      <x:c r="C220" s="70"/>
      <x:c r="D220" s="70"/>
      <x:c r="E220" s="70"/>
      <x:c r="F220" s="70"/>
      <x:c r="G220" s="70"/>
    </x:row>
    <x:row r="221" ht="15" hidden="0" customHeight="1">
      <x:c r="A221" s="70"/>
      <x:c r="B221" s="70"/>
      <x:c r="C221" s="70"/>
      <x:c r="D221" s="70"/>
      <x:c r="E221" s="70"/>
      <x:c r="F221" s="70"/>
      <x:c r="G221" s="70"/>
    </x:row>
    <x:row r="222" ht="15" hidden="0" customHeight="1">
      <x:c r="A222" s="70"/>
      <x:c r="B222" s="70"/>
      <x:c r="C222" s="70"/>
      <x:c r="D222" s="70"/>
      <x:c r="E222" s="70"/>
      <x:c r="F222" s="70"/>
      <x:c r="G222" s="70"/>
    </x:row>
    <x:row r="223" ht="15" hidden="0" customHeight="1">
      <x:c r="A223" s="70"/>
      <x:c r="B223" s="70"/>
      <x:c r="C223" s="70"/>
      <x:c r="D223" s="70"/>
      <x:c r="E223" s="70"/>
      <x:c r="F223" s="70"/>
      <x:c r="G223" s="70"/>
    </x:row>
    <x:row r="224" ht="15" hidden="0" customHeight="1">
      <x:c r="A224" s="70"/>
      <x:c r="B224" s="70"/>
      <x:c r="C224" s="70"/>
      <x:c r="D224" s="70"/>
      <x:c r="E224" s="70"/>
      <x:c r="F224" s="70"/>
      <x:c r="G224" s="70"/>
    </x:row>
    <x:row r="225" ht="15" hidden="0" customHeight="1">
      <x:c r="A225" s="70"/>
      <x:c r="B225" s="70"/>
      <x:c r="C225" s="70"/>
      <x:c r="D225" s="70"/>
      <x:c r="E225" s="70"/>
      <x:c r="F225" s="70"/>
      <x:c r="G225" s="70"/>
    </x:row>
    <x:row r="226" ht="15" hidden="0" customHeight="1">
      <x:c r="A226" s="70"/>
      <x:c r="B226" s="70"/>
      <x:c r="C226" s="70"/>
      <x:c r="D226" s="70"/>
      <x:c r="E226" s="70"/>
      <x:c r="F226" s="70"/>
      <x:c r="G226" s="70"/>
    </x:row>
    <x:row r="227" ht="15" hidden="0" customHeight="1">
      <x:c r="A227" s="70"/>
      <x:c r="B227" s="70"/>
      <x:c r="C227" s="70"/>
      <x:c r="D227" s="70"/>
      <x:c r="E227" s="70"/>
      <x:c r="F227" s="70"/>
      <x:c r="G227" s="70"/>
    </x:row>
    <x:row r="228" ht="15" hidden="0" customHeight="1">
      <x:c r="A228" s="70"/>
      <x:c r="B228" s="70"/>
      <x:c r="C228" s="70"/>
      <x:c r="D228" s="70"/>
      <x:c r="E228" s="70"/>
      <x:c r="F228" s="70"/>
      <x:c r="G228" s="70"/>
    </x:row>
    <x:row r="229" ht="15" hidden="0" customHeight="1">
      <x:c r="A229" s="70"/>
      <x:c r="B229" s="70"/>
      <x:c r="C229" s="70"/>
      <x:c r="D229" s="70"/>
      <x:c r="E229" s="70"/>
      <x:c r="F229" s="70"/>
      <x:c r="G229" s="70"/>
    </x:row>
    <x:row r="230" ht="15" hidden="0" customHeight="1">
      <x:c r="A230" s="70"/>
      <x:c r="B230" s="70"/>
      <x:c r="C230" s="70"/>
      <x:c r="D230" s="70"/>
      <x:c r="E230" s="70"/>
      <x:c r="F230" s="70"/>
      <x:c r="G230" s="70"/>
    </x:row>
    <x:row r="231" ht="15" hidden="0" customHeight="1">
      <x:c r="A231" s="70"/>
      <x:c r="B231" s="70"/>
      <x:c r="C231" s="70"/>
      <x:c r="D231" s="70"/>
      <x:c r="E231" s="70"/>
      <x:c r="F231" s="70"/>
      <x:c r="G231" s="70"/>
    </x:row>
    <x:row r="232" ht="15" hidden="0" customHeight="1">
      <x:c r="A232" s="70"/>
      <x:c r="B232" s="70"/>
      <x:c r="C232" s="70"/>
      <x:c r="D232" s="70"/>
      <x:c r="E232" s="70"/>
      <x:c r="F232" s="70"/>
      <x:c r="G232" s="70"/>
    </x:row>
    <x:row r="233" ht="15" hidden="0" customHeight="1">
      <x:c r="A233" s="70"/>
      <x:c r="B233" s="70"/>
      <x:c r="C233" s="70"/>
      <x:c r="D233" s="70"/>
      <x:c r="E233" s="70"/>
      <x:c r="F233" s="70"/>
      <x:c r="G233" s="70"/>
    </x:row>
    <x:row r="234" ht="15" hidden="0" customHeight="1">
      <x:c r="A234" s="70"/>
      <x:c r="B234" s="70"/>
      <x:c r="C234" s="70"/>
      <x:c r="D234" s="70"/>
      <x:c r="E234" s="70"/>
      <x:c r="F234" s="70"/>
      <x:c r="G234" s="70"/>
    </x:row>
    <x:row r="235" ht="15" hidden="0" customHeight="1">
      <x:c r="A235" s="70"/>
      <x:c r="B235" s="70"/>
      <x:c r="C235" s="70"/>
      <x:c r="D235" s="70"/>
      <x:c r="E235" s="70"/>
      <x:c r="F235" s="70"/>
      <x:c r="G235" s="70"/>
    </x:row>
    <x:row r="236" ht="15" hidden="0" customHeight="1">
      <x:c r="A236" s="70"/>
      <x:c r="B236" s="70"/>
      <x:c r="C236" s="70"/>
      <x:c r="D236" s="70"/>
      <x:c r="E236" s="70"/>
      <x:c r="F236" s="70"/>
      <x:c r="G236" s="70"/>
    </x:row>
    <x:row r="237" ht="15" hidden="0" customHeight="1">
      <x:c r="A237" s="70"/>
      <x:c r="B237" s="70"/>
      <x:c r="C237" s="70"/>
      <x:c r="D237" s="70"/>
      <x:c r="E237" s="70"/>
      <x:c r="F237" s="70"/>
      <x:c r="G237" s="70"/>
    </x:row>
    <x:row r="238" ht="15" hidden="0" customHeight="1">
      <x:c r="A238" s="70"/>
      <x:c r="B238" s="70"/>
      <x:c r="C238" s="70"/>
      <x:c r="D238" s="70"/>
      <x:c r="E238" s="70"/>
      <x:c r="F238" s="70"/>
      <x:c r="G238" s="70"/>
    </x:row>
    <x:row r="239" ht="15" hidden="0" customHeight="1">
      <x:c r="A239" s="70"/>
      <x:c r="B239" s="70"/>
      <x:c r="C239" s="70"/>
      <x:c r="D239" s="70"/>
      <x:c r="E239" s="70"/>
      <x:c r="F239" s="70"/>
      <x:c r="G239" s="70"/>
    </x:row>
    <x:row r="240" ht="15" hidden="0" customHeight="1">
      <x:c r="A240" s="70"/>
      <x:c r="B240" s="70"/>
      <x:c r="C240" s="70"/>
      <x:c r="D240" s="70"/>
      <x:c r="E240" s="70"/>
      <x:c r="F240" s="70"/>
      <x:c r="G240" s="70"/>
    </x:row>
    <x:row r="241" ht="15" hidden="0" customHeight="1">
      <x:c r="A241" s="70"/>
      <x:c r="B241" s="70"/>
      <x:c r="C241" s="70"/>
      <x:c r="D241" s="70"/>
      <x:c r="E241" s="70"/>
      <x:c r="F241" s="70"/>
      <x:c r="G241" s="70"/>
    </x:row>
    <x:row r="242" ht="15" hidden="0" customHeight="1">
      <x:c r="A242" s="70"/>
      <x:c r="B242" s="70"/>
      <x:c r="C242" s="70"/>
      <x:c r="D242" s="70"/>
      <x:c r="E242" s="70"/>
      <x:c r="F242" s="70"/>
      <x:c r="G242" s="70"/>
    </x:row>
    <x:row r="243" ht="15" hidden="0" customHeight="1">
      <x:c r="A243" s="70"/>
      <x:c r="B243" s="70"/>
      <x:c r="C243" s="70"/>
      <x:c r="D243" s="70"/>
      <x:c r="E243" s="70"/>
      <x:c r="F243" s="70"/>
      <x:c r="G243" s="70"/>
    </x:row>
    <x:row r="244" ht="15" hidden="0" customHeight="1">
      <x:c r="A244" s="70"/>
      <x:c r="B244" s="70"/>
      <x:c r="C244" s="70"/>
      <x:c r="D244" s="70"/>
      <x:c r="E244" s="70"/>
      <x:c r="F244" s="70"/>
      <x:c r="G244" s="70"/>
    </x:row>
    <x:row r="245" ht="15" hidden="0" customHeight="1">
      <x:c r="A245" s="70"/>
      <x:c r="B245" s="70"/>
      <x:c r="C245" s="70"/>
      <x:c r="D245" s="70"/>
      <x:c r="E245" s="70"/>
      <x:c r="F245" s="70"/>
      <x:c r="G245" s="70"/>
    </x:row>
    <x:row r="246" ht="15" hidden="0" customHeight="1">
      <x:c r="A246" s="70"/>
      <x:c r="B246" s="70"/>
      <x:c r="C246" s="70"/>
      <x:c r="D246" s="70"/>
      <x:c r="E246" s="70"/>
      <x:c r="F246" s="70"/>
      <x:c r="G246" s="70"/>
    </x:row>
    <x:row r="247" ht="15" hidden="0" customHeight="1">
      <x:c r="A247" s="70"/>
      <x:c r="B247" s="70"/>
      <x:c r="C247" s="70"/>
      <x:c r="D247" s="70"/>
      <x:c r="E247" s="70"/>
      <x:c r="F247" s="70"/>
      <x:c r="G247" s="70"/>
    </x:row>
    <x:row r="248" ht="15" hidden="0" customHeight="1">
      <x:c r="A248" s="70"/>
      <x:c r="B248" s="70"/>
      <x:c r="C248" s="70"/>
      <x:c r="D248" s="70"/>
      <x:c r="E248" s="70"/>
      <x:c r="F248" s="70"/>
      <x:c r="G248" s="70"/>
    </x:row>
    <x:row r="249" ht="15" hidden="0" customHeight="1">
      <x:c r="A249" s="70"/>
      <x:c r="B249" s="70"/>
      <x:c r="C249" s="70"/>
      <x:c r="D249" s="70"/>
      <x:c r="E249" s="70"/>
      <x:c r="F249" s="70"/>
      <x:c r="G249" s="70"/>
    </x:row>
    <x:row r="250" ht="15" hidden="0" customHeight="1">
      <x:c r="A250" s="70"/>
      <x:c r="B250" s="70"/>
      <x:c r="C250" s="70"/>
      <x:c r="D250" s="70"/>
      <x:c r="E250" s="70"/>
      <x:c r="F250" s="70"/>
      <x:c r="G250" s="70"/>
    </x:row>
    <x:row r="251" ht="15" hidden="0" customHeight="1">
      <x:c r="A251" s="70"/>
      <x:c r="B251" s="70"/>
      <x:c r="C251" s="70"/>
      <x:c r="D251" s="70"/>
      <x:c r="E251" s="70"/>
      <x:c r="F251" s="70"/>
      <x:c r="G251" s="70"/>
    </x:row>
    <x:row r="252" ht="15" hidden="0" customHeight="1">
      <x:c r="A252" s="70"/>
      <x:c r="B252" s="70"/>
      <x:c r="C252" s="70"/>
      <x:c r="D252" s="70"/>
      <x:c r="E252" s="70"/>
      <x:c r="F252" s="70"/>
      <x:c r="G252" s="70"/>
    </x:row>
    <x:row r="253" ht="15" hidden="0" customHeight="1">
      <x:c r="A253" s="70"/>
      <x:c r="B253" s="70"/>
      <x:c r="C253" s="70"/>
      <x:c r="D253" s="70"/>
      <x:c r="E253" s="70"/>
      <x:c r="F253" s="70"/>
      <x:c r="G253" s="70"/>
    </x:row>
    <x:row r="254" ht="15" hidden="0" customHeight="1">
      <x:c r="A254" s="70"/>
      <x:c r="B254" s="70"/>
      <x:c r="C254" s="70"/>
      <x:c r="D254" s="70"/>
      <x:c r="E254" s="70"/>
      <x:c r="F254" s="70"/>
      <x:c r="G254" s="70"/>
    </x:row>
    <x:row r="255" ht="15" hidden="0" customHeight="1">
      <x:c r="A255" s="70"/>
      <x:c r="B255" s="70"/>
      <x:c r="C255" s="70"/>
      <x:c r="D255" s="70"/>
      <x:c r="E255" s="70"/>
      <x:c r="F255" s="70"/>
      <x:c r="G255" s="70"/>
    </x:row>
    <x:row r="256" ht="15" hidden="0" customHeight="1">
      <x:c r="A256" s="70"/>
      <x:c r="B256" s="70"/>
      <x:c r="C256" s="70"/>
      <x:c r="D256" s="70"/>
      <x:c r="E256" s="70"/>
      <x:c r="F256" s="70"/>
      <x:c r="G256" s="70"/>
    </x:row>
    <x:row r="257" ht="15" hidden="0" customHeight="1">
      <x:c r="A257" s="70"/>
      <x:c r="B257" s="70"/>
      <x:c r="C257" s="70"/>
      <x:c r="D257" s="70"/>
      <x:c r="E257" s="70"/>
      <x:c r="F257" s="70"/>
      <x:c r="G257" s="70"/>
    </x:row>
    <x:row r="258" ht="15" hidden="0" customHeight="1">
      <x:c r="A258" s="70"/>
      <x:c r="B258" s="70"/>
      <x:c r="C258" s="70"/>
      <x:c r="D258" s="70"/>
      <x:c r="E258" s="70"/>
      <x:c r="F258" s="70"/>
      <x:c r="G258" s="70"/>
    </x:row>
    <x:row r="259" ht="15" hidden="0" customHeight="1">
      <x:c r="A259" s="70"/>
      <x:c r="B259" s="70"/>
      <x:c r="C259" s="70"/>
      <x:c r="D259" s="70"/>
      <x:c r="E259" s="70"/>
      <x:c r="F259" s="70"/>
      <x:c r="G259" s="70"/>
    </x:row>
    <x:row r="260" ht="15" hidden="0" customHeight="1">
      <x:c r="A260" s="70"/>
      <x:c r="B260" s="70"/>
      <x:c r="C260" s="70"/>
      <x:c r="D260" s="70"/>
      <x:c r="E260" s="70"/>
      <x:c r="F260" s="70"/>
      <x:c r="G260" s="70"/>
    </x:row>
    <x:row r="261" ht="15" hidden="0" customHeight="1">
      <x:c r="A261" s="70"/>
      <x:c r="B261" s="70"/>
      <x:c r="C261" s="70"/>
      <x:c r="D261" s="70"/>
      <x:c r="E261" s="70"/>
      <x:c r="F261" s="70"/>
      <x:c r="G261" s="70"/>
    </x:row>
    <x:row r="262" ht="15" hidden="0" customHeight="1">
      <x:c r="A262" s="70"/>
      <x:c r="B262" s="70"/>
      <x:c r="C262" s="70"/>
      <x:c r="D262" s="70"/>
      <x:c r="E262" s="70"/>
      <x:c r="F262" s="70"/>
      <x:c r="G262" s="70"/>
    </x:row>
    <x:row r="263" ht="15" hidden="0" customHeight="1">
      <x:c r="A263" s="70"/>
      <x:c r="B263" s="70"/>
      <x:c r="C263" s="70"/>
      <x:c r="D263" s="70"/>
      <x:c r="E263" s="70"/>
      <x:c r="F263" s="70"/>
      <x:c r="G263" s="70"/>
    </x:row>
    <x:row r="264" ht="15" hidden="0" customHeight="1">
      <x:c r="A264" s="70"/>
      <x:c r="B264" s="70"/>
      <x:c r="C264" s="70"/>
      <x:c r="D264" s="70"/>
      <x:c r="E264" s="70"/>
      <x:c r="F264" s="70"/>
      <x:c r="G264" s="70"/>
    </x:row>
    <x:row r="265" ht="15" hidden="0" customHeight="1">
      <x:c r="A265" s="70"/>
      <x:c r="B265" s="70"/>
      <x:c r="C265" s="70"/>
      <x:c r="D265" s="70"/>
      <x:c r="E265" s="70"/>
      <x:c r="F265" s="70"/>
      <x:c r="G265" s="70"/>
    </x:row>
    <x:row r="266" ht="15" hidden="0" customHeight="1">
      <x:c r="A266" s="70"/>
      <x:c r="B266" s="70"/>
      <x:c r="C266" s="70"/>
      <x:c r="D266" s="70"/>
      <x:c r="E266" s="70"/>
      <x:c r="F266" s="70"/>
      <x:c r="G266" s="70"/>
    </x:row>
    <x:row r="267" ht="15" hidden="0" customHeight="1">
      <x:c r="A267" s="70"/>
      <x:c r="B267" s="70"/>
      <x:c r="C267" s="70"/>
      <x:c r="D267" s="70"/>
      <x:c r="E267" s="70"/>
      <x:c r="F267" s="70"/>
      <x:c r="G267" s="70"/>
    </x:row>
    <x:row r="268" ht="15" hidden="0" customHeight="1">
      <x:c r="A268" s="70"/>
      <x:c r="B268" s="70"/>
      <x:c r="C268" s="70"/>
      <x:c r="D268" s="70"/>
      <x:c r="E268" s="70"/>
      <x:c r="F268" s="70"/>
      <x:c r="G268" s="70"/>
    </x:row>
    <x:row r="269" ht="15" hidden="0" customHeight="1">
      <x:c r="A269" s="70"/>
      <x:c r="B269" s="70"/>
      <x:c r="C269" s="70"/>
      <x:c r="D269" s="70"/>
      <x:c r="E269" s="70"/>
      <x:c r="F269" s="70"/>
      <x:c r="G269" s="70"/>
    </x:row>
    <x:row r="270" ht="15" hidden="0" customHeight="1">
      <x:c r="A270" s="70"/>
      <x:c r="B270" s="70"/>
      <x:c r="C270" s="70"/>
      <x:c r="D270" s="70"/>
      <x:c r="E270" s="70"/>
      <x:c r="F270" s="70"/>
      <x:c r="G270" s="70"/>
    </x:row>
    <x:row r="271" ht="15" hidden="0" customHeight="1">
      <x:c r="A271" s="70"/>
      <x:c r="B271" s="70"/>
      <x:c r="C271" s="70"/>
      <x:c r="D271" s="70"/>
      <x:c r="E271" s="70"/>
      <x:c r="F271" s="70"/>
      <x:c r="G271" s="70"/>
    </x:row>
    <x:row r="272" ht="15" hidden="0" customHeight="1">
      <x:c r="A272" s="70"/>
      <x:c r="B272" s="70"/>
      <x:c r="C272" s="70"/>
      <x:c r="D272" s="70"/>
      <x:c r="E272" s="70"/>
      <x:c r="F272" s="70"/>
      <x:c r="G272" s="70"/>
    </x:row>
    <x:row r="273" ht="15" hidden="0" customHeight="1">
      <x:c r="A273" s="70"/>
      <x:c r="B273" s="70"/>
      <x:c r="C273" s="70"/>
      <x:c r="D273" s="70"/>
      <x:c r="E273" s="70"/>
      <x:c r="F273" s="70"/>
      <x:c r="G273" s="70"/>
    </x:row>
    <x:row r="274" ht="15" hidden="0" customHeight="1">
      <x:c r="A274" s="70"/>
      <x:c r="B274" s="70"/>
      <x:c r="C274" s="70"/>
      <x:c r="D274" s="70"/>
      <x:c r="E274" s="70"/>
      <x:c r="F274" s="70"/>
      <x:c r="G274" s="70"/>
    </x:row>
    <x:row r="275" ht="15" hidden="0" customHeight="1">
      <x:c r="A275" s="70"/>
      <x:c r="B275" s="70"/>
      <x:c r="C275" s="70"/>
      <x:c r="D275" s="70"/>
      <x:c r="E275" s="70"/>
      <x:c r="F275" s="70"/>
      <x:c r="G275" s="70"/>
    </x:row>
    <x:row r="276" ht="15" hidden="0" customHeight="1">
      <x:c r="A276" s="70"/>
      <x:c r="B276" s="70"/>
      <x:c r="C276" s="70"/>
      <x:c r="D276" s="70"/>
      <x:c r="E276" s="70"/>
      <x:c r="F276" s="70"/>
      <x:c r="G276" s="70"/>
    </x:row>
    <x:row r="277" ht="15" hidden="0" customHeight="1">
      <x:c r="A277" s="70"/>
      <x:c r="B277" s="70"/>
      <x:c r="C277" s="70"/>
      <x:c r="D277" s="70"/>
      <x:c r="E277" s="70"/>
      <x:c r="F277" s="70"/>
      <x:c r="G277" s="70"/>
    </x:row>
    <x:row r="278" ht="15" hidden="0" customHeight="1">
      <x:c r="A278" s="70"/>
      <x:c r="B278" s="70"/>
      <x:c r="C278" s="70"/>
      <x:c r="D278" s="70"/>
      <x:c r="E278" s="70"/>
      <x:c r="F278" s="70"/>
      <x:c r="G278" s="70"/>
    </x:row>
    <x:row r="279" ht="15" hidden="0" customHeight="1">
      <x:c r="A279" s="70"/>
      <x:c r="B279" s="70"/>
      <x:c r="C279" s="70"/>
      <x:c r="D279" s="70"/>
      <x:c r="E279" s="70"/>
      <x:c r="F279" s="70"/>
      <x:c r="G279" s="70"/>
    </x:row>
    <x:row r="280" ht="15" hidden="0" customHeight="1">
      <x:c r="A280" s="70"/>
      <x:c r="B280" s="70"/>
      <x:c r="C280" s="70"/>
      <x:c r="D280" s="70"/>
      <x:c r="E280" s="70"/>
      <x:c r="F280" s="70"/>
      <x:c r="G280" s="70"/>
    </x:row>
    <x:row r="281" ht="15" hidden="0" customHeight="1">
      <x:c r="A281" s="70"/>
      <x:c r="B281" s="70"/>
      <x:c r="C281" s="70"/>
      <x:c r="D281" s="70"/>
      <x:c r="E281" s="70"/>
      <x:c r="F281" s="70"/>
      <x:c r="G281" s="70"/>
    </x:row>
    <x:row r="282" ht="15" hidden="0" customHeight="1">
      <x:c r="A282" s="70"/>
      <x:c r="B282" s="70"/>
      <x:c r="C282" s="70"/>
      <x:c r="D282" s="70"/>
      <x:c r="E282" s="70"/>
      <x:c r="F282" s="70"/>
      <x:c r="G282" s="70"/>
    </x:row>
    <x:row r="283" ht="15" hidden="0" customHeight="1">
      <x:c r="A283" s="70"/>
      <x:c r="B283" s="70"/>
      <x:c r="C283" s="70"/>
      <x:c r="D283" s="70"/>
      <x:c r="E283" s="70"/>
      <x:c r="F283" s="70"/>
      <x:c r="G283" s="70"/>
    </x:row>
    <x:row r="284" ht="15" hidden="0" customHeight="1">
      <x:c r="A284" s="70"/>
      <x:c r="B284" s="70"/>
      <x:c r="C284" s="70"/>
      <x:c r="D284" s="70"/>
      <x:c r="E284" s="70"/>
      <x:c r="F284" s="70"/>
      <x:c r="G284" s="70"/>
    </x:row>
    <x:row r="285" ht="15" hidden="0" customHeight="1">
      <x:c r="A285" s="70"/>
      <x:c r="B285" s="70"/>
      <x:c r="C285" s="70"/>
      <x:c r="D285" s="70"/>
      <x:c r="E285" s="70"/>
      <x:c r="F285" s="70"/>
      <x:c r="G285" s="70"/>
    </x:row>
    <x:row r="286" ht="15" hidden="0" customHeight="1">
      <x:c r="A286" s="70"/>
      <x:c r="B286" s="70"/>
      <x:c r="C286" s="70"/>
      <x:c r="D286" s="70"/>
      <x:c r="E286" s="70"/>
      <x:c r="F286" s="70"/>
      <x:c r="G286" s="70"/>
    </x:row>
    <x:row r="287" ht="15" hidden="0" customHeight="1">
      <x:c r="A287" s="70"/>
      <x:c r="B287" s="70"/>
      <x:c r="C287" s="70"/>
      <x:c r="D287" s="70"/>
      <x:c r="E287" s="70"/>
      <x:c r="F287" s="70"/>
      <x:c r="G287" s="70"/>
    </x:row>
    <x:row r="288" ht="15" hidden="0" customHeight="1">
      <x:c r="A288" s="70"/>
      <x:c r="B288" s="70"/>
      <x:c r="C288" s="70"/>
      <x:c r="D288" s="70"/>
      <x:c r="E288" s="70"/>
      <x:c r="F288" s="70"/>
      <x:c r="G288" s="70"/>
    </x:row>
    <x:row r="289" ht="15" hidden="0" customHeight="1">
      <x:c r="A289" s="70"/>
      <x:c r="B289" s="70"/>
      <x:c r="C289" s="70"/>
      <x:c r="D289" s="70"/>
      <x:c r="E289" s="70"/>
      <x:c r="F289" s="70"/>
      <x:c r="G289" s="70"/>
    </x:row>
    <x:row r="290" ht="15" hidden="0" customHeight="1">
      <x:c r="A290" s="70"/>
      <x:c r="B290" s="70"/>
      <x:c r="C290" s="70"/>
      <x:c r="D290" s="70"/>
      <x:c r="E290" s="70"/>
      <x:c r="F290" s="70"/>
      <x:c r="G290" s="70"/>
    </x:row>
    <x:row r="291" ht="15" hidden="0" customHeight="1">
      <x:c r="A291" s="70"/>
      <x:c r="B291" s="70"/>
      <x:c r="C291" s="70"/>
      <x:c r="D291" s="70"/>
      <x:c r="E291" s="70"/>
      <x:c r="F291" s="70"/>
      <x:c r="G291" s="70"/>
    </x:row>
    <x:row r="292" ht="15" hidden="0" customHeight="1">
      <x:c r="A292" s="70"/>
      <x:c r="B292" s="70"/>
      <x:c r="C292" s="70"/>
      <x:c r="D292" s="70"/>
      <x:c r="E292" s="70"/>
      <x:c r="F292" s="70"/>
      <x:c r="G292" s="70"/>
    </x:row>
    <x:row r="293" ht="15" hidden="0" customHeight="1">
      <x:c r="A293" s="70"/>
      <x:c r="B293" s="70"/>
      <x:c r="C293" s="70"/>
      <x:c r="D293" s="70"/>
      <x:c r="E293" s="70"/>
      <x:c r="F293" s="70"/>
      <x:c r="G293" s="70"/>
    </x:row>
    <x:row r="294" ht="15" hidden="0" customHeight="1">
      <x:c r="A294" s="70"/>
      <x:c r="B294" s="70"/>
      <x:c r="C294" s="70"/>
      <x:c r="D294" s="70"/>
      <x:c r="E294" s="70"/>
      <x:c r="F294" s="70"/>
      <x:c r="G294" s="70"/>
    </x:row>
    <x:row r="295" ht="15" hidden="0" customHeight="1">
      <x:c r="A295" s="70"/>
      <x:c r="B295" s="70"/>
      <x:c r="C295" s="70"/>
      <x:c r="D295" s="70"/>
      <x:c r="E295" s="70"/>
      <x:c r="F295" s="70"/>
      <x:c r="G295" s="70"/>
    </x:row>
    <x:row r="296" ht="15" hidden="0" customHeight="1">
      <x:c r="A296" s="70"/>
      <x:c r="B296" s="70"/>
      <x:c r="C296" s="70"/>
      <x:c r="D296" s="70"/>
      <x:c r="E296" s="70"/>
      <x:c r="F296" s="70"/>
      <x:c r="G296" s="70"/>
    </x:row>
    <x:row r="297" ht="15" hidden="0" customHeight="1">
      <x:c r="A297" s="70"/>
      <x:c r="B297" s="70"/>
      <x:c r="C297" s="70"/>
      <x:c r="D297" s="70"/>
      <x:c r="E297" s="70"/>
      <x:c r="F297" s="70"/>
      <x:c r="G297" s="70"/>
    </x:row>
    <x:row r="298" ht="15" hidden="0" customHeight="1">
      <x:c r="A298" s="70"/>
      <x:c r="B298" s="70"/>
      <x:c r="C298" s="70"/>
      <x:c r="D298" s="70"/>
      <x:c r="E298" s="70"/>
      <x:c r="F298" s="70"/>
      <x:c r="G298" s="70"/>
    </x:row>
    <x:row r="299" ht="15" hidden="0" customHeight="1">
      <x:c r="A299" s="70"/>
      <x:c r="B299" s="70"/>
      <x:c r="C299" s="70"/>
      <x:c r="D299" s="70"/>
      <x:c r="E299" s="70"/>
      <x:c r="F299" s="70"/>
      <x:c r="G299" s="70"/>
    </x:row>
    <x:row r="300" ht="15" hidden="0" customHeight="1">
      <x:c r="A300" s="70"/>
      <x:c r="B300" s="70"/>
      <x:c r="C300" s="70"/>
      <x:c r="D300" s="70"/>
      <x:c r="E300" s="70"/>
      <x:c r="F300" s="70"/>
      <x:c r="G300" s="70"/>
    </x:row>
    <x:row r="301" ht="15" hidden="0" customHeight="1">
      <x:c r="A301" s="70"/>
      <x:c r="B301" s="70"/>
      <x:c r="C301" s="70"/>
      <x:c r="D301" s="70"/>
      <x:c r="E301" s="70"/>
      <x:c r="F301" s="70"/>
      <x:c r="G301" s="70"/>
    </x:row>
    <x:row r="302" ht="15" hidden="0" customHeight="1">
      <x:c r="A302" s="70"/>
      <x:c r="B302" s="70"/>
      <x:c r="C302" s="70"/>
      <x:c r="D302" s="70"/>
      <x:c r="E302" s="70"/>
      <x:c r="F302" s="70"/>
      <x:c r="G302" s="70"/>
    </x:row>
    <x:row r="303" ht="15" hidden="0" customHeight="1">
      <x:c r="A303" s="70"/>
      <x:c r="B303" s="70"/>
      <x:c r="C303" s="70"/>
      <x:c r="D303" s="70"/>
      <x:c r="E303" s="70"/>
      <x:c r="F303" s="70"/>
      <x:c r="G303" s="70"/>
    </x:row>
    <x:row r="304" ht="15" hidden="0" customHeight="1">
      <x:c r="A304" s="70"/>
      <x:c r="B304" s="70"/>
      <x:c r="C304" s="70"/>
      <x:c r="D304" s="70"/>
      <x:c r="E304" s="70"/>
      <x:c r="F304" s="70"/>
      <x:c r="G304" s="70"/>
    </x:row>
    <x:row r="305" ht="15" hidden="0" customHeight="1">
      <x:c r="A305" s="70"/>
      <x:c r="B305" s="70"/>
      <x:c r="C305" s="70"/>
      <x:c r="D305" s="70"/>
      <x:c r="E305" s="70"/>
      <x:c r="F305" s="70"/>
      <x:c r="G305" s="70"/>
    </x:row>
    <x:row r="306" ht="15" hidden="0" customHeight="1">
      <x:c r="A306" s="70"/>
      <x:c r="B306" s="70"/>
      <x:c r="C306" s="70"/>
      <x:c r="D306" s="70"/>
      <x:c r="E306" s="70"/>
      <x:c r="F306" s="70"/>
      <x:c r="G306" s="70"/>
    </x:row>
    <x:row r="307" ht="15" hidden="0" customHeight="1">
      <x:c r="A307" s="70"/>
      <x:c r="B307" s="70"/>
      <x:c r="C307" s="70"/>
      <x:c r="D307" s="70"/>
      <x:c r="E307" s="70"/>
      <x:c r="F307" s="70"/>
      <x:c r="G307" s="70"/>
    </x:row>
    <x:row r="308" ht="15" hidden="0" customHeight="1">
      <x:c r="A308" s="70"/>
      <x:c r="B308" s="70"/>
      <x:c r="C308" s="70"/>
      <x:c r="D308" s="70"/>
      <x:c r="E308" s="70"/>
      <x:c r="F308" s="70"/>
      <x:c r="G308" s="70"/>
    </x:row>
    <x:row r="309" ht="15" hidden="0" customHeight="1">
      <x:c r="A309" s="70"/>
      <x:c r="B309" s="70"/>
      <x:c r="C309" s="70"/>
      <x:c r="D309" s="70"/>
      <x:c r="E309" s="70"/>
      <x:c r="F309" s="70"/>
      <x:c r="G309" s="70"/>
    </x:row>
    <x:row r="310" ht="15" hidden="0" customHeight="1">
      <x:c r="A310" s="70"/>
      <x:c r="B310" s="70"/>
      <x:c r="C310" s="70"/>
      <x:c r="D310" s="70"/>
      <x:c r="E310" s="70"/>
      <x:c r="F310" s="70"/>
      <x:c r="G310" s="70"/>
    </x:row>
    <x:row r="311" ht="15" hidden="0" customHeight="1">
      <x:c r="A311" s="70"/>
      <x:c r="B311" s="70"/>
      <x:c r="C311" s="70"/>
      <x:c r="D311" s="70"/>
      <x:c r="E311" s="70"/>
      <x:c r="F311" s="70"/>
      <x:c r="G311" s="70"/>
    </x:row>
    <x:row r="312" ht="15" hidden="0" customHeight="1">
      <x:c r="A312" s="70"/>
      <x:c r="B312" s="70"/>
      <x:c r="C312" s="70"/>
      <x:c r="D312" s="70"/>
      <x:c r="E312" s="70"/>
      <x:c r="F312" s="70"/>
      <x:c r="G312" s="70"/>
    </x:row>
    <x:row r="313" ht="15" hidden="0" customHeight="1">
      <x:c r="A313" s="70"/>
      <x:c r="B313" s="70"/>
      <x:c r="C313" s="70"/>
      <x:c r="D313" s="70"/>
      <x:c r="E313" s="70"/>
      <x:c r="F313" s="70"/>
      <x:c r="G313" s="70"/>
    </x:row>
    <x:row r="314" ht="15" hidden="0" customHeight="1">
      <x:c r="A314" s="70"/>
      <x:c r="B314" s="70"/>
      <x:c r="C314" s="70"/>
      <x:c r="D314" s="70"/>
      <x:c r="E314" s="70"/>
      <x:c r="F314" s="70"/>
      <x:c r="G314" s="70"/>
    </x:row>
    <x:row r="315" ht="15" hidden="0" customHeight="1">
      <x:c r="A315" s="70"/>
      <x:c r="B315" s="70"/>
      <x:c r="C315" s="70"/>
      <x:c r="D315" s="70"/>
      <x:c r="E315" s="70"/>
      <x:c r="F315" s="70"/>
      <x:c r="G315" s="70"/>
    </x:row>
    <x:row r="316" ht="15" hidden="0" customHeight="1">
      <x:c r="A316" s="70"/>
      <x:c r="B316" s="70"/>
      <x:c r="C316" s="70"/>
      <x:c r="D316" s="70"/>
      <x:c r="E316" s="70"/>
      <x:c r="F316" s="70"/>
      <x:c r="G316" s="70"/>
    </x:row>
    <x:row r="317" ht="15" hidden="0" customHeight="1">
      <x:c r="A317" s="70"/>
      <x:c r="B317" s="70"/>
      <x:c r="C317" s="70"/>
      <x:c r="D317" s="70"/>
      <x:c r="E317" s="70"/>
      <x:c r="F317" s="70"/>
      <x:c r="G317" s="70"/>
    </x:row>
    <x:row r="318" ht="15" hidden="0" customHeight="1">
      <x:c r="A318" s="70"/>
      <x:c r="B318" s="70"/>
      <x:c r="C318" s="70"/>
      <x:c r="D318" s="70"/>
      <x:c r="E318" s="70"/>
      <x:c r="F318" s="70"/>
      <x:c r="G318" s="70"/>
    </x:row>
    <x:row r="319" ht="15" hidden="0" customHeight="1">
      <x:c r="A319" s="70"/>
      <x:c r="B319" s="70"/>
      <x:c r="C319" s="70"/>
      <x:c r="D319" s="70"/>
      <x:c r="E319" s="70"/>
      <x:c r="F319" s="70"/>
      <x:c r="G319" s="70"/>
    </x:row>
    <x:row r="320" ht="15" hidden="0" customHeight="1">
      <x:c r="A320" s="70"/>
      <x:c r="B320" s="70"/>
      <x:c r="C320" s="70"/>
      <x:c r="D320" s="70"/>
      <x:c r="E320" s="70"/>
      <x:c r="F320" s="70"/>
      <x:c r="G320" s="70"/>
    </x:row>
    <x:row r="321" ht="15" hidden="0" customHeight="1">
      <x:c r="A321" s="70"/>
      <x:c r="B321" s="70"/>
      <x:c r="C321" s="70"/>
      <x:c r="D321" s="70"/>
      <x:c r="E321" s="70"/>
      <x:c r="F321" s="70"/>
      <x:c r="G321" s="70"/>
    </x:row>
    <x:row r="322" ht="15" hidden="0" customHeight="1">
      <x:c r="A322" s="70"/>
      <x:c r="B322" s="70"/>
      <x:c r="C322" s="70"/>
      <x:c r="D322" s="70"/>
      <x:c r="E322" s="70"/>
      <x:c r="F322" s="70"/>
      <x:c r="G322" s="70"/>
    </x:row>
    <x:row r="323" ht="15" hidden="0" customHeight="1">
      <x:c r="A323" s="70"/>
      <x:c r="B323" s="70"/>
      <x:c r="C323" s="70"/>
      <x:c r="D323" s="70"/>
      <x:c r="E323" s="70"/>
      <x:c r="F323" s="70"/>
      <x:c r="G323" s="70"/>
    </x:row>
    <x:row r="324" ht="15" hidden="0" customHeight="1">
      <x:c r="A324" s="70"/>
      <x:c r="B324" s="70"/>
      <x:c r="C324" s="70"/>
      <x:c r="D324" s="70"/>
      <x:c r="E324" s="70"/>
      <x:c r="F324" s="70"/>
      <x:c r="G324" s="70"/>
    </x:row>
    <x:row r="325" ht="15" hidden="0" customHeight="1">
      <x:c r="A325" s="70"/>
      <x:c r="B325" s="70"/>
      <x:c r="C325" s="70"/>
      <x:c r="D325" s="70"/>
      <x:c r="E325" s="70"/>
      <x:c r="F325" s="70"/>
      <x:c r="G325" s="70"/>
    </x:row>
    <x:row r="326" ht="15" hidden="0" customHeight="1">
      <x:c r="A326" s="70"/>
      <x:c r="B326" s="70"/>
      <x:c r="C326" s="70"/>
      <x:c r="D326" s="70"/>
      <x:c r="E326" s="70"/>
      <x:c r="F326" s="70"/>
      <x:c r="G326" s="70"/>
    </x:row>
    <x:row r="327" ht="15" hidden="0" customHeight="1">
      <x:c r="A327" s="70"/>
      <x:c r="B327" s="70"/>
      <x:c r="C327" s="70"/>
      <x:c r="D327" s="70"/>
      <x:c r="E327" s="70"/>
      <x:c r="F327" s="70"/>
      <x:c r="G327" s="70"/>
    </x:row>
    <x:row r="328" ht="15" hidden="0" customHeight="1">
      <x:c r="A328" s="70"/>
      <x:c r="B328" s="70"/>
      <x:c r="C328" s="70"/>
      <x:c r="D328" s="70"/>
      <x:c r="E328" s="70"/>
      <x:c r="F328" s="70"/>
      <x:c r="G328" s="70"/>
    </x:row>
    <x:row r="329" ht="15" hidden="0" customHeight="1">
      <x:c r="A329" s="70"/>
      <x:c r="B329" s="70"/>
      <x:c r="C329" s="70"/>
      <x:c r="D329" s="70"/>
      <x:c r="E329" s="70"/>
      <x:c r="F329" s="70"/>
      <x:c r="G329" s="70"/>
    </x:row>
    <x:row r="330" ht="15" hidden="0" customHeight="1">
      <x:c r="A330" s="70"/>
      <x:c r="B330" s="70"/>
      <x:c r="C330" s="70"/>
      <x:c r="D330" s="70"/>
      <x:c r="E330" s="70"/>
      <x:c r="F330" s="70"/>
      <x:c r="G330" s="70"/>
    </x:row>
    <x:row r="331" ht="15" hidden="0" customHeight="1">
      <x:c r="A331" s="70"/>
      <x:c r="B331" s="70"/>
      <x:c r="C331" s="70"/>
      <x:c r="D331" s="70"/>
      <x:c r="E331" s="70"/>
      <x:c r="F331" s="70"/>
      <x:c r="G331" s="70"/>
    </x:row>
    <x:row r="332" ht="15" hidden="0" customHeight="1">
      <x:c r="A332" s="70"/>
      <x:c r="B332" s="70"/>
      <x:c r="C332" s="70"/>
      <x:c r="D332" s="70"/>
      <x:c r="E332" s="70"/>
      <x:c r="F332" s="70"/>
      <x:c r="G332" s="70"/>
    </x:row>
    <x:row r="333" ht="15" hidden="0" customHeight="1">
      <x:c r="A333" s="70"/>
      <x:c r="B333" s="70"/>
      <x:c r="C333" s="70"/>
      <x:c r="D333" s="70"/>
      <x:c r="E333" s="70"/>
      <x:c r="F333" s="70"/>
      <x:c r="G333" s="70"/>
    </x:row>
    <x:row r="334" ht="15" hidden="0" customHeight="1">
      <x:c r="A334" s="70"/>
      <x:c r="B334" s="70"/>
      <x:c r="C334" s="70"/>
      <x:c r="D334" s="70"/>
      <x:c r="E334" s="70"/>
      <x:c r="F334" s="70"/>
      <x:c r="G334" s="70"/>
    </x:row>
    <x:row r="335" ht="15" hidden="0" customHeight="1">
      <x:c r="A335" s="70"/>
      <x:c r="B335" s="70"/>
      <x:c r="C335" s="70"/>
      <x:c r="D335" s="70"/>
      <x:c r="E335" s="70"/>
      <x:c r="F335" s="70"/>
      <x:c r="G335" s="70"/>
    </x:row>
    <x:row r="336" ht="15" hidden="0" customHeight="1">
      <x:c r="A336" s="70"/>
      <x:c r="B336" s="70"/>
      <x:c r="C336" s="70"/>
      <x:c r="D336" s="70"/>
      <x:c r="E336" s="70"/>
      <x:c r="F336" s="70"/>
      <x:c r="G336" s="70"/>
    </x:row>
    <x:row r="337" ht="15" hidden="0" customHeight="1">
      <x:c r="A337" s="70"/>
      <x:c r="B337" s="70"/>
      <x:c r="C337" s="70"/>
      <x:c r="D337" s="70"/>
      <x:c r="E337" s="70"/>
      <x:c r="F337" s="70"/>
      <x:c r="G337" s="70"/>
    </x:row>
    <x:row r="338" ht="15" hidden="0" customHeight="1">
      <x:c r="A338" s="70"/>
      <x:c r="B338" s="70"/>
      <x:c r="C338" s="70"/>
      <x:c r="D338" s="70"/>
      <x:c r="E338" s="70"/>
      <x:c r="F338" s="70"/>
      <x:c r="G338" s="70"/>
    </x:row>
    <x:row r="339" ht="15" hidden="0" customHeight="1">
      <x:c r="A339" s="70"/>
      <x:c r="B339" s="70"/>
      <x:c r="C339" s="70"/>
      <x:c r="D339" s="70"/>
      <x:c r="E339" s="70"/>
      <x:c r="F339" s="70"/>
      <x:c r="G339" s="70"/>
    </x:row>
    <x:row r="340" ht="15" hidden="0" customHeight="1">
      <x:c r="A340" s="70"/>
      <x:c r="B340" s="70"/>
      <x:c r="C340" s="70"/>
      <x:c r="D340" s="70"/>
      <x:c r="E340" s="70"/>
      <x:c r="F340" s="70"/>
      <x:c r="G340" s="70"/>
    </x:row>
    <x:row r="341" ht="15" hidden="0" customHeight="1">
      <x:c r="A341" s="70"/>
      <x:c r="B341" s="70"/>
      <x:c r="C341" s="70"/>
      <x:c r="D341" s="70"/>
      <x:c r="E341" s="70"/>
      <x:c r="F341" s="70"/>
      <x:c r="G341" s="70"/>
    </x:row>
    <x:row r="342" ht="15" hidden="0" customHeight="1">
      <x:c r="A342" s="70"/>
      <x:c r="B342" s="70"/>
      <x:c r="C342" s="70"/>
      <x:c r="D342" s="70"/>
      <x:c r="E342" s="70"/>
      <x:c r="F342" s="70"/>
      <x:c r="G342" s="70"/>
    </x:row>
    <x:row r="343" ht="15" hidden="0" customHeight="1">
      <x:c r="A343" s="70"/>
      <x:c r="B343" s="70"/>
      <x:c r="C343" s="70"/>
      <x:c r="D343" s="70"/>
      <x:c r="E343" s="70"/>
      <x:c r="F343" s="70"/>
      <x:c r="G343" s="70"/>
    </x:row>
    <x:row r="344" ht="15" hidden="0" customHeight="1">
      <x:c r="A344" s="70"/>
      <x:c r="B344" s="70"/>
      <x:c r="C344" s="70"/>
      <x:c r="D344" s="70"/>
      <x:c r="E344" s="70"/>
      <x:c r="F344" s="70"/>
      <x:c r="G344" s="70"/>
    </x:row>
    <x:row r="345" ht="15" hidden="0" customHeight="1">
      <x:c r="A345" s="70"/>
      <x:c r="B345" s="70"/>
      <x:c r="C345" s="70"/>
      <x:c r="D345" s="70"/>
      <x:c r="E345" s="70"/>
      <x:c r="F345" s="70"/>
      <x:c r="G345" s="70"/>
    </x:row>
    <x:row r="346" ht="15" hidden="0" customHeight="1">
      <x:c r="A346" s="70"/>
      <x:c r="B346" s="70"/>
      <x:c r="C346" s="70"/>
      <x:c r="D346" s="70"/>
      <x:c r="E346" s="70"/>
      <x:c r="F346" s="70"/>
      <x:c r="G346" s="70"/>
    </x:row>
    <x:row r="347" ht="15" hidden="0" customHeight="1">
      <x:c r="A347" s="70"/>
      <x:c r="B347" s="70"/>
      <x:c r="C347" s="70"/>
      <x:c r="D347" s="70"/>
      <x:c r="E347" s="70"/>
      <x:c r="F347" s="70"/>
      <x:c r="G347" s="70"/>
    </x:row>
    <x:row r="348" ht="15" hidden="0" customHeight="1">
      <x:c r="A348" s="70"/>
      <x:c r="B348" s="70"/>
      <x:c r="C348" s="70"/>
      <x:c r="D348" s="70"/>
      <x:c r="E348" s="70"/>
      <x:c r="F348" s="70"/>
      <x:c r="G348" s="70"/>
    </x:row>
    <x:row r="349" ht="15" hidden="0" customHeight="1">
      <x:c r="A349" s="70"/>
      <x:c r="B349" s="70"/>
      <x:c r="C349" s="70"/>
      <x:c r="D349" s="70"/>
      <x:c r="E349" s="70"/>
      <x:c r="F349" s="70"/>
      <x:c r="G349" s="70"/>
    </x:row>
    <x:row r="350" ht="15" hidden="0" customHeight="1">
      <x:c r="A350" s="70"/>
      <x:c r="B350" s="70"/>
      <x:c r="C350" s="70"/>
      <x:c r="D350" s="70"/>
      <x:c r="E350" s="70"/>
      <x:c r="F350" s="70"/>
      <x:c r="G350" s="70"/>
    </x:row>
    <x:row r="351" ht="15" hidden="0" customHeight="1">
      <x:c r="A351" s="70"/>
      <x:c r="B351" s="70"/>
      <x:c r="C351" s="70"/>
      <x:c r="D351" s="70"/>
      <x:c r="E351" s="70"/>
      <x:c r="F351" s="70"/>
      <x:c r="G351" s="70"/>
    </x:row>
    <x:row r="352" ht="15" hidden="0" customHeight="1">
      <x:c r="A352" s="70"/>
      <x:c r="B352" s="70"/>
      <x:c r="C352" s="70"/>
      <x:c r="D352" s="70"/>
      <x:c r="E352" s="70"/>
      <x:c r="F352" s="70"/>
      <x:c r="G352" s="70"/>
    </x:row>
    <x:row r="353" ht="15" hidden="0" customHeight="1">
      <x:c r="A353" s="70"/>
      <x:c r="B353" s="70"/>
      <x:c r="C353" s="70"/>
      <x:c r="D353" s="70"/>
      <x:c r="E353" s="70"/>
      <x:c r="F353" s="70"/>
      <x:c r="G353" s="70"/>
    </x:row>
    <x:row r="354" ht="15" hidden="0" customHeight="1">
      <x:c r="A354" s="70"/>
      <x:c r="B354" s="70"/>
      <x:c r="C354" s="70"/>
      <x:c r="D354" s="70"/>
      <x:c r="E354" s="70"/>
      <x:c r="F354" s="70"/>
      <x:c r="G354" s="70"/>
    </x:row>
    <x:row r="355" ht="15" hidden="0" customHeight="1">
      <x:c r="A355" s="70"/>
      <x:c r="B355" s="70"/>
      <x:c r="C355" s="70"/>
      <x:c r="D355" s="70"/>
      <x:c r="E355" s="70"/>
      <x:c r="F355" s="70"/>
      <x:c r="G355" s="70"/>
    </x:row>
    <x:row r="356" ht="15" hidden="0" customHeight="1">
      <x:c r="A356" s="70"/>
      <x:c r="B356" s="70"/>
      <x:c r="C356" s="70"/>
      <x:c r="D356" s="70"/>
      <x:c r="E356" s="70"/>
      <x:c r="F356" s="70"/>
      <x:c r="G356" s="70"/>
    </x:row>
    <x:row r="357" ht="15" hidden="0" customHeight="1">
      <x:c r="A357" s="70"/>
      <x:c r="B357" s="70"/>
      <x:c r="C357" s="70"/>
      <x:c r="D357" s="70"/>
      <x:c r="E357" s="70"/>
      <x:c r="F357" s="70"/>
      <x:c r="G357" s="70"/>
    </x:row>
    <x:row r="358" ht="15" hidden="0" customHeight="1">
      <x:c r="A358" s="70"/>
      <x:c r="B358" s="70"/>
      <x:c r="C358" s="70"/>
      <x:c r="D358" s="70"/>
      <x:c r="E358" s="70"/>
      <x:c r="F358" s="70"/>
      <x:c r="G358" s="70"/>
    </x:row>
    <x:row r="359" ht="15" hidden="0" customHeight="1">
      <x:c r="A359" s="70"/>
      <x:c r="B359" s="70"/>
      <x:c r="C359" s="70"/>
      <x:c r="D359" s="70"/>
      <x:c r="E359" s="70"/>
      <x:c r="F359" s="70"/>
      <x:c r="G359" s="70"/>
    </x:row>
    <x:row r="360" ht="15" hidden="0" customHeight="1">
      <x:c r="A360" s="70"/>
      <x:c r="B360" s="70"/>
      <x:c r="C360" s="70"/>
      <x:c r="D360" s="70"/>
      <x:c r="E360" s="70"/>
      <x:c r="F360" s="70"/>
      <x:c r="G360" s="70"/>
    </x:row>
    <x:row r="361" ht="15" hidden="0" customHeight="1">
      <x:c r="A361" s="70"/>
      <x:c r="B361" s="70"/>
      <x:c r="C361" s="70"/>
      <x:c r="D361" s="70"/>
      <x:c r="E361" s="70"/>
      <x:c r="F361" s="70"/>
      <x:c r="G361" s="70"/>
    </x:row>
    <x:row r="362" ht="15" hidden="0" customHeight="1">
      <x:c r="A362" s="70"/>
      <x:c r="B362" s="70"/>
      <x:c r="C362" s="70"/>
      <x:c r="D362" s="70"/>
      <x:c r="E362" s="70"/>
      <x:c r="F362" s="70"/>
      <x:c r="G362" s="70"/>
    </x:row>
    <x:row r="363" ht="15" hidden="0" customHeight="1">
      <x:c r="A363" s="70"/>
      <x:c r="B363" s="70"/>
      <x:c r="C363" s="70"/>
      <x:c r="D363" s="70"/>
      <x:c r="E363" s="70"/>
      <x:c r="F363" s="70"/>
      <x:c r="G363" s="70"/>
    </x:row>
    <x:row r="364" ht="15" hidden="0" customHeight="1">
      <x:c r="A364" s="70"/>
      <x:c r="B364" s="70"/>
      <x:c r="C364" s="70"/>
      <x:c r="D364" s="70"/>
      <x:c r="E364" s="70"/>
      <x:c r="F364" s="70"/>
      <x:c r="G364" s="70"/>
    </x:row>
    <x:row r="365" ht="15" hidden="0" customHeight="1">
      <x:c r="A365" s="70"/>
      <x:c r="B365" s="70"/>
      <x:c r="C365" s="70"/>
      <x:c r="D365" s="70"/>
      <x:c r="E365" s="70"/>
      <x:c r="F365" s="70"/>
      <x:c r="G365" s="70"/>
    </x:row>
    <x:row r="366" ht="15" hidden="0" customHeight="1">
      <x:c r="A366" s="70"/>
      <x:c r="B366" s="70"/>
      <x:c r="C366" s="70"/>
      <x:c r="D366" s="70"/>
      <x:c r="E366" s="70"/>
      <x:c r="F366" s="70"/>
      <x:c r="G366" s="70"/>
    </x:row>
    <x:row r="367" ht="15" hidden="0" customHeight="1">
      <x:c r="A367" s="70"/>
      <x:c r="B367" s="70"/>
      <x:c r="C367" s="70"/>
      <x:c r="D367" s="70"/>
      <x:c r="E367" s="70"/>
      <x:c r="F367" s="70"/>
      <x:c r="G367" s="70"/>
    </x:row>
    <x:row r="368" ht="15" hidden="0" customHeight="1">
      <x:c r="A368" s="70"/>
      <x:c r="B368" s="70"/>
      <x:c r="C368" s="70"/>
      <x:c r="D368" s="70"/>
      <x:c r="E368" s="70"/>
      <x:c r="F368" s="70"/>
      <x:c r="G368" s="70"/>
    </x:row>
    <x:row r="369" ht="15" hidden="0" customHeight="1">
      <x:c r="A369" s="70"/>
      <x:c r="B369" s="70"/>
      <x:c r="C369" s="70"/>
      <x:c r="D369" s="70"/>
      <x:c r="E369" s="70"/>
      <x:c r="F369" s="70"/>
      <x:c r="G369" s="70"/>
    </x:row>
    <x:row r="370" ht="15" hidden="0" customHeight="1">
      <x:c r="A370" s="70"/>
      <x:c r="B370" s="70"/>
      <x:c r="C370" s="70"/>
      <x:c r="D370" s="70"/>
      <x:c r="E370" s="70"/>
      <x:c r="F370" s="70"/>
      <x:c r="G370" s="70"/>
    </x:row>
    <x:row r="371" ht="15" hidden="0" customHeight="1">
      <x:c r="A371" s="70"/>
      <x:c r="B371" s="70"/>
      <x:c r="C371" s="70"/>
      <x:c r="D371" s="70"/>
      <x:c r="E371" s="70"/>
      <x:c r="F371" s="70"/>
      <x:c r="G371" s="70"/>
    </x:row>
    <x:row r="372" ht="15" hidden="0" customHeight="1">
      <x:c r="A372" s="70"/>
      <x:c r="B372" s="70"/>
      <x:c r="C372" s="70"/>
      <x:c r="D372" s="70"/>
      <x:c r="E372" s="70"/>
      <x:c r="F372" s="70"/>
      <x:c r="G372" s="70"/>
    </x:row>
    <x:row r="373" ht="15" hidden="0" customHeight="1">
      <x:c r="A373" s="70"/>
      <x:c r="B373" s="70"/>
      <x:c r="C373" s="70"/>
      <x:c r="D373" s="70"/>
      <x:c r="E373" s="70"/>
      <x:c r="F373" s="70"/>
      <x:c r="G373" s="70"/>
    </x:row>
    <x:row r="374" ht="15" hidden="0" customHeight="1">
      <x:c r="A374" s="70"/>
      <x:c r="B374" s="70"/>
      <x:c r="C374" s="70"/>
      <x:c r="D374" s="70"/>
      <x:c r="E374" s="70"/>
      <x:c r="F374" s="70"/>
      <x:c r="G374" s="70"/>
    </x:row>
    <x:row r="375" ht="15" hidden="0" customHeight="1">
      <x:c r="A375" s="70"/>
      <x:c r="B375" s="70"/>
      <x:c r="C375" s="70"/>
      <x:c r="D375" s="70"/>
      <x:c r="E375" s="70"/>
      <x:c r="F375" s="70"/>
      <x:c r="G375" s="70"/>
    </x:row>
    <x:row r="376" ht="15" hidden="0" customHeight="1">
      <x:c r="A376" s="70"/>
      <x:c r="B376" s="70"/>
      <x:c r="C376" s="70"/>
      <x:c r="D376" s="70"/>
      <x:c r="E376" s="70"/>
      <x:c r="F376" s="70"/>
      <x:c r="G376" s="70"/>
    </x:row>
    <x:row r="377" ht="15" hidden="0" customHeight="1">
      <x:c r="A377" s="70"/>
      <x:c r="B377" s="70"/>
      <x:c r="C377" s="70"/>
      <x:c r="D377" s="70"/>
      <x:c r="E377" s="70"/>
      <x:c r="F377" s="70"/>
      <x:c r="G377" s="70"/>
    </x:row>
    <x:row r="378" ht="15" hidden="0" customHeight="1">
      <x:c r="A378" s="70"/>
      <x:c r="B378" s="70"/>
      <x:c r="C378" s="70"/>
      <x:c r="D378" s="70"/>
      <x:c r="E378" s="70"/>
      <x:c r="F378" s="70"/>
      <x:c r="G378" s="70"/>
    </x:row>
    <x:row r="379" ht="15" hidden="0" customHeight="1">
      <x:c r="A379" s="70"/>
      <x:c r="B379" s="70"/>
      <x:c r="C379" s="70"/>
      <x:c r="D379" s="70"/>
      <x:c r="E379" s="70"/>
      <x:c r="F379" s="70"/>
      <x:c r="G379" s="70"/>
    </x:row>
    <x:row r="380" ht="15" hidden="0" customHeight="1">
      <x:c r="A380" s="70"/>
      <x:c r="B380" s="70"/>
      <x:c r="C380" s="70"/>
      <x:c r="D380" s="70"/>
      <x:c r="E380" s="70"/>
      <x:c r="F380" s="70"/>
      <x:c r="G380" s="70"/>
    </x:row>
    <x:row r="381" ht="15" hidden="0" customHeight="1">
      <x:c r="A381" s="70"/>
      <x:c r="B381" s="70"/>
      <x:c r="C381" s="70"/>
      <x:c r="D381" s="70"/>
      <x:c r="E381" s="70"/>
      <x:c r="F381" s="70"/>
      <x:c r="G381" s="70"/>
    </x:row>
    <x:row r="382" ht="15" hidden="0" customHeight="1">
      <x:c r="A382" s="70"/>
      <x:c r="B382" s="70"/>
      <x:c r="C382" s="70"/>
      <x:c r="D382" s="70"/>
      <x:c r="E382" s="70"/>
      <x:c r="F382" s="70"/>
      <x:c r="G382" s="70"/>
    </x:row>
    <x:row r="383" ht="15" hidden="0" customHeight="1">
      <x:c r="A383" s="70"/>
      <x:c r="B383" s="70"/>
      <x:c r="C383" s="70"/>
      <x:c r="D383" s="70"/>
      <x:c r="E383" s="70"/>
      <x:c r="F383" s="70"/>
      <x:c r="G383" s="70"/>
    </x:row>
    <x:row r="384" ht="15" hidden="0" customHeight="1">
      <x:c r="A384" s="70"/>
      <x:c r="B384" s="70"/>
      <x:c r="C384" s="70"/>
      <x:c r="D384" s="70"/>
      <x:c r="E384" s="70"/>
      <x:c r="F384" s="70"/>
      <x:c r="G384" s="70"/>
    </x:row>
    <x:row r="385" ht="15" hidden="0" customHeight="1">
      <x:c r="A385" s="70"/>
      <x:c r="B385" s="70"/>
      <x:c r="C385" s="70"/>
      <x:c r="D385" s="70"/>
      <x:c r="E385" s="70"/>
      <x:c r="F385" s="70"/>
      <x:c r="G385" s="70"/>
    </x:row>
    <x:row r="386" ht="15" hidden="0" customHeight="1">
      <x:c r="A386" s="70"/>
      <x:c r="B386" s="70"/>
      <x:c r="C386" s="70"/>
      <x:c r="D386" s="70"/>
      <x:c r="E386" s="70"/>
      <x:c r="F386" s="70"/>
      <x:c r="G386" s="70"/>
    </x:row>
    <x:row r="387" ht="15" hidden="0" customHeight="1">
      <x:c r="A387" s="70"/>
      <x:c r="B387" s="70"/>
      <x:c r="C387" s="70"/>
      <x:c r="D387" s="70"/>
      <x:c r="E387" s="70"/>
      <x:c r="F387" s="70"/>
      <x:c r="G387" s="70"/>
    </x:row>
    <x:row r="388" ht="15" hidden="0" customHeight="1">
      <x:c r="A388" s="70"/>
      <x:c r="B388" s="70"/>
      <x:c r="C388" s="70"/>
      <x:c r="D388" s="70"/>
      <x:c r="E388" s="70"/>
      <x:c r="F388" s="70"/>
      <x:c r="G388" s="70"/>
    </x:row>
    <x:row r="389" ht="15" hidden="0" customHeight="1">
      <x:c r="A389" s="70"/>
      <x:c r="B389" s="70"/>
      <x:c r="C389" s="70"/>
      <x:c r="D389" s="70"/>
      <x:c r="E389" s="70"/>
      <x:c r="F389" s="70"/>
      <x:c r="G389" s="70"/>
    </x:row>
    <x:row r="390" ht="15" hidden="0" customHeight="1">
      <x:c r="A390" s="70"/>
      <x:c r="B390" s="70"/>
      <x:c r="C390" s="70"/>
      <x:c r="D390" s="70"/>
      <x:c r="E390" s="70"/>
      <x:c r="F390" s="70"/>
      <x:c r="G390" s="70"/>
    </x:row>
    <x:row r="391" ht="15" hidden="0" customHeight="1">
      <x:c r="A391" s="70"/>
      <x:c r="B391" s="70"/>
      <x:c r="C391" s="70"/>
      <x:c r="D391" s="70"/>
      <x:c r="E391" s="70"/>
      <x:c r="F391" s="70"/>
      <x:c r="G391" s="70"/>
    </x:row>
    <x:row r="392" ht="15" hidden="0" customHeight="1">
      <x:c r="A392" s="70"/>
      <x:c r="B392" s="70"/>
      <x:c r="C392" s="70"/>
      <x:c r="D392" s="70"/>
      <x:c r="E392" s="70"/>
      <x:c r="F392" s="70"/>
      <x:c r="G392" s="70"/>
    </x:row>
    <x:row r="393" ht="15" hidden="0" customHeight="1">
      <x:c r="A393" s="70"/>
      <x:c r="B393" s="70"/>
      <x:c r="C393" s="70"/>
      <x:c r="D393" s="70"/>
      <x:c r="E393" s="70"/>
      <x:c r="F393" s="70"/>
      <x:c r="G393" s="70"/>
    </x:row>
    <x:row r="394" ht="15" hidden="0" customHeight="1">
      <x:c r="A394" s="70"/>
      <x:c r="B394" s="70"/>
      <x:c r="C394" s="70"/>
      <x:c r="D394" s="70"/>
      <x:c r="E394" s="70"/>
      <x:c r="F394" s="70"/>
      <x:c r="G394" s="70"/>
    </x:row>
    <x:row r="395" ht="15" hidden="0" customHeight="1">
      <x:c r="A395" s="70"/>
      <x:c r="B395" s="70"/>
      <x:c r="C395" s="70"/>
      <x:c r="D395" s="70"/>
      <x:c r="E395" s="70"/>
      <x:c r="F395" s="70"/>
      <x:c r="G395" s="70"/>
    </x:row>
    <x:row r="396" ht="15" hidden="0" customHeight="1">
      <x:c r="A396" s="70"/>
      <x:c r="B396" s="70"/>
      <x:c r="C396" s="70"/>
      <x:c r="D396" s="70"/>
      <x:c r="E396" s="70"/>
      <x:c r="F396" s="70"/>
      <x:c r="G396" s="70"/>
    </x:row>
    <x:row r="397" ht="15" hidden="0" customHeight="1">
      <x:c r="A397" s="70"/>
      <x:c r="B397" s="70"/>
      <x:c r="C397" s="70"/>
      <x:c r="D397" s="70"/>
      <x:c r="E397" s="70"/>
      <x:c r="F397" s="70"/>
      <x:c r="G397" s="70"/>
    </x:row>
    <x:row r="398" ht="15" hidden="0" customHeight="1">
      <x:c r="A398" s="70"/>
      <x:c r="B398" s="70"/>
      <x:c r="C398" s="70"/>
      <x:c r="D398" s="70"/>
      <x:c r="E398" s="70"/>
      <x:c r="F398" s="70"/>
      <x:c r="G398" s="70"/>
    </x:row>
    <x:row r="399" ht="15" hidden="0" customHeight="1">
      <x:c r="A399" s="70"/>
      <x:c r="B399" s="70"/>
      <x:c r="C399" s="70"/>
      <x:c r="D399" s="70"/>
      <x:c r="E399" s="70"/>
      <x:c r="F399" s="70"/>
      <x:c r="G399" s="70"/>
    </x:row>
    <x:row r="400" ht="15" hidden="0" customHeight="1">
      <x:c r="A400" s="70"/>
      <x:c r="B400" s="70"/>
      <x:c r="C400" s="70"/>
      <x:c r="D400" s="70"/>
      <x:c r="E400" s="70"/>
      <x:c r="F400" s="70"/>
      <x:c r="G400" s="70"/>
    </x:row>
  </x:sheetData>
  <x:mergeCells>
    <x:mergeCell ref="A1:G1"/>
    <x:mergeCell ref="A2:G2"/>
  </x:mergeCells>
  <x:pageMargins left="0.7" right="0.7" top="0.75" bottom="0.75" header="0.3" footer="0.3"/>
  <x:tableParts count="1">
    <x:tablePart xmlns:r="http://schemas.openxmlformats.org/officeDocument/2006/relationships" r:id="R79f4ed795f7c465d"/>
  </x:tableParts>
</x:worksheet>
</file>

<file path=xl/worksheets/sheet7.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38" hidden="0" customWidth="1"/>
    <x:col min="3" max="3" width="65" hidden="0" customWidth="1"/>
    <x:col min="4" max="4" width="18" hidden="0" customWidth="1"/>
    <x:col min="5" max="5" width="50" hidden="0" customWidth="1"/>
    <x:col min="6" max="6" width="60" hidden="0" customWidth="1"/>
  </x:cols>
  <x:sheetData>
    <x:row r="1" ht="34" customHeight="1">
      <x:c r="A1" s="3" t="str">
        <x:v>53 nguồn đối chiếu</x:v>
      </x:c>
      <x:c r="B1" s="3"/>
      <x:c r="C1" s="3"/>
      <x:c r="D1" s="3"/>
      <x:c r="E1" s="3"/>
    </x:row>
    <x:row r="2" ht="33" customHeight="1">
      <x:c r="A2" s="7" t="str">
        <x:v>Nguồn theo SHA; nội dung công khai; tài liệu chính thức. Mức đã đọc và giới hạn có ghi riêng.</x:v>
      </x:c>
      <x:c r="B2" s="7"/>
      <x:c r="C2" s="7"/>
      <x:c r="D2" s="7"/>
      <x:c r="E2" s="7"/>
    </x:row>
    <x:row r="4" ht="36" customHeight="1">
      <x:c r="A4" s="68" t="str">
        <x:v>ID</x:v>
      </x:c>
      <x:c r="B4" s="68" t="str">
        <x:v>Tên nguồn</x:v>
      </x:c>
      <x:c r="C4" s="68" t="str">
        <x:v>URL</x:v>
      </x:c>
      <x:c r="D4" s="68" t="str">
        <x:v>Ngày đọc</x:v>
      </x:c>
      <x:c r="E4" s="68" t="str">
        <x:v>Phạm vi</x:v>
      </x:c>
      <x:c r="F4" s="68" t="str">
        <x:v>Giới hạn</x:v>
      </x:c>
    </x:row>
    <x:row r="5" ht="15" hidden="0" customHeight="1">
      <x:c r="A5" s="56" t="str">
        <x:v>G01</x:v>
      </x:c>
      <x:c r="B5" s="56" t="str">
        <x:v>Remote branches</x:v>
      </x:c>
      <x:c r="C5" s="56" t="str">
        <x:v>https://api.github.com/repos/tranhatam-collab/Life-Code-OS/branches?per_page=100</x:v>
      </x:c>
      <x:c r="D5" s="56" t="str">
        <x:v>2026-10-11</x:v>
      </x:c>
      <x:c r="E5" s="56" t="str">
        <x:v>GitHub connector GET; đọc danh sách nhánh</x:v>
      </x:c>
      <x:c r="F5" s="56" t="str">
        <x:v>Không phải deployed SHA</x:v>
      </x:c>
    </x:row>
    <x:row r="6" ht="24" hidden="0" customHeight="1">
      <x:c r="A6" s="56" t="str">
        <x:v>G02</x:v>
      </x:c>
      <x:c r="B6" s="56" t="str">
        <x:v>Kế hoạch audit 1.096 dòng</x:v>
      </x:c>
      <x:c r="C6" s="56" t="str">
        <x:v>https://github.com/tranhatam-collab/Life-Code-OS/blob/336ef35a8386a744c6de18a7f7c6e268e89e6dac/docs/audit/LIFE_CODE_OS_COMPREHENSIVE_UPGRADE_PLAN_2026-10-11.md</x:v>
      </x:c>
      <x:c r="D6" s="56" t="str">
        <x:v>2026-10-11</x:v>
      </x:c>
      <x:c r="E6" s="56" t="str">
        <x:v>Đọc các dải nội dung toàn tài liệu qua GitHub; trạng thái PROPOSED_FOR_TEAM_AUDIT</x:v>
      </x:c>
      <x:c r="F6" s="56" t="str">
        <x:v>Các kết quả live của tác giả audit là nguồn khai báo, không mặc nhiên là đo lại trong phiên này</x:v>
      </x:c>
    </x:row>
    <x:row r="7" ht="24" hidden="0" customHeight="1">
      <x:c r="A7" s="56" t="str">
        <x:v>G03</x:v>
      </x:c>
      <x:c r="B7" s="56" t="str">
        <x:v>Kiến trúc 9 level cũ</x:v>
      </x:c>
      <x:c r="C7" s="56" t="str">
        <x:v>https://github.com/tranhatam-collab/Life-Code-OS/blob/99b402764437f81859fa0cd3a3af860125f7bd52/docs/LEVELS_ARCHITECTURE_V1.md</x:v>
      </x:c>
      <x:c r="D7" s="56" t="str">
        <x:v>2026-10-11</x:v>
      </x:c>
      <x:c r="E7" s="56" t="str">
        <x:v>Đã đọc nội dung</x:v>
      </x:c>
      <x:c r="F7" s="56" t="str"/>
    </x:row>
    <x:row r="8" ht="24" hidden="0" customHeight="1">
      <x:c r="A8" s="56" t="str">
        <x:v>G04</x:v>
      </x:c>
      <x:c r="B8" s="56" t="str">
        <x:v>API routes: profile và session</x:v>
      </x:c>
      <x:c r="C8" s="56" t="str">
        <x:v>https://github.com/tranhatam-collab/Life-Code-OS/blob/99b402764437f81859fa0cd3a3af860125f7bd52/workers/life-code-api/src/index.js#L653-L760</x:v>
      </x:c>
      <x:c r="D8" s="56" t="str">
        <x:v>2026-10-11</x:v>
      </x:c>
      <x:c r="E8" s="56" t="str">
        <x:v>Đọc nhánh xử lý mã remote</x:v>
      </x:c>
      <x:c r="F8" s="56" t="str">
        <x:v>Không thử lấy hồ sơ người thật; không xác nhận exploit runtime</x:v>
      </x:c>
    </x:row>
    <x:row r="9" ht="24" hidden="0" customHeight="1">
      <x:c r="A9" s="56" t="str">
        <x:v>G05</x:v>
      </x:c>
      <x:c r="B9" s="56" t="str">
        <x:v>LCI legacy</x:v>
      </x:c>
      <x:c r="C9" s="56" t="str">
        <x:v>https://github.com/tranhatam-collab/Life-Code-OS/blob/99b402764437f81859fa0cd3a3af860125f7bd52/engine/core/lci.js</x:v>
      </x:c>
      <x:c r="D9" s="56" t="str">
        <x:v>2026-10-11</x:v>
      </x:c>
      <x:c r="E9" s="56" t="str">
        <x:v>Đã đọc trong audit đối chiếu của chuỗi trao đổi, cùng SHA</x:v>
      </x:c>
      <x:c r="F9" s="56" t="str"/>
    </x:row>
    <x:row r="10" ht="24" hidden="0" customHeight="1">
      <x:c r="A10" s="56" t="str">
        <x:v>G06</x:v>
      </x:c>
      <x:c r="B10" s="56" t="str">
        <x:v>Timeline legacy</x:v>
      </x:c>
      <x:c r="C10" s="56" t="str">
        <x:v>https://github.com/tranhatam-collab/Life-Code-OS/blob/99b402764437f81859fa0cd3a3af860125f7bd52/engine/core/timeline.js</x:v>
      </x:c>
      <x:c r="D10" s="56" t="str">
        <x:v>2026-10-11</x:v>
      </x:c>
      <x:c r="E10" s="56" t="str">
        <x:v>Đã đọc trong audit đối chiếu của chuỗi trao đổi, cùng SHA</x:v>
      </x:c>
      <x:c r="F10" s="56" t="str"/>
    </x:row>
    <x:row r="11" ht="24" hidden="0" customHeight="1">
      <x:c r="A11" s="56" t="str">
        <x:v>G07</x:v>
      </x:c>
      <x:c r="B11" s="56" t="str">
        <x:v>Biểu mẫu Bắt đầu</x:v>
      </x:c>
      <x:c r="C11" s="56" t="str">
        <x:v>https://github.com/tranhatam-collab/Life-Code-OS/blob/99b402764437f81859fa0cd3a3af860125f7bd52/bat-dau.html#L250-L320</x:v>
      </x:c>
      <x:c r="D11" s="56" t="str">
        <x:v>2026-10-11</x:v>
      </x:c>
      <x:c r="E11" s="56" t="str">
        <x:v>Đã đọc đoạn gửi payload trong chuỗi audit, cùng SHA</x:v>
      </x:c>
      <x:c r="F11" s="56" t="str"/>
    </x:row>
    <x:row r="12" ht="24" hidden="0" customHeight="1">
      <x:c r="A12" s="56" t="str">
        <x:v>G08</x:v>
      </x:c>
      <x:c r="B12" s="56" t="str">
        <x:v>Migration session</x:v>
      </x:c>
      <x:c r="C12" s="56" t="str">
        <x:v>https://github.com/tranhatam-collab/Life-Code-OS/blob/99b402764437f81859fa0cd3a3af860125f7bd52/workers/life-code-api/migrations/002_create_sessions.sql</x:v>
      </x:c>
      <x:c r="D12" s="56" t="str">
        <x:v>2026-10-11</x:v>
      </x:c>
      <x:c r="E12" s="56" t="str">
        <x:v>Đã đọc trong chuỗi audit, cùng SHA</x:v>
      </x:c>
      <x:c r="F12" s="56" t="str"/>
    </x:row>
    <x:row r="13" ht="24" hidden="0" customHeight="1">
      <x:c r="A13" s="56" t="str">
        <x:v>G09</x:v>
      </x:c>
      <x:c r="B13" s="56" t="str">
        <x:v>Pages build script</x:v>
      </x:c>
      <x:c r="C13" s="56" t="str">
        <x:v>https://github.com/tranhatam-collab/Life-Code-OS/blob/99b402764437f81859fa0cd3a3af860125f7bd52/scripts/prepare-pages.sh</x:v>
      </x:c>
      <x:c r="D13" s="56" t="str">
        <x:v>2026-10-11</x:v>
      </x:c>
      <x:c r="E13" s="56" t="str">
        <x:v>Đã đọc trực tiếp</x:v>
      </x:c>
      <x:c r="F13" s="56" t="str">
        <x:v>Denylist còn có thể để lọt file mới; chưa đo bundle live</x:v>
      </x:c>
    </x:row>
    <x:row r="14" ht="24" hidden="0" customHeight="1">
      <x:c r="A14" s="56" t="str">
        <x:v>G10</x:v>
      </x:c>
      <x:c r="B14" s="56" t="str">
        <x:v>Workflow Pages</x:v>
      </x:c>
      <x:c r="C14" s="56" t="str">
        <x:v>https://github.com/tranhatam-collab/Life-Code-OS/blob/99b402764437f81859fa0cd3a3af860125f7bd52/.github/workflows/deploy-pages.yml</x:v>
      </x:c>
      <x:c r="D14" s="56" t="str">
        <x:v>2026-10-11</x:v>
      </x:c>
      <x:c r="E14" s="56" t="str">
        <x:v>Đã đọc trực tiếp</x:v>
      </x:c>
      <x:c r="F14" s="56" t="str">
        <x:v>Có --commit-dirty=true; không có bước smoke/security trong workflow đã đọc</x:v>
      </x:c>
    </x:row>
    <x:row r="15" ht="24" hidden="0" customHeight="1">
      <x:c r="A15" s="56" t="str">
        <x:v>G11</x:v>
      </x:c>
      <x:c r="B15" s="56" t="str">
        <x:v>Report API legacy</x:v>
      </x:c>
      <x:c r="C15" s="56" t="str">
        <x:v>https://github.com/tranhatam-collab/Life-Code-OS/blob/99b402764437f81859fa0cd3a3af860125f7bd52/workers/life-code-api/src/index.js#L1014-L1065</x:v>
      </x:c>
      <x:c r="D15" s="56" t="str">
        <x:v>2026-10-11</x:v>
      </x:c>
      <x:c r="E15" s="56" t="str">
        <x:v>Đã đọc trong chuỗi audit, cùng SHA</x:v>
      </x:c>
      <x:c r="F15" s="56" t="str"/>
    </x:row>
    <x:row r="16" ht="24" hidden="0" customHeight="1">
      <x:c r="A16" s="56" t="str">
        <x:v>G12</x:v>
      </x:c>
      <x:c r="B16" s="56" t="str">
        <x:v>Audit commit metadata</x:v>
      </x:c>
      <x:c r="C16" s="56" t="str">
        <x:v>https://github.com/tranhatam-collab/Life-Code-OS/commit/336ef35a8386a744c6de18a7f7c6e268e89e6dac</x:v>
      </x:c>
      <x:c r="D16" s="56" t="str">
        <x:v>2026-10-11</x:v>
      </x:c>
      <x:c r="E16" s="56" t="str">
        <x:v>Đã đọc metadata và diff tài liệu</x:v>
      </x:c>
      <x:c r="F16" s="56" t="str">
        <x:v>Không phải commit sửa P0</x:v>
      </x:c>
    </x:row>
    <x:row r="17" ht="15" hidden="0" customHeight="1">
      <x:c r="A17" s="56" t="str">
        <x:v>S01</x:v>
      </x:c>
      <x:c r="B17" s="56" t="str">
        <x:v>Life Code trang chủ</x:v>
      </x:c>
      <x:c r="C17" s="56" t="str">
        <x:v>https://lifecode.iai.one/</x:v>
      </x:c>
      <x:c r="D17" s="56" t="str">
        <x:v>2026-10-11</x:v>
      </x:c>
      <x:c r="E17" s="56" t="str">
        <x:v>Nội dung HTML qua công cụ web; nguồn báo crawled yesterday</x:v>
      </x:c>
      <x:c r="F17" s="56" t="str">
        <x:v>Không xác nhận byte hash, HTTP headers hoặc deployed SHA</x:v>
      </x:c>
    </x:row>
    <x:row r="18" ht="15" hidden="0" customHeight="1">
      <x:c r="A18" s="56" t="str">
        <x:v>S02</x:v>
      </x:c>
      <x:c r="B18" s="56" t="str">
        <x:v>Life Code chín tầng</x:v>
      </x:c>
      <x:c r="C18" s="56" t="str">
        <x:v>https://lifecode.iai.one/9-levels-life-code</x:v>
      </x:c>
      <x:c r="D18" s="56" t="str">
        <x:v>2026-10-11</x:v>
      </x:c>
      <x:c r="E18" s="56" t="str">
        <x:v>Đọc nội dung công khai qua liên kết clean URL</x:v>
      </x:c>
      <x:c r="F18" s="56" t="str"/>
    </x:row>
    <x:row r="19" ht="15" hidden="0" customHeight="1">
      <x:c r="A19" s="56" t="str">
        <x:v>S03</x:v>
      </x:c>
      <x:c r="B19" s="56" t="str">
        <x:v>Life Code Bắt đầu</x:v>
      </x:c>
      <x:c r="C19" s="56" t="str">
        <x:v>https://lifecode.iai.one/bat-dau</x:v>
      </x:c>
      <x:c r="D19" s="56" t="str">
        <x:v>2026-10-11</x:v>
      </x:c>
      <x:c r="E19" s="56" t="str">
        <x:v>Đọc giao diện biểu mẫu; không gửi dữ liệu</x:v>
      </x:c>
      <x:c r="F19" s="56" t="str"/>
    </x:row>
    <x:row r="20" ht="15" hidden="0" customHeight="1">
      <x:c r="A20" s="56" t="str">
        <x:v>S04</x:v>
      </x:c>
      <x:c r="B20" s="56" t="str">
        <x:v>Life Code Dashboard</x:v>
      </x:c>
      <x:c r="C20" s="56" t="str">
        <x:v>https://lifecode.iai.one/dashboard</x:v>
      </x:c>
      <x:c r="D20" s="56" t="str">
        <x:v>2026-10-11</x:v>
      </x:c>
      <x:c r="E20" s="56" t="str">
        <x:v>Đọc nội dung giao diện public; không đăng nhập</x:v>
      </x:c>
      <x:c r="F20" s="56" t="str"/>
    </x:row>
    <x:row r="21" ht="15" hidden="0" customHeight="1">
      <x:c r="A21" s="56" t="str">
        <x:v>S05</x:v>
      </x:c>
      <x:c r="B21" s="56" t="str">
        <x:v>Life Code chính sách bảo mật</x:v>
      </x:c>
      <x:c r="C21" s="56" t="str">
        <x:v>https://lifecode.iai.one/chinh-sach-bao-mat</x:v>
      </x:c>
      <x:c r="D21" s="56" t="str">
        <x:v>2026-10-11</x:v>
      </x:c>
      <x:c r="E21" s="56" t="str">
        <x:v>Đã đọc nội dung công khai</x:v>
      </x:c>
      <x:c r="F21" s="56" t="str"/>
    </x:row>
    <x:row r="22" ht="15" hidden="0" customHeight="1">
      <x:c r="A22" s="56" t="str">
        <x:v>S06</x:v>
      </x:c>
      <x:c r="B22" s="56" t="str">
        <x:v>Life Code Engine Lab</x:v>
      </x:c>
      <x:c r="C22" s="56" t="str">
        <x:v>https://lifecode.iai.one/engine-lab</x:v>
      </x:c>
      <x:c r="D22" s="56" t="str">
        <x:v>2026-10-11</x:v>
      </x:c>
      <x:c r="E22" s="56" t="str">
        <x:v>Đọc giao diện; không gửi POST</x:v>
      </x:c>
      <x:c r="F22" s="56" t="str"/>
    </x:row>
    <x:row r="23" ht="15" hidden="0" customHeight="1">
      <x:c r="A23" s="56" t="str">
        <x:v>S07</x:v>
      </x:c>
      <x:c r="B23" s="56" t="str">
        <x:v>OWASP API BOLA</x:v>
      </x:c>
      <x:c r="C23" s="56" t="str">
        <x:v>https://api-security.owasp.org/editions/2023/en/0xa1-broken-object-level-authorization/</x:v>
      </x:c>
      <x:c r="D23" s="56" t="str">
        <x:v>2026-10-11</x:v>
      </x:c>
      <x:c r="E23" s="56" t="str">
        <x:v>Đã đọc trang chính thức</x:v>
      </x:c>
      <x:c r="F23" s="56" t="str"/>
    </x:row>
    <x:row r="24" ht="15" hidden="0" customHeight="1">
      <x:c r="A24" s="56" t="str">
        <x:v>S08</x:v>
      </x:c>
      <x:c r="B24" s="56" t="str">
        <x:v>OWASP Session Management</x:v>
      </x:c>
      <x:c r="C24" s="56" t="str">
        <x:v>https://cheatsheetseries.owasp.org/cheatsheets/Session_Management_Cheat_Sheet.html</x:v>
      </x:c>
      <x:c r="D24" s="56" t="str">
        <x:v>2026-10-11</x:v>
      </x:c>
      <x:c r="E24" s="56" t="str">
        <x:v>Đã đọc trang chính thức</x:v>
      </x:c>
      <x:c r="F24" s="56" t="str"/>
    </x:row>
    <x:row r="25" ht="15" hidden="0" customHeight="1">
      <x:c r="A25" s="56" t="str">
        <x:v>S09</x:v>
      </x:c>
      <x:c r="B25" s="56" t="str">
        <x:v>PostgreSQL Row Security</x:v>
      </x:c>
      <x:c r="C25" s="56" t="str">
        <x:v>https://www.postgresql.org/docs/current/ddl-rowsecurity.html</x:v>
      </x:c>
      <x:c r="D25" s="56" t="str">
        <x:v>2026-10-11</x:v>
      </x:c>
      <x:c r="E25" s="56" t="str">
        <x:v>Đã đọc trang chính thức</x:v>
      </x:c>
      <x:c r="F25" s="56" t="str">
        <x:v>Trang current được trả là tài liệu PostgreSQL 18; không coi database dự án đã nâng cấp</x:v>
      </x:c>
    </x:row>
    <x:row r="26" ht="15" hidden="0" customHeight="1">
      <x:c r="A26" s="56" t="str">
        <x:v>S10</x:v>
      </x:c>
      <x:c r="B26" s="56" t="str">
        <x:v>Cloudflare Queues delivery guarantees</x:v>
      </x:c>
      <x:c r="C26" s="56" t="str">
        <x:v>https://developers.cloudflare.com/queues/reference/delivery-guarantees/</x:v>
      </x:c>
      <x:c r="D26" s="56" t="str">
        <x:v>2026-10-11</x:v>
      </x:c>
      <x:c r="E26" s="56" t="str">
        <x:v>Đã đọc trang chính thức</x:v>
      </x:c>
      <x:c r="F26" s="56" t="str"/>
    </x:row>
    <x:row r="27" ht="15" hidden="0" customHeight="1">
      <x:c r="A27" s="56" t="str">
        <x:v>S11</x:v>
      </x:c>
      <x:c r="B27" s="56" t="str">
        <x:v>Cloudflare R2 presigned URL</x:v>
      </x:c>
      <x:c r="C27" s="56" t="str">
        <x:v>https://developers.cloudflare.com/r2/api/s3/presigned-urls/</x:v>
      </x:c>
      <x:c r="D27" s="56" t="str">
        <x:v>2026-10-11</x:v>
      </x:c>
      <x:c r="E27" s="56" t="str">
        <x:v>Đã đọc trang chính thức</x:v>
      </x:c>
      <x:c r="F27" s="56" t="str"/>
    </x:row>
    <x:row r="28" ht="15" hidden="0" customHeight="1">
      <x:c r="A28" s="56" t="str">
        <x:v>S12</x:v>
      </x:c>
      <x:c r="B28" s="56" t="str">
        <x:v>Hyperdrive query caching</x:v>
      </x:c>
      <x:c r="C28" s="56" t="str">
        <x:v>https://developers.cloudflare.com/hyperdrive/concepts/query-caching/</x:v>
      </x:c>
      <x:c r="D28" s="56" t="str">
        <x:v>2026-10-11</x:v>
      </x:c>
      <x:c r="E28" s="56" t="str">
        <x:v>Đã đọc trang chính thức</x:v>
      </x:c>
      <x:c r="F28" s="56" t="str"/>
    </x:row>
    <x:row r="29" ht="15" hidden="0" customHeight="1">
      <x:c r="A29" s="56" t="str">
        <x:v>S13</x:v>
      </x:c>
      <x:c r="B29" s="56" t="str">
        <x:v>Cloudflare Workers versions/deployments</x:v>
      </x:c>
      <x:c r="C29" s="56" t="str">
        <x:v>https://developers.cloudflare.com/workers/versions-and-deployments/</x:v>
      </x:c>
      <x:c r="D29" s="56" t="str">
        <x:v>2026-10-11</x:v>
      </x:c>
      <x:c r="E29" s="56" t="str">
        <x:v>Đã đọc trang chính thức</x:v>
      </x:c>
      <x:c r="F29" s="56" t="str"/>
    </x:row>
    <x:row r="30" ht="15" hidden="0" customHeight="1">
      <x:c r="A30" s="56" t="str">
        <x:v>S14</x:v>
      </x:c>
      <x:c r="B30" s="56" t="str">
        <x:v>OpenAPI 3.1.1</x:v>
      </x:c>
      <x:c r="C30" s="56" t="str">
        <x:v>https://spec.openapis.org/oas/v3.1.1.html</x:v>
      </x:c>
      <x:c r="D30" s="56" t="str">
        <x:v>2026-10-11</x:v>
      </x:c>
      <x:c r="E30" s="56" t="str">
        <x:v>Đã đọc trang chính thức</x:v>
      </x:c>
      <x:c r="F30" s="56" t="str"/>
    </x:row>
    <x:row r="31" ht="15" hidden="0" customHeight="1">
      <x:c r="A31" s="56" t="str">
        <x:v>S15</x:v>
      </x:c>
      <x:c r="B31" s="56" t="str">
        <x:v>Unicode Normalization</x:v>
      </x:c>
      <x:c r="C31" s="56" t="str">
        <x:v>https://unicode.org/reports/tr15/</x:v>
      </x:c>
      <x:c r="D31" s="56" t="str">
        <x:v>2026-10-11</x:v>
      </x:c>
      <x:c r="E31" s="56" t="str">
        <x:v>Đã đọc trang chính thức</x:v>
      </x:c>
      <x:c r="F31" s="56" t="str"/>
    </x:row>
    <x:row r="32" ht="15" hidden="0" customHeight="1">
      <x:c r="A32" s="56" t="str">
        <x:v>S16</x:v>
      </x:c>
      <x:c r="B32" s="56" t="str">
        <x:v>IANA Time Zone Database</x:v>
      </x:c>
      <x:c r="C32" s="56" t="str">
        <x:v>https://www.iana.org/time-zones</x:v>
      </x:c>
      <x:c r="D32" s="56" t="str">
        <x:v>2026-10-11</x:v>
      </x:c>
      <x:c r="E32" s="56" t="str">
        <x:v>Đã đọc trang chính thức</x:v>
      </x:c>
      <x:c r="F32" s="56" t="str"/>
    </x:row>
    <x:row r="33" ht="15" hidden="0" customHeight="1">
      <x:c r="A33" s="56" t="str">
        <x:v>S17</x:v>
      </x:c>
      <x:c r="B33" s="56" t="str">
        <x:v>WCAG 2.2</x:v>
      </x:c>
      <x:c r="C33" s="56" t="str">
        <x:v>https://www.w3.org/TR/WCAG22/</x:v>
      </x:c>
      <x:c r="D33" s="56" t="str">
        <x:v>2026-10-11</x:v>
      </x:c>
      <x:c r="E33" s="56" t="str">
        <x:v>Đã đọc trang chính thức</x:v>
      </x:c>
      <x:c r="F33" s="56" t="str"/>
    </x:row>
    <x:row r="34" ht="15" hidden="0" customHeight="1">
      <x:c r="A34" s="56" t="str">
        <x:v>S18</x:v>
      </x:c>
      <x:c r="B34" s="56" t="str">
        <x:v>Astro deployment Cloudflare</x:v>
      </x:c>
      <x:c r="C34" s="56" t="str">
        <x:v>https://docs.astro.build/en/guides/deploy/cloudflare/</x:v>
      </x:c>
      <x:c r="D34" s="56" t="str">
        <x:v>2026-10-11</x:v>
      </x:c>
      <x:c r="E34" s="56" t="str">
        <x:v>Đã đọc trang chính thức</x:v>
      </x:c>
      <x:c r="F34" s="56" t="str"/>
    </x:row>
    <x:row r="35" ht="15" hidden="0" customHeight="1">
      <x:c r="A35" s="56" t="str">
        <x:v>S19</x:v>
      </x:c>
      <x:c r="B35" s="56" t="str">
        <x:v>React Quick Start</x:v>
      </x:c>
      <x:c r="C35" s="56" t="str">
        <x:v>https://react.dev/learn</x:v>
      </x:c>
      <x:c r="D35" s="56" t="str">
        <x:v>2026-10-11</x:v>
      </x:c>
      <x:c r="E35" s="56" t="str">
        <x:v>Đã đọc trang chính thức</x:v>
      </x:c>
      <x:c r="F35" s="56" t="str"/>
    </x:row>
    <x:row r="36" ht="15" hidden="0" customHeight="1">
      <x:c r="A36" s="56" t="str">
        <x:v>S20</x:v>
      </x:c>
      <x:c r="B36" s="56" t="str">
        <x:v>Stripe webhook guidance</x:v>
      </x:c>
      <x:c r="C36" s="56" t="str">
        <x:v>https://docs.stripe.com/webhooks</x:v>
      </x:c>
      <x:c r="D36" s="56" t="str">
        <x:v>2026-10-11</x:v>
      </x:c>
      <x:c r="E36" s="56" t="str">
        <x:v>Đã đọc trang chính thức</x:v>
      </x:c>
      <x:c r="F36" s="56" t="str">
        <x:v>Tham chiếu giao thức; chưa chọn Stripe làm nhà cung cấp khả dụng cho pháp nhân dự án</x:v>
      </x:c>
    </x:row>
    <x:row r="37" ht="15" hidden="0" customHeight="1">
      <x:c r="A37" s="56" t="str">
        <x:v>S21</x:v>
      </x:c>
      <x:c r="B37" s="56" t="str">
        <x:v>NIST AI Risk Management Framework</x:v>
      </x:c>
      <x:c r="C37" s="56" t="str">
        <x:v>https://www.nist.gov/itl/ai-risk-management-framework</x:v>
      </x:c>
      <x:c r="D37" s="56" t="str">
        <x:v>2026-10-11</x:v>
      </x:c>
      <x:c r="E37" s="56" t="str">
        <x:v>Đã đọc trang chính thức</x:v>
      </x:c>
      <x:c r="F37" s="56" t="str"/>
    </x:row>
    <x:row r="38" ht="15" hidden="0" customHeight="1">
      <x:c r="A38" s="56" t="str">
        <x:v>S22</x:v>
      </x:c>
      <x:c r="B38" s="56" t="str">
        <x:v>ISO/IEC 42001 overview</x:v>
      </x:c>
      <x:c r="C38" s="56" t="str">
        <x:v>https://www.iso.org/standard/42001</x:v>
      </x:c>
      <x:c r="D38" s="56" t="str">
        <x:v>2026-10-11</x:v>
      </x:c>
      <x:c r="E38" s="56" t="str">
        <x:v>Đọc trang giới thiệu tiêu chuẩn</x:v>
      </x:c>
      <x:c r="F38" s="56" t="str">
        <x:v>Chưa đọc toàn văn tiêu chuẩn trả phí; không chứng nhận tuân thủ</x:v>
      </x:c>
    </x:row>
    <x:row r="39" ht="15" hidden="0" customHeight="1">
      <x:c r="A39" s="56" t="str">
        <x:v>S23</x:v>
      </x:c>
      <x:c r="B39" s="56" t="str">
        <x:v>Luật Bảo vệ dữ liệu cá nhân 91/2025/QH15</x:v>
      </x:c>
      <x:c r="C39" s="56" t="str">
        <x:v>https://vanban.chinhphu.vn/?docid=214590&amp;pageid=27160</x:v>
      </x:c>
      <x:c r="D39" s="56" t="str">
        <x:v>2026-10-11</x:v>
      </x:c>
      <x:c r="E39" s="56" t="str">
        <x:v>Đọc metadata chính thức</x:v>
      </x:c>
      <x:c r="F39" s="56" t="str">
        <x:v>Hiệu lực 01/01/2026; chưa thay ý kiến pháp lý áp dụng</x:v>
      </x:c>
    </x:row>
    <x:row r="40" ht="15" hidden="0" customHeight="1">
      <x:c r="A40" s="56" t="str">
        <x:v>S24</x:v>
      </x:c>
      <x:c r="B40" s="56" t="str">
        <x:v>Nghị định 356/2025/NĐ-CP</x:v>
      </x:c>
      <x:c r="C40" s="56" t="str">
        <x:v>https://chinhphu.vn/?classid=1&amp;docid=216387&amp;orggroupid=2&amp;pageid=27160</x:v>
      </x:c>
      <x:c r="D40" s="56" t="str">
        <x:v>2026-10-11</x:v>
      </x:c>
      <x:c r="E40" s="56" t="str">
        <x:v>Đọc metadata chính thức</x:v>
      </x:c>
      <x:c r="F40" s="56" t="str"/>
    </x:row>
    <x:row r="41" ht="15" hidden="0" customHeight="1">
      <x:c r="A41" s="56" t="str">
        <x:v>S25</x:v>
      </x:c>
      <x:c r="B41" s="56" t="str">
        <x:v>Luật Trí tuệ nhân tạo 134/2025/QH15</x:v>
      </x:c>
      <x:c r="C41" s="56" t="str">
        <x:v>https://congbao.chinhphu.vn/van-ban/luat-so-134-2025-qh15-468694/61695.htm</x:v>
      </x:c>
      <x:c r="D41" s="56" t="str">
        <x:v>2026-10-11</x:v>
      </x:c>
      <x:c r="E41" s="56" t="str">
        <x:v>Đọc metadata chính thức</x:v>
      </x:c>
      <x:c r="F41" s="56" t="str">
        <x:v>Hiệu lực 01/03/2026</x:v>
      </x:c>
    </x:row>
    <x:row r="42" ht="15" hidden="0" customHeight="1">
      <x:c r="A42" s="56" t="str">
        <x:v>S26</x:v>
      </x:c>
      <x:c r="B42" s="56" t="str">
        <x:v>Nghị định 142/2026/NĐ-CP</x:v>
      </x:c>
      <x:c r="C42" s="56" t="str">
        <x:v>https://congbao.chinhphu.vn/van-ban/nghi-dinh-so-142-2026-nd-cp-469480/64703.htm</x:v>
      </x:c>
      <x:c r="D42" s="56" t="str">
        <x:v>2026-10-11</x:v>
      </x:c>
      <x:c r="E42" s="56" t="str">
        <x:v>Đọc metadata chính thức</x:v>
      </x:c>
      <x:c r="F42" s="56" t="str">
        <x:v>Hiệu lực 01/05/2026</x:v>
      </x:c>
    </x:row>
    <x:row r="43" ht="15" hidden="0" customHeight="1">
      <x:c r="A43" s="56" t="str">
        <x:v>S27</x:v>
      </x:c>
      <x:c r="B43" s="56" t="str">
        <x:v>Khung pháp lý AI - Cục Công nghệ số và AI</x:v>
      </x:c>
      <x:c r="C43" s="56" t="str">
        <x:v>https://dda.gov.vn/khung-phap-ly-ai</x:v>
      </x:c>
      <x:c r="D43" s="56" t="str">
        <x:v>2026-10-11</x:v>
      </x:c>
      <x:c r="E43" s="56" t="str">
        <x:v>Đã đọc trang chính thức</x:v>
      </x:c>
      <x:c r="F43" s="56" t="str"/>
    </x:row>
    <x:row r="44" ht="15" hidden="0" customHeight="1">
      <x:c r="A44" s="56" t="str">
        <x:v>S28</x:v>
      </x:c>
      <x:c r="B44" s="56" t="str">
        <x:v>Nghị định 248/2026/NĐ-CP</x:v>
      </x:c>
      <x:c r="C44" s="56" t="str">
        <x:v>https://congbao.chinhphu.vn/van-ban/nghi-dinh-so-248-2026-nd-cp-469983.htm</x:v>
      </x:c>
      <x:c r="D44" s="56" t="str">
        <x:v>2026-10-11</x:v>
      </x:c>
      <x:c r="E44" s="56" t="str">
        <x:v>Đọc metadata chính thức</x:v>
      </x:c>
      <x:c r="F44" s="56" t="str">
        <x:v>Hiệu lực 01/07/2026</x:v>
      </x:c>
    </x:row>
    <x:row r="45" ht="24" hidden="0" customHeight="1">
      <x:c r="A45" s="56" t="str">
        <x:v>S29</x:v>
      </x:c>
      <x:c r="B45" s="56" t="str">
        <x:v>Bộ Công Thương phổ biến Luật TMĐT và Nghị định 248</x:v>
      </x:c>
      <x:c r="C45" s="56" t="str">
        <x:v>https://moit.gov.vn/tin-tuc/bo-cong-thuong-pho-bien-luat-thuong-mai-dien-tu-va-nghi-dinh-so-248-2026-nd-cp.html</x:v>
      </x:c>
      <x:c r="D45" s="56" t="str">
        <x:v>2026-10-11</x:v>
      </x:c>
      <x:c r="E45" s="56" t="str">
        <x:v>Đã đọc trang chính thức</x:v>
      </x:c>
      <x:c r="F45" s="56" t="str">
        <x:v>Nguồn xác nhận hiệu lực từ 01/07/2026; cần pháp lý đọc văn bản ký</x:v>
      </x:c>
    </x:row>
    <x:row r="46" ht="15" hidden="0" customHeight="1">
      <x:c r="A46" s="56" t="str">
        <x:v>S30</x:v>
      </x:c>
      <x:c r="B46" s="56" t="str">
        <x:v>EU GDPR</x:v>
      </x:c>
      <x:c r="C46" s="56" t="str">
        <x:v>https://eur-lex.europa.eu/eli/reg/2016/679/oj/eng</x:v>
      </x:c>
      <x:c r="D46" s="56" t="str">
        <x:v>2026-10-11</x:v>
      </x:c>
      <x:c r="E46" s="56" t="str">
        <x:v>Truy cập văn bản pháp quy; rà soát định nghĩa và quyền</x:v>
      </x:c>
      <x:c r="F46" s="56" t="str">
        <x:v>Không thay đánh giá tác động hoặc tư vấn thị trường cụ thể</x:v>
      </x:c>
    </x:row>
    <x:row r="47" ht="24" hidden="0" customHeight="1">
      <x:c r="A47" s="56" t="str">
        <x:v>S31</x:v>
      </x:c>
      <x:c r="B47" s="56" t="str">
        <x:v>EU AI Act application timeline</x:v>
      </x:c>
      <x:c r="C47" s="56" t="str">
        <x:v>https://digital-strategy.ec.europa.eu/en/policies/regulatory-framework-ai</x:v>
      </x:c>
      <x:c r="D47" s="56" t="str">
        <x:v>2026-10-11</x:v>
      </x:c>
      <x:c r="E47" s="56" t="str">
        <x:v>Đã đọc trang chính thức</x:v>
      </x:c>
      <x:c r="F47" s="56" t="str">
        <x:v>Trang Ủy ban được kiểm tra 11/10/2026; thể hiện AI Omnibus có hiệu lực 27/07/2026 và lịch high-risk điều chỉnh. Đối chiếu văn bản hợp nhất trước launch</x:v>
      </x:c>
    </x:row>
    <x:row r="48" ht="15" hidden="0" customHeight="1">
      <x:c r="A48" s="56" t="str">
        <x:v>S32</x:v>
      </x:c>
      <x:c r="B48" s="56" t="str">
        <x:v>EU AI Act - bản tiếng Hà Lan</x:v>
      </x:c>
      <x:c r="C48" s="56" t="str">
        <x:v>https://digital-strategy.ec.europa.eu/nl/policies/regulatory-framework-ai</x:v>
      </x:c>
      <x:c r="D48" s="56" t="str">
        <x:v>2026-10-11</x:v>
      </x:c>
      <x:c r="E48" s="56" t="str">
        <x:v>Đối chiếu phần lịch áp dụng đa ngôn ngữ</x:v>
      </x:c>
      <x:c r="F48" s="56" t="str"/>
    </x:row>
    <x:row r="49" ht="15" hidden="0" customHeight="1">
      <x:c r="A49" s="56" t="str">
        <x:v>S33</x:v>
      </x:c>
      <x:c r="B49" s="56" t="str">
        <x:v>FTC Consumer Guide to Buying a Franchise</x:v>
      </x:c>
      <x:c r="C49" s="56" t="str">
        <x:v>https://www.ftc.gov/business-guidance/resources/consumers-guide-buying-franchise</x:v>
      </x:c>
      <x:c r="D49" s="56" t="str">
        <x:v>2026-10-11</x:v>
      </x:c>
      <x:c r="E49" s="56" t="str">
        <x:v>Đã đọc trang chính thức</x:v>
      </x:c>
      <x:c r="F49" s="56" t="str">
        <x:v>Thông tin FDD/14 ngày, không phải ý kiến phân loại hợp đồng Life Code</x:v>
      </x:c>
    </x:row>
    <x:row r="50" ht="15" hidden="0" customHeight="1">
      <x:c r="A50" s="56" t="str">
        <x:v>S34</x:v>
      </x:c>
      <x:c r="B50" s="56" t="str">
        <x:v>ACCC Franchising Code</x:v>
      </x:c>
      <x:c r="C50" s="56" t="str">
        <x:v>https://www.accc.gov.au/business/industry-codes/franchising-code-of-conduct</x:v>
      </x:c>
      <x:c r="D50" s="56" t="str">
        <x:v>2026-10-11</x:v>
      </x:c>
      <x:c r="E50" s="56" t="str">
        <x:v>Đã đọc trang chính thức</x:v>
      </x:c>
      <x:c r="F50" s="56" t="str">
        <x:v>Bộ quy tắc mới 01/04/2025; một số quy định 01/11/2025</x:v>
      </x:c>
    </x:row>
    <x:row r="51" ht="24" hidden="0" customHeight="1">
      <x:c r="A51" s="56" t="str">
        <x:v>S35</x:v>
      </x:c>
      <x:c r="B51" s="56" t="str">
        <x:v>ACCC franchise disclosure document</x:v>
      </x:c>
      <x:c r="C51" s="56" t="str">
        <x:v>https://www.accc.gov.au/business/industry-codes/franchising-code-of-conduct/franchise-disclosure-document</x:v>
      </x:c>
      <x:c r="D51" s="56" t="str">
        <x:v>2026-10-11</x:v>
      </x:c>
      <x:c r="E51" s="56" t="str">
        <x:v>Đã đọc trang chính thức</x:v>
      </x:c>
      <x:c r="F51" s="56" t="str"/>
    </x:row>
    <x:row r="52" ht="15" hidden="0" customHeight="1">
      <x:c r="A52" s="56" t="str">
        <x:v>S36</x:v>
      </x:c>
      <x:c r="B52" s="56" t="str">
        <x:v>Bộ Công Thương danh mục nhượng quyền</x:v>
      </x:c>
      <x:c r="C52" s="56" t="str">
        <x:v>https://moit.gov.vn/nhuong-quyen-thuong-mai</x:v>
      </x:c>
      <x:c r="D52" s="56" t="str">
        <x:v>2026-10-11</x:v>
      </x:c>
      <x:c r="E52" s="56" t="str">
        <x:v>Đọc danh mục công khai</x:v>
      </x:c>
      <x:c r="F52" s="56" t="str">
        <x:v>Không đủ kết luận thủ tục outbound cho Life Code; pháp lý phải xác minh</x:v>
      </x:c>
    </x:row>
    <x:row r="53" ht="24" hidden="0" customHeight="1">
      <x:c r="A53" s="56" t="str">
        <x:v>S37</x:v>
      </x:c>
      <x:c r="B53" s="56" t="str">
        <x:v>WIPO Madrid filing</x:v>
      </x:c>
      <x:c r="C53" s="56" t="str">
        <x:v>https://www.wipo.int/en/web/madrid-system/how_to/file/index</x:v>
      </x:c>
      <x:c r="D53" s="56" t="str">
        <x:v>2026-10-11</x:v>
      </x:c>
      <x:c r="E53" s="56" t="str">
        <x:v>Đã đọc trang chính thức</x:v>
      </x:c>
      <x:c r="F53" s="56" t="str">
        <x:v>Đăng ký quốc tế không bảo đảm được bảo hộ ở mọi thị trường; không xác minh nhãn Life Code đã đăng ký</x:v>
      </x:c>
    </x:row>
    <x:row r="54" ht="24" hidden="0" customHeight="1">
      <x:c r="A54" s="56" t="str">
        <x:v>S38</x:v>
      </x:c>
      <x:c r="B54" s="56" t="str">
        <x:v>IPIP ngân hàng mục hỏi</x:v>
      </x:c>
      <x:c r="C54" s="56" t="str">
        <x:v>https://ipip.ori.org/</x:v>
      </x:c>
      <x:c r="D54" s="56" t="str">
        <x:v>2026-10-11</x:v>
      </x:c>
      <x:c r="E54" s="56" t="str">
        <x:v>Đã đọc trang chính thức</x:v>
      </x:c>
      <x:c r="F54" s="56" t="str">
        <x:v>Phải kiểm tra quyền của từng bản dịch và thang; chưa xác nhận giá trị đo trên mẫu Life Code</x:v>
      </x:c>
    </x:row>
    <x:row r="55" ht="15" hidden="0" customHeight="1">
      <x:c r="A55" s="56" t="str">
        <x:v>S39</x:v>
      </x:c>
      <x:c r="B55" s="56" t="str">
        <x:v>O*NET Interest Profiler</x:v>
      </x:c>
      <x:c r="C55" s="56" t="str">
        <x:v>https://www.onetcenter.org/IP.html</x:v>
      </x:c>
      <x:c r="D55" s="56" t="str">
        <x:v>2026-10-11</x:v>
      </x:c>
      <x:c r="E55" s="56" t="str">
        <x:v>Đã đọc trang chính thức</x:v>
      </x:c>
      <x:c r="F55" s="56" t="str">
        <x:v>Dùng phạm vi hứng thú nghề; không quyết định nghề bắt buộc</x:v>
      </x:c>
    </x:row>
    <x:row r="56" ht="15" hidden="0" customHeight="1">
      <x:c r="A56" s="56" t="str">
        <x:v>S40</x:v>
      </x:c>
      <x:c r="B56" s="56" t="str">
        <x:v>OAIC privacy rights</x:v>
      </x:c>
      <x:c r="C56" s="56" t="str">
        <x:v>https://www.oaic.gov.au/privacy/your-privacy-rights</x:v>
      </x:c>
      <x:c r="D56" s="56" t="str">
        <x:v>2026-10-11</x:v>
      </x:c>
      <x:c r="E56" s="56" t="str">
        <x:v>Đã đọc trang chính thức</x:v>
      </x:c>
      <x:c r="F56" s="56" t="str">
        <x:v>Điểm xuất phát rà soát Australia; chưa audit nghĩa vụ cụ thể</x:v>
      </x:c>
    </x:row>
    <x:row r="57" ht="15" hidden="0" customHeight="1">
      <x:c r="A57" s="56" t="str">
        <x:v>S41</x:v>
      </x:c>
      <x:c r="B57" s="56" t="str">
        <x:v>Singapore PDPC PDPA</x:v>
      </x:c>
      <x:c r="C57" s="56" t="str">
        <x:v>https://www.pdpc.gov.sg/overview-of-pdpa/the-legislation/personal-data-protection-act</x:v>
      </x:c>
      <x:c r="D57" s="56" t="str">
        <x:v>2026-10-11</x:v>
      </x:c>
      <x:c r="E57" s="56" t="str">
        <x:v>Trang phản hồi rất ít nội dung</x:v>
      </x:c>
      <x:c r="F57" s="56" t="str">
        <x:v>Chưa đủ nội dung để khẳng định điều khoản; rà soát trước launch</x:v>
      </x:c>
    </x:row>
    <x:row r="58" ht="15" hidden="0" customHeight="1">
      <x:c r="A58" s="56" t="str">
        <x:v>R20-01</x:v>
      </x:c>
      <x:c r="B58" s="56" t="str">
        <x:v>Vietnam AI Law134/2025</x:v>
      </x:c>
      <x:c r="C58" s="56" t="str">
        <x:v>https://vanban.chinhphu.vn/?docid=216334&amp;orggroupid=1&amp;pageid=27160</x:v>
      </x:c>
      <x:c r="D58" s="56" t="str">
        <x:v>2026-10-20</x:v>
      </x:c>
      <x:c r="E58" s="56" t="str">
        <x:v>Metadata; effective2026-03-01</x:v>
      </x:c>
      <x:c r="F58" s="56" t="str">
        <x:v>Metadata verified; full applicability not reviewed</x:v>
      </x:c>
    </x:row>
    <x:row r="59" ht="15" hidden="0" customHeight="1">
      <x:c r="A59" s="56" t="str">
        <x:v>R20-02</x:v>
      </x:c>
      <x:c r="B59" s="56" t="str">
        <x:v>Vietnam Decree142/2026</x:v>
      </x:c>
      <x:c r="C59" s="56" t="str">
        <x:v>https://congbao.chinhphu.vn/van-ban/nghi-dinh-so-142-2026-nd-cp-469480/64703.htm</x:v>
      </x:c>
      <x:c r="D59" s="56" t="str">
        <x:v>2026-10-20</x:v>
      </x:c>
      <x:c r="E59" s="56" t="str">
        <x:v>Metadata; effective2026-05-01</x:v>
      </x:c>
      <x:c r="F59" s="56" t="str">
        <x:v>97-page document linked; full text not read in this research pass</x:v>
      </x:c>
    </x:row>
    <x:row r="60" ht="15" hidden="0" customHeight="1">
      <x:c r="A60" s="56" t="str">
        <x:v>R20-03</x:v>
      </x:c>
      <x:c r="B60" s="56" t="str">
        <x:v>Vietnam Ecommerce Law122/2025</x:v>
      </x:c>
      <x:c r="C60" s="56" t="str">
        <x:v>https://congbao.chinhphu.vn/van-ban-dang-cong-bao/luat-l13/trang-6.htm</x:v>
      </x:c>
      <x:c r="D60" s="56" t="str">
        <x:v>2026-10-20</x:v>
      </x:c>
      <x:c r="E60" s="56" t="str">
        <x:v>Gazette metadata; effective2026-07-01</x:v>
      </x:c>
      <x:c r="F60" s="56" t="str">
        <x:v>Counsel must retrieve signed text and transition rules</x:v>
      </x:c>
    </x:row>
    <x:row r="61" ht="15" hidden="0" customHeight="1">
      <x:c r="A61" s="56" t="str">
        <x:v>R20-04</x:v>
      </x:c>
      <x:c r="B61" s="56" t="str">
        <x:v>Vietnam Decree248/2026</x:v>
      </x:c>
      <x:c r="C61" s="56" t="str">
        <x:v>https://congbao.chinhphu.vn/van-ban/nghi-dinh-so-248-2026-nd-cp-469983.htm</x:v>
      </x:c>
      <x:c r="D61" s="56" t="str">
        <x:v>2026-10-20</x:v>
      </x:c>
      <x:c r="E61" s="56" t="str">
        <x:v>Metadata; effective2026-07-01</x:v>
      </x:c>
      <x:c r="F61" s="56" t="str">
        <x:v>93-page document linked; full applicability not reviewed</x:v>
      </x:c>
    </x:row>
    <x:row r="62" ht="15" hidden="0" customHeight="1">
      <x:c r="A62" s="56" t="str">
        <x:v>R20-05</x:v>
      </x:c>
      <x:c r="B62" s="56" t="str">
        <x:v>Vietnam Personal Data Law91/2025</x:v>
      </x:c>
      <x:c r="C62" s="56" t="str">
        <x:v>https://vanban.chinhphu.vn/?docid=214590&amp;pageid=27160</x:v>
      </x:c>
      <x:c r="D62" s="56" t="str">
        <x:v>2026-10-20</x:v>
      </x:c>
      <x:c r="E62" s="56" t="str">
        <x:v>Metadata; effective2026-01-01</x:v>
      </x:c>
      <x:c r="F62" s="56" t="str">
        <x:v>No compliance conclusion from metadata</x:v>
      </x:c>
    </x:row>
    <x:row r="63" ht="15" hidden="0" customHeight="1">
      <x:c r="A63" s="56" t="str">
        <x:v>R20-06</x:v>
      </x:c>
      <x:c r="B63" s="56" t="str">
        <x:v>EU AI Act Commission guidance</x:v>
      </x:c>
      <x:c r="C63" s="56" t="str">
        <x:v>https://digital-strategy.ec.europa.eu/en/policies/regulatory-framework-ai</x:v>
      </x:c>
      <x:c r="D63" s="56" t="str">
        <x:v>2026-10-20</x:v>
      </x:c>
      <x:c r="E63" s="56" t="str">
        <x:v>Risk-based application overview</x:v>
      </x:c>
      <x:c r="F63" s="56" t="str">
        <x:v>Recheck consolidated law, amendments and timetable per country launch</x:v>
      </x:c>
    </x:row>
    <x:row r="64" ht="15" hidden="0" customHeight="1">
      <x:c r="A64" s="56" t="str">
        <x:v>R20-07</x:v>
      </x:c>
      <x:c r="B64" s="56" t="str">
        <x:v>PostgreSQL18 Row Security</x:v>
      </x:c>
      <x:c r="C64" s="56" t="str">
        <x:v>https://www.postgresql.org/docs/18/ddl-rowsecurity.html</x:v>
      </x:c>
      <x:c r="D64" s="56" t="str">
        <x:v>2026-10-20</x:v>
      </x:c>
      <x:c r="E64" s="56" t="str">
        <x:v>Technical RLS behavior and bypass roles</x:v>
      </x:c>
      <x:c r="F64" s="56" t="str">
        <x:v>Does not verify project DB, provider or SQL execution</x:v>
      </x:c>
    </x:row>
    <x:row r="65" ht="15" hidden="0" customHeight="1">
      <x:c r="A65" s="56" t="str">
        <x:v>R20-08</x:v>
      </x:c>
      <x:c r="B65" s="56" t="str">
        <x:v>Cloudflare Queues delivery</x:v>
      </x:c>
      <x:c r="C65" s="56" t="str">
        <x:v>https://developers.cloudflare.com/queues/reference/delivery-guarantees/</x:v>
      </x:c>
      <x:c r="D65" s="56" t="str">
        <x:v>2026-10-20</x:v>
      </x:c>
      <x:c r="E65" s="56" t="str">
        <x:v>At-least-once delivery design basis</x:v>
      </x:c>
      <x:c r="F65" s="56" t="str">
        <x:v>No account provisioning or runtime receipt</x:v>
      </x:c>
    </x:row>
    <x:row r="66" ht="15" hidden="0" customHeight="1">
      <x:c r="A66" s="70"/>
      <x:c r="B66" s="70"/>
      <x:c r="C66" s="70"/>
      <x:c r="D66" s="70"/>
      <x:c r="E66" s="70"/>
      <x:c r="F66" s="70"/>
    </x:row>
    <x:row r="67" ht="15" hidden="0" customHeight="1">
      <x:c r="A67" s="70"/>
      <x:c r="B67" s="70"/>
      <x:c r="C67" s="70"/>
      <x:c r="D67" s="70"/>
      <x:c r="E67" s="70"/>
      <x:c r="F67" s="70"/>
    </x:row>
    <x:row r="68" ht="15" hidden="0" customHeight="1">
      <x:c r="A68" s="70"/>
      <x:c r="B68" s="70"/>
      <x:c r="C68" s="70"/>
      <x:c r="D68" s="70"/>
      <x:c r="E68" s="70"/>
      <x:c r="F68" s="70"/>
    </x:row>
    <x:row r="69" ht="15" hidden="0" customHeight="1">
      <x:c r="A69" s="70"/>
      <x:c r="B69" s="70"/>
      <x:c r="C69" s="70"/>
      <x:c r="D69" s="70"/>
      <x:c r="E69" s="70"/>
      <x:c r="F69" s="70"/>
    </x:row>
    <x:row r="70" ht="15" hidden="0" customHeight="1">
      <x:c r="A70" s="70"/>
      <x:c r="B70" s="70"/>
      <x:c r="C70" s="70"/>
      <x:c r="D70" s="70"/>
      <x:c r="E70" s="70"/>
      <x:c r="F70" s="70"/>
    </x:row>
    <x:row r="71" ht="15" hidden="0" customHeight="1">
      <x:c r="A71" s="70"/>
      <x:c r="B71" s="70"/>
      <x:c r="C71" s="70"/>
      <x:c r="D71" s="70"/>
      <x:c r="E71" s="70"/>
      <x:c r="F71" s="70"/>
    </x:row>
    <x:row r="72" ht="15" hidden="0" customHeight="1">
      <x:c r="A72" s="70"/>
      <x:c r="B72" s="70"/>
      <x:c r="C72" s="70"/>
      <x:c r="D72" s="70"/>
      <x:c r="E72" s="70"/>
      <x:c r="F72" s="70"/>
    </x:row>
    <x:row r="73" ht="15" hidden="0" customHeight="1">
      <x:c r="A73" s="70"/>
      <x:c r="B73" s="70"/>
      <x:c r="C73" s="70"/>
      <x:c r="D73" s="70"/>
      <x:c r="E73" s="70"/>
      <x:c r="F73" s="70"/>
    </x:row>
    <x:row r="74" ht="15" hidden="0" customHeight="1">
      <x:c r="A74" s="70"/>
      <x:c r="B74" s="70"/>
      <x:c r="C74" s="70"/>
      <x:c r="D74" s="70"/>
      <x:c r="E74" s="70"/>
      <x:c r="F74" s="70"/>
    </x:row>
    <x:row r="75" ht="15" hidden="0" customHeight="1">
      <x:c r="A75" s="70"/>
      <x:c r="B75" s="70"/>
      <x:c r="C75" s="70"/>
      <x:c r="D75" s="70"/>
      <x:c r="E75" s="70"/>
      <x:c r="F75" s="70"/>
    </x:row>
    <x:row r="76" ht="15" hidden="0" customHeight="1">
      <x:c r="A76" s="70"/>
      <x:c r="B76" s="70"/>
      <x:c r="C76" s="70"/>
      <x:c r="D76" s="70"/>
      <x:c r="E76" s="70"/>
      <x:c r="F76" s="70"/>
    </x:row>
    <x:row r="77" ht="15" hidden="0" customHeight="1">
      <x:c r="A77" s="70"/>
      <x:c r="B77" s="70"/>
      <x:c r="C77" s="70"/>
      <x:c r="D77" s="70"/>
      <x:c r="E77" s="70"/>
      <x:c r="F77" s="70"/>
    </x:row>
    <x:row r="78" ht="15" hidden="0" customHeight="1">
      <x:c r="A78" s="70"/>
      <x:c r="B78" s="70"/>
      <x:c r="C78" s="70"/>
      <x:c r="D78" s="70"/>
      <x:c r="E78" s="70"/>
      <x:c r="F78" s="70"/>
    </x:row>
    <x:row r="79" ht="15" hidden="0" customHeight="1">
      <x:c r="A79" s="70"/>
      <x:c r="B79" s="70"/>
      <x:c r="C79" s="70"/>
      <x:c r="D79" s="70"/>
      <x:c r="E79" s="70"/>
      <x:c r="F79" s="70"/>
    </x:row>
    <x:row r="80" ht="15" hidden="0" customHeight="1">
      <x:c r="A80" s="70"/>
      <x:c r="B80" s="70"/>
      <x:c r="C80" s="70"/>
      <x:c r="D80" s="70"/>
      <x:c r="E80" s="70"/>
      <x:c r="F80" s="70"/>
    </x:row>
    <x:row r="81" ht="15" hidden="0" customHeight="1">
      <x:c r="A81" s="70"/>
      <x:c r="B81" s="70"/>
      <x:c r="C81" s="70"/>
      <x:c r="D81" s="70"/>
      <x:c r="E81" s="70"/>
      <x:c r="F81" s="70"/>
    </x:row>
    <x:row r="82" ht="15" hidden="0" customHeight="1">
      <x:c r="A82" s="70"/>
      <x:c r="B82" s="70"/>
      <x:c r="C82" s="70"/>
      <x:c r="D82" s="70"/>
      <x:c r="E82" s="70"/>
      <x:c r="F82" s="70"/>
    </x:row>
    <x:row r="83" ht="15" hidden="0" customHeight="1">
      <x:c r="A83" s="70"/>
      <x:c r="B83" s="70"/>
      <x:c r="C83" s="70"/>
      <x:c r="D83" s="70"/>
      <x:c r="E83" s="70"/>
      <x:c r="F83" s="70"/>
    </x:row>
    <x:row r="84" ht="15" hidden="0" customHeight="1">
      <x:c r="A84" s="70"/>
      <x:c r="B84" s="70"/>
      <x:c r="C84" s="70"/>
      <x:c r="D84" s="70"/>
      <x:c r="E84" s="70"/>
      <x:c r="F84" s="70"/>
    </x:row>
    <x:row r="85" ht="15" hidden="0" customHeight="1">
      <x:c r="A85" s="70"/>
      <x:c r="B85" s="70"/>
      <x:c r="C85" s="70"/>
      <x:c r="D85" s="70"/>
      <x:c r="E85" s="70"/>
      <x:c r="F85" s="70"/>
    </x:row>
    <x:row r="86" ht="15" hidden="0" customHeight="1">
      <x:c r="A86" s="70"/>
      <x:c r="B86" s="70"/>
      <x:c r="C86" s="70"/>
      <x:c r="D86" s="70"/>
      <x:c r="E86" s="70"/>
      <x:c r="F86" s="70"/>
    </x:row>
    <x:row r="87" ht="15" hidden="0" customHeight="1">
      <x:c r="A87" s="70"/>
      <x:c r="B87" s="70"/>
      <x:c r="C87" s="70"/>
      <x:c r="D87" s="70"/>
      <x:c r="E87" s="70"/>
      <x:c r="F87" s="70"/>
    </x:row>
    <x:row r="88" ht="15" hidden="0" customHeight="1">
      <x:c r="A88" s="70"/>
      <x:c r="B88" s="70"/>
      <x:c r="C88" s="70"/>
      <x:c r="D88" s="70"/>
      <x:c r="E88" s="70"/>
      <x:c r="F88" s="70"/>
    </x:row>
    <x:row r="89" ht="15" hidden="0" customHeight="1">
      <x:c r="A89" s="70"/>
      <x:c r="B89" s="70"/>
      <x:c r="C89" s="70"/>
      <x:c r="D89" s="70"/>
      <x:c r="E89" s="70"/>
      <x:c r="F89" s="70"/>
    </x:row>
    <x:row r="90" ht="15" hidden="0" customHeight="1">
      <x:c r="A90" s="70"/>
      <x:c r="B90" s="70"/>
      <x:c r="C90" s="70"/>
      <x:c r="D90" s="70"/>
      <x:c r="E90" s="70"/>
      <x:c r="F90" s="70"/>
    </x:row>
    <x:row r="91" ht="15" hidden="0" customHeight="1">
      <x:c r="A91" s="70"/>
      <x:c r="B91" s="70"/>
      <x:c r="C91" s="70"/>
      <x:c r="D91" s="70"/>
      <x:c r="E91" s="70"/>
      <x:c r="F91" s="70"/>
    </x:row>
    <x:row r="92" ht="15" hidden="0" customHeight="1">
      <x:c r="A92" s="70"/>
      <x:c r="B92" s="70"/>
      <x:c r="C92" s="70"/>
      <x:c r="D92" s="70"/>
      <x:c r="E92" s="70"/>
      <x:c r="F92" s="70"/>
    </x:row>
    <x:row r="93" ht="15" hidden="0" customHeight="1">
      <x:c r="A93" s="70"/>
      <x:c r="B93" s="70"/>
      <x:c r="C93" s="70"/>
      <x:c r="D93" s="70"/>
      <x:c r="E93" s="70"/>
      <x:c r="F93" s="70"/>
    </x:row>
    <x:row r="94" ht="15" hidden="0" customHeight="1">
      <x:c r="A94" s="70"/>
      <x:c r="B94" s="70"/>
      <x:c r="C94" s="70"/>
      <x:c r="D94" s="70"/>
      <x:c r="E94" s="70"/>
      <x:c r="F94" s="70"/>
    </x:row>
    <x:row r="95" ht="15" hidden="0" customHeight="1">
      <x:c r="A95" s="70"/>
      <x:c r="B95" s="70"/>
      <x:c r="C95" s="70"/>
      <x:c r="D95" s="70"/>
      <x:c r="E95" s="70"/>
      <x:c r="F95" s="70"/>
    </x:row>
    <x:row r="96" ht="15" hidden="0" customHeight="1">
      <x:c r="A96" s="70"/>
      <x:c r="B96" s="70"/>
      <x:c r="C96" s="70"/>
      <x:c r="D96" s="70"/>
      <x:c r="E96" s="70"/>
      <x:c r="F96" s="70"/>
    </x:row>
    <x:row r="97" ht="15" hidden="0" customHeight="1">
      <x:c r="A97" s="70"/>
      <x:c r="B97" s="70"/>
      <x:c r="C97" s="70"/>
      <x:c r="D97" s="70"/>
      <x:c r="E97" s="70"/>
      <x:c r="F97" s="70"/>
    </x:row>
    <x:row r="98" ht="15" hidden="0" customHeight="1">
      <x:c r="A98" s="70"/>
      <x:c r="B98" s="70"/>
      <x:c r="C98" s="70"/>
      <x:c r="D98" s="70"/>
      <x:c r="E98" s="70"/>
      <x:c r="F98" s="70"/>
    </x:row>
    <x:row r="99" ht="15" hidden="0" customHeight="1">
      <x:c r="A99" s="70"/>
      <x:c r="B99" s="70"/>
      <x:c r="C99" s="70"/>
      <x:c r="D99" s="70"/>
      <x:c r="E99" s="70"/>
      <x:c r="F99" s="70"/>
    </x:row>
    <x:row r="100" ht="15" hidden="0" customHeight="1">
      <x:c r="A100" s="70"/>
      <x:c r="B100" s="70"/>
      <x:c r="C100" s="70"/>
      <x:c r="D100" s="70"/>
      <x:c r="E100" s="70"/>
      <x:c r="F100" s="70"/>
    </x:row>
    <x:row r="101" ht="15" hidden="0" customHeight="1">
      <x:c r="A101" s="70"/>
      <x:c r="B101" s="70"/>
      <x:c r="C101" s="70"/>
      <x:c r="D101" s="70"/>
      <x:c r="E101" s="70"/>
      <x:c r="F101" s="70"/>
    </x:row>
    <x:row r="102" ht="15" hidden="0" customHeight="1">
      <x:c r="A102" s="70"/>
      <x:c r="B102" s="70"/>
      <x:c r="C102" s="70"/>
      <x:c r="D102" s="70"/>
      <x:c r="E102" s="70"/>
      <x:c r="F102" s="70"/>
    </x:row>
    <x:row r="103" ht="15" hidden="0" customHeight="1">
      <x:c r="A103" s="70"/>
      <x:c r="B103" s="70"/>
      <x:c r="C103" s="70"/>
      <x:c r="D103" s="70"/>
      <x:c r="E103" s="70"/>
      <x:c r="F103" s="70"/>
    </x:row>
    <x:row r="104" ht="15" hidden="0" customHeight="1">
      <x:c r="A104" s="70"/>
      <x:c r="B104" s="70"/>
      <x:c r="C104" s="70"/>
      <x:c r="D104" s="70"/>
      <x:c r="E104" s="70"/>
      <x:c r="F104" s="70"/>
    </x:row>
    <x:row r="105" ht="15" hidden="0" customHeight="1">
      <x:c r="A105" s="70"/>
      <x:c r="B105" s="70"/>
      <x:c r="C105" s="70"/>
      <x:c r="D105" s="70"/>
      <x:c r="E105" s="70"/>
      <x:c r="F105" s="70"/>
    </x:row>
    <x:row r="106" ht="15" hidden="0" customHeight="1">
      <x:c r="A106" s="70"/>
      <x:c r="B106" s="70"/>
      <x:c r="C106" s="70"/>
      <x:c r="D106" s="70"/>
      <x:c r="E106" s="70"/>
      <x:c r="F106" s="70"/>
    </x:row>
    <x:row r="107" ht="15" hidden="0" customHeight="1">
      <x:c r="A107" s="70"/>
      <x:c r="B107" s="70"/>
      <x:c r="C107" s="70"/>
      <x:c r="D107" s="70"/>
      <x:c r="E107" s="70"/>
      <x:c r="F107" s="70"/>
    </x:row>
    <x:row r="108" ht="15" hidden="0" customHeight="1">
      <x:c r="A108" s="70"/>
      <x:c r="B108" s="70"/>
      <x:c r="C108" s="70"/>
      <x:c r="D108" s="70"/>
      <x:c r="E108" s="70"/>
      <x:c r="F108" s="70"/>
    </x:row>
    <x:row r="109" ht="15" hidden="0" customHeight="1">
      <x:c r="A109" s="70"/>
      <x:c r="B109" s="70"/>
      <x:c r="C109" s="70"/>
      <x:c r="D109" s="70"/>
      <x:c r="E109" s="70"/>
      <x:c r="F109" s="70"/>
    </x:row>
    <x:row r="110" ht="15" hidden="0" customHeight="1">
      <x:c r="A110" s="70"/>
      <x:c r="B110" s="70"/>
      <x:c r="C110" s="70"/>
      <x:c r="D110" s="70"/>
      <x:c r="E110" s="70"/>
      <x:c r="F110" s="70"/>
    </x:row>
    <x:row r="111" ht="15" hidden="0" customHeight="1">
      <x:c r="A111" s="70"/>
      <x:c r="B111" s="70"/>
      <x:c r="C111" s="70"/>
      <x:c r="D111" s="70"/>
      <x:c r="E111" s="70"/>
      <x:c r="F111" s="70"/>
    </x:row>
    <x:row r="112" ht="15" hidden="0" customHeight="1">
      <x:c r="A112" s="70"/>
      <x:c r="B112" s="70"/>
      <x:c r="C112" s="70"/>
      <x:c r="D112" s="70"/>
      <x:c r="E112" s="70"/>
      <x:c r="F112" s="70"/>
    </x:row>
    <x:row r="113" ht="15" hidden="0" customHeight="1">
      <x:c r="A113" s="70"/>
      <x:c r="B113" s="70"/>
      <x:c r="C113" s="70"/>
      <x:c r="D113" s="70"/>
      <x:c r="E113" s="70"/>
      <x:c r="F113" s="70"/>
    </x:row>
    <x:row r="114" ht="15" hidden="0" customHeight="1">
      <x:c r="A114" s="70"/>
      <x:c r="B114" s="70"/>
      <x:c r="C114" s="70"/>
      <x:c r="D114" s="70"/>
      <x:c r="E114" s="70"/>
      <x:c r="F114" s="70"/>
    </x:row>
    <x:row r="115" ht="15" hidden="0" customHeight="1">
      <x:c r="A115" s="70"/>
      <x:c r="B115" s="70"/>
      <x:c r="C115" s="70"/>
      <x:c r="D115" s="70"/>
      <x:c r="E115" s="70"/>
      <x:c r="F115" s="70"/>
    </x:row>
    <x:row r="116" ht="15" hidden="0" customHeight="1">
      <x:c r="A116" s="70"/>
      <x:c r="B116" s="70"/>
      <x:c r="C116" s="70"/>
      <x:c r="D116" s="70"/>
      <x:c r="E116" s="70"/>
      <x:c r="F116" s="70"/>
    </x:row>
    <x:row r="117" ht="15" hidden="0" customHeight="1">
      <x:c r="A117" s="70"/>
      <x:c r="B117" s="70"/>
      <x:c r="C117" s="70"/>
      <x:c r="D117" s="70"/>
      <x:c r="E117" s="70"/>
      <x:c r="F117" s="70"/>
    </x:row>
    <x:row r="118" ht="15" hidden="0" customHeight="1">
      <x:c r="A118" s="70"/>
      <x:c r="B118" s="70"/>
      <x:c r="C118" s="70"/>
      <x:c r="D118" s="70"/>
      <x:c r="E118" s="70"/>
      <x:c r="F118" s="70"/>
    </x:row>
    <x:row r="119" ht="15" hidden="0" customHeight="1">
      <x:c r="A119" s="70"/>
      <x:c r="B119" s="70"/>
      <x:c r="C119" s="70"/>
      <x:c r="D119" s="70"/>
      <x:c r="E119" s="70"/>
      <x:c r="F119" s="70"/>
    </x:row>
    <x:row r="120" ht="15" hidden="0" customHeight="1">
      <x:c r="A120" s="70"/>
      <x:c r="B120" s="70"/>
      <x:c r="C120" s="70"/>
      <x:c r="D120" s="70"/>
      <x:c r="E120" s="70"/>
      <x:c r="F120" s="70"/>
    </x:row>
    <x:row r="121" ht="15" hidden="0" customHeight="1">
      <x:c r="A121" s="70"/>
      <x:c r="B121" s="70"/>
      <x:c r="C121" s="70"/>
      <x:c r="D121" s="70"/>
      <x:c r="E121" s="70"/>
      <x:c r="F121" s="70"/>
    </x:row>
    <x:row r="122" ht="15" hidden="0" customHeight="1">
      <x:c r="A122" s="70"/>
      <x:c r="B122" s="70"/>
      <x:c r="C122" s="70"/>
      <x:c r="D122" s="70"/>
      <x:c r="E122" s="70"/>
      <x:c r="F122" s="70"/>
    </x:row>
    <x:row r="123" ht="15" hidden="0" customHeight="1">
      <x:c r="A123" s="70"/>
      <x:c r="B123" s="70"/>
      <x:c r="C123" s="70"/>
      <x:c r="D123" s="70"/>
      <x:c r="E123" s="70"/>
      <x:c r="F123" s="70"/>
    </x:row>
    <x:row r="124" ht="15" hidden="0" customHeight="1">
      <x:c r="A124" s="70"/>
      <x:c r="B124" s="70"/>
      <x:c r="C124" s="70"/>
      <x:c r="D124" s="70"/>
      <x:c r="E124" s="70"/>
      <x:c r="F124" s="70"/>
    </x:row>
    <x:row r="125" ht="15" hidden="0" customHeight="1">
      <x:c r="A125" s="70"/>
      <x:c r="B125" s="70"/>
      <x:c r="C125" s="70"/>
      <x:c r="D125" s="70"/>
      <x:c r="E125" s="70"/>
      <x:c r="F125" s="70"/>
    </x:row>
    <x:row r="126" ht="15" hidden="0" customHeight="1">
      <x:c r="A126" s="70"/>
      <x:c r="B126" s="70"/>
      <x:c r="C126" s="70"/>
      <x:c r="D126" s="70"/>
      <x:c r="E126" s="70"/>
      <x:c r="F126" s="70"/>
    </x:row>
    <x:row r="127" ht="15" hidden="0" customHeight="1">
      <x:c r="A127" s="70"/>
      <x:c r="B127" s="70"/>
      <x:c r="C127" s="70"/>
      <x:c r="D127" s="70"/>
      <x:c r="E127" s="70"/>
      <x:c r="F127" s="70"/>
    </x:row>
    <x:row r="128" ht="15" hidden="0" customHeight="1">
      <x:c r="A128" s="70"/>
      <x:c r="B128" s="70"/>
      <x:c r="C128" s="70"/>
      <x:c r="D128" s="70"/>
      <x:c r="E128" s="70"/>
      <x:c r="F128" s="70"/>
    </x:row>
    <x:row r="129" ht="15" hidden="0" customHeight="1">
      <x:c r="A129" s="70"/>
      <x:c r="B129" s="70"/>
      <x:c r="C129" s="70"/>
      <x:c r="D129" s="70"/>
      <x:c r="E129" s="70"/>
      <x:c r="F129" s="70"/>
    </x:row>
    <x:row r="130" ht="15" hidden="0" customHeight="1">
      <x:c r="A130" s="70"/>
      <x:c r="B130" s="70"/>
      <x:c r="C130" s="70"/>
      <x:c r="D130" s="70"/>
      <x:c r="E130" s="70"/>
      <x:c r="F130" s="70"/>
    </x:row>
    <x:row r="131" ht="15" hidden="0" customHeight="1">
      <x:c r="A131" s="70"/>
      <x:c r="B131" s="70"/>
      <x:c r="C131" s="70"/>
      <x:c r="D131" s="70"/>
      <x:c r="E131" s="70"/>
      <x:c r="F131" s="70"/>
    </x:row>
    <x:row r="132" ht="15" hidden="0" customHeight="1">
      <x:c r="A132" s="70"/>
      <x:c r="B132" s="70"/>
      <x:c r="C132" s="70"/>
      <x:c r="D132" s="70"/>
      <x:c r="E132" s="70"/>
      <x:c r="F132" s="70"/>
    </x:row>
    <x:row r="133" ht="15" hidden="0" customHeight="1">
      <x:c r="A133" s="70"/>
      <x:c r="B133" s="70"/>
      <x:c r="C133" s="70"/>
      <x:c r="D133" s="70"/>
      <x:c r="E133" s="70"/>
      <x:c r="F133" s="70"/>
    </x:row>
    <x:row r="134" ht="15" hidden="0" customHeight="1">
      <x:c r="A134" s="70"/>
      <x:c r="B134" s="70"/>
      <x:c r="C134" s="70"/>
      <x:c r="D134" s="70"/>
      <x:c r="E134" s="70"/>
      <x:c r="F134" s="70"/>
    </x:row>
    <x:row r="135" ht="15" hidden="0" customHeight="1">
      <x:c r="A135" s="70"/>
      <x:c r="B135" s="70"/>
      <x:c r="C135" s="70"/>
      <x:c r="D135" s="70"/>
      <x:c r="E135" s="70"/>
      <x:c r="F135" s="70"/>
    </x:row>
    <x:row r="136" ht="15" hidden="0" customHeight="1">
      <x:c r="A136" s="70"/>
      <x:c r="B136" s="70"/>
      <x:c r="C136" s="70"/>
      <x:c r="D136" s="70"/>
      <x:c r="E136" s="70"/>
      <x:c r="F136" s="70"/>
    </x:row>
    <x:row r="137" ht="15" hidden="0" customHeight="1">
      <x:c r="A137" s="70"/>
      <x:c r="B137" s="70"/>
      <x:c r="C137" s="70"/>
      <x:c r="D137" s="70"/>
      <x:c r="E137" s="70"/>
      <x:c r="F137" s="70"/>
    </x:row>
    <x:row r="138" ht="15" hidden="0" customHeight="1">
      <x:c r="A138" s="70"/>
      <x:c r="B138" s="70"/>
      <x:c r="C138" s="70"/>
      <x:c r="D138" s="70"/>
      <x:c r="E138" s="70"/>
      <x:c r="F138" s="70"/>
    </x:row>
    <x:row r="139" ht="15" hidden="0" customHeight="1">
      <x:c r="A139" s="70"/>
      <x:c r="B139" s="70"/>
      <x:c r="C139" s="70"/>
      <x:c r="D139" s="70"/>
      <x:c r="E139" s="70"/>
      <x:c r="F139" s="70"/>
    </x:row>
    <x:row r="140" ht="15" hidden="0" customHeight="1">
      <x:c r="A140" s="70"/>
      <x:c r="B140" s="70"/>
      <x:c r="C140" s="70"/>
      <x:c r="D140" s="70"/>
      <x:c r="E140" s="70"/>
      <x:c r="F140" s="70"/>
    </x:row>
    <x:row r="141" ht="15" hidden="0" customHeight="1">
      <x:c r="A141" s="70"/>
      <x:c r="B141" s="70"/>
      <x:c r="C141" s="70"/>
      <x:c r="D141" s="70"/>
      <x:c r="E141" s="70"/>
      <x:c r="F141" s="70"/>
    </x:row>
    <x:row r="142" ht="15" hidden="0" customHeight="1">
      <x:c r="A142" s="70"/>
      <x:c r="B142" s="70"/>
      <x:c r="C142" s="70"/>
      <x:c r="D142" s="70"/>
      <x:c r="E142" s="70"/>
      <x:c r="F142" s="70"/>
    </x:row>
    <x:row r="143" ht="15" hidden="0" customHeight="1">
      <x:c r="A143" s="70"/>
      <x:c r="B143" s="70"/>
      <x:c r="C143" s="70"/>
      <x:c r="D143" s="70"/>
      <x:c r="E143" s="70"/>
      <x:c r="F143" s="70"/>
    </x:row>
    <x:row r="144" ht="15" hidden="0" customHeight="1">
      <x:c r="A144" s="70"/>
      <x:c r="B144" s="70"/>
      <x:c r="C144" s="70"/>
      <x:c r="D144" s="70"/>
      <x:c r="E144" s="70"/>
      <x:c r="F144" s="70"/>
    </x:row>
    <x:row r="145" ht="15" hidden="0" customHeight="1">
      <x:c r="A145" s="70"/>
      <x:c r="B145" s="70"/>
      <x:c r="C145" s="70"/>
      <x:c r="D145" s="70"/>
      <x:c r="E145" s="70"/>
      <x:c r="F145" s="70"/>
    </x:row>
    <x:row r="146" ht="15" hidden="0" customHeight="1">
      <x:c r="A146" s="70"/>
      <x:c r="B146" s="70"/>
      <x:c r="C146" s="70"/>
      <x:c r="D146" s="70"/>
      <x:c r="E146" s="70"/>
      <x:c r="F146" s="70"/>
    </x:row>
    <x:row r="147" ht="15" hidden="0" customHeight="1">
      <x:c r="A147" s="70"/>
      <x:c r="B147" s="70"/>
      <x:c r="C147" s="70"/>
      <x:c r="D147" s="70"/>
      <x:c r="E147" s="70"/>
      <x:c r="F147" s="70"/>
    </x:row>
    <x:row r="148" ht="15" hidden="0" customHeight="1">
      <x:c r="A148" s="70"/>
      <x:c r="B148" s="70"/>
      <x:c r="C148" s="70"/>
      <x:c r="D148" s="70"/>
      <x:c r="E148" s="70"/>
      <x:c r="F148" s="70"/>
    </x:row>
    <x:row r="149" ht="15" hidden="0" customHeight="1">
      <x:c r="A149" s="70"/>
      <x:c r="B149" s="70"/>
      <x:c r="C149" s="70"/>
      <x:c r="D149" s="70"/>
      <x:c r="E149" s="70"/>
      <x:c r="F149" s="70"/>
    </x:row>
    <x:row r="150" ht="15" hidden="0" customHeight="1">
      <x:c r="A150" s="70"/>
      <x:c r="B150" s="70"/>
      <x:c r="C150" s="70"/>
      <x:c r="D150" s="70"/>
      <x:c r="E150" s="70"/>
      <x:c r="F150" s="70"/>
    </x:row>
    <x:row r="151" ht="15" hidden="0" customHeight="1">
      <x:c r="A151" s="70"/>
      <x:c r="B151" s="70"/>
      <x:c r="C151" s="70"/>
      <x:c r="D151" s="70"/>
      <x:c r="E151" s="70"/>
      <x:c r="F151" s="70"/>
    </x:row>
    <x:row r="152" ht="15" hidden="0" customHeight="1">
      <x:c r="A152" s="70"/>
      <x:c r="B152" s="70"/>
      <x:c r="C152" s="70"/>
      <x:c r="D152" s="70"/>
      <x:c r="E152" s="70"/>
      <x:c r="F152" s="70"/>
    </x:row>
    <x:row r="153" ht="15" hidden="0" customHeight="1">
      <x:c r="A153" s="70"/>
      <x:c r="B153" s="70"/>
      <x:c r="C153" s="70"/>
      <x:c r="D153" s="70"/>
      <x:c r="E153" s="70"/>
      <x:c r="F153" s="70"/>
    </x:row>
    <x:row r="154" ht="15" hidden="0" customHeight="1">
      <x:c r="A154" s="70"/>
      <x:c r="B154" s="70"/>
      <x:c r="C154" s="70"/>
      <x:c r="D154" s="70"/>
      <x:c r="E154" s="70"/>
      <x:c r="F154" s="70"/>
    </x:row>
    <x:row r="155" ht="15" hidden="0" customHeight="1">
      <x:c r="A155" s="70"/>
      <x:c r="B155" s="70"/>
      <x:c r="C155" s="70"/>
      <x:c r="D155" s="70"/>
      <x:c r="E155" s="70"/>
      <x:c r="F155" s="70"/>
    </x:row>
    <x:row r="156" ht="15" hidden="0" customHeight="1">
      <x:c r="A156" s="70"/>
      <x:c r="B156" s="70"/>
      <x:c r="C156" s="70"/>
      <x:c r="D156" s="70"/>
      <x:c r="E156" s="70"/>
      <x:c r="F156" s="70"/>
    </x:row>
    <x:row r="157" ht="15" hidden="0" customHeight="1">
      <x:c r="A157" s="70"/>
      <x:c r="B157" s="70"/>
      <x:c r="C157" s="70"/>
      <x:c r="D157" s="70"/>
      <x:c r="E157" s="70"/>
      <x:c r="F157" s="70"/>
    </x:row>
    <x:row r="158" ht="15" hidden="0" customHeight="1">
      <x:c r="A158" s="70"/>
      <x:c r="B158" s="70"/>
      <x:c r="C158" s="70"/>
      <x:c r="D158" s="70"/>
      <x:c r="E158" s="70"/>
      <x:c r="F158" s="70"/>
    </x:row>
    <x:row r="159" ht="15" hidden="0" customHeight="1">
      <x:c r="A159" s="70"/>
      <x:c r="B159" s="70"/>
      <x:c r="C159" s="70"/>
      <x:c r="D159" s="70"/>
      <x:c r="E159" s="70"/>
      <x:c r="F159" s="70"/>
    </x:row>
    <x:row r="160" ht="15" hidden="0" customHeight="1">
      <x:c r="A160" s="70"/>
      <x:c r="B160" s="70"/>
      <x:c r="C160" s="70"/>
      <x:c r="D160" s="70"/>
      <x:c r="E160" s="70"/>
      <x:c r="F160" s="70"/>
    </x:row>
    <x:row r="161" ht="15" hidden="0" customHeight="1">
      <x:c r="A161" s="70"/>
      <x:c r="B161" s="70"/>
      <x:c r="C161" s="70"/>
      <x:c r="D161" s="70"/>
      <x:c r="E161" s="70"/>
      <x:c r="F161" s="70"/>
    </x:row>
    <x:row r="162" ht="15" hidden="0" customHeight="1">
      <x:c r="A162" s="70"/>
      <x:c r="B162" s="70"/>
      <x:c r="C162" s="70"/>
      <x:c r="D162" s="70"/>
      <x:c r="E162" s="70"/>
      <x:c r="F162" s="70"/>
    </x:row>
    <x:row r="163" ht="15" hidden="0" customHeight="1">
      <x:c r="A163" s="70"/>
      <x:c r="B163" s="70"/>
      <x:c r="C163" s="70"/>
      <x:c r="D163" s="70"/>
      <x:c r="E163" s="70"/>
      <x:c r="F163" s="70"/>
    </x:row>
    <x:row r="164" ht="15" hidden="0" customHeight="1">
      <x:c r="A164" s="70"/>
      <x:c r="B164" s="70"/>
      <x:c r="C164" s="70"/>
      <x:c r="D164" s="70"/>
      <x:c r="E164" s="70"/>
      <x:c r="F164" s="70"/>
    </x:row>
    <x:row r="165" ht="15" hidden="0" customHeight="1">
      <x:c r="A165" s="70"/>
      <x:c r="B165" s="70"/>
      <x:c r="C165" s="70"/>
      <x:c r="D165" s="70"/>
      <x:c r="E165" s="70"/>
      <x:c r="F165" s="70"/>
    </x:row>
    <x:row r="166" ht="15" hidden="0" customHeight="1">
      <x:c r="A166" s="70"/>
      <x:c r="B166" s="70"/>
      <x:c r="C166" s="70"/>
      <x:c r="D166" s="70"/>
      <x:c r="E166" s="70"/>
      <x:c r="F166" s="70"/>
    </x:row>
    <x:row r="167" ht="15" hidden="0" customHeight="1">
      <x:c r="A167" s="70"/>
      <x:c r="B167" s="70"/>
      <x:c r="C167" s="70"/>
      <x:c r="D167" s="70"/>
      <x:c r="E167" s="70"/>
      <x:c r="F167" s="70"/>
    </x:row>
    <x:row r="168" ht="15" hidden="0" customHeight="1">
      <x:c r="A168" s="70"/>
      <x:c r="B168" s="70"/>
      <x:c r="C168" s="70"/>
      <x:c r="D168" s="70"/>
      <x:c r="E168" s="70"/>
      <x:c r="F168" s="70"/>
    </x:row>
    <x:row r="169" ht="15" hidden="0" customHeight="1">
      <x:c r="A169" s="70"/>
      <x:c r="B169" s="70"/>
      <x:c r="C169" s="70"/>
      <x:c r="D169" s="70"/>
      <x:c r="E169" s="70"/>
      <x:c r="F169" s="70"/>
    </x:row>
    <x:row r="170" ht="15" hidden="0" customHeight="1">
      <x:c r="A170" s="70"/>
      <x:c r="B170" s="70"/>
      <x:c r="C170" s="70"/>
      <x:c r="D170" s="70"/>
      <x:c r="E170" s="70"/>
      <x:c r="F170" s="70"/>
    </x:row>
    <x:row r="171" ht="15" hidden="0" customHeight="1">
      <x:c r="A171" s="70"/>
      <x:c r="B171" s="70"/>
      <x:c r="C171" s="70"/>
      <x:c r="D171" s="70"/>
      <x:c r="E171" s="70"/>
      <x:c r="F171" s="70"/>
    </x:row>
    <x:row r="172" ht="15" hidden="0" customHeight="1">
      <x:c r="A172" s="70"/>
      <x:c r="B172" s="70"/>
      <x:c r="C172" s="70"/>
      <x:c r="D172" s="70"/>
      <x:c r="E172" s="70"/>
      <x:c r="F172" s="70"/>
    </x:row>
    <x:row r="173" ht="15" hidden="0" customHeight="1">
      <x:c r="A173" s="70"/>
      <x:c r="B173" s="70"/>
      <x:c r="C173" s="70"/>
      <x:c r="D173" s="70"/>
      <x:c r="E173" s="70"/>
      <x:c r="F173" s="70"/>
    </x:row>
    <x:row r="174" ht="15" hidden="0" customHeight="1">
      <x:c r="A174" s="70"/>
      <x:c r="B174" s="70"/>
      <x:c r="C174" s="70"/>
      <x:c r="D174" s="70"/>
      <x:c r="E174" s="70"/>
      <x:c r="F174" s="70"/>
    </x:row>
    <x:row r="175" ht="15" hidden="0" customHeight="1">
      <x:c r="A175" s="70"/>
      <x:c r="B175" s="70"/>
      <x:c r="C175" s="70"/>
      <x:c r="D175" s="70"/>
      <x:c r="E175" s="70"/>
      <x:c r="F175" s="70"/>
    </x:row>
    <x:row r="176" ht="15" hidden="0" customHeight="1">
      <x:c r="A176" s="70"/>
      <x:c r="B176" s="70"/>
      <x:c r="C176" s="70"/>
      <x:c r="D176" s="70"/>
      <x:c r="E176" s="70"/>
      <x:c r="F176" s="70"/>
    </x:row>
    <x:row r="177" ht="15" hidden="0" customHeight="1">
      <x:c r="A177" s="70"/>
      <x:c r="B177" s="70"/>
      <x:c r="C177" s="70"/>
      <x:c r="D177" s="70"/>
      <x:c r="E177" s="70"/>
      <x:c r="F177" s="70"/>
    </x:row>
    <x:row r="178" ht="15" hidden="0" customHeight="1">
      <x:c r="A178" s="70"/>
      <x:c r="B178" s="70"/>
      <x:c r="C178" s="70"/>
      <x:c r="D178" s="70"/>
      <x:c r="E178" s="70"/>
      <x:c r="F178" s="70"/>
    </x:row>
    <x:row r="179" ht="15" hidden="0" customHeight="1">
      <x:c r="A179" s="70"/>
      <x:c r="B179" s="70"/>
      <x:c r="C179" s="70"/>
      <x:c r="D179" s="70"/>
      <x:c r="E179" s="70"/>
      <x:c r="F179" s="70"/>
    </x:row>
    <x:row r="180" ht="15" hidden="0" customHeight="1">
      <x:c r="A180" s="70"/>
      <x:c r="B180" s="70"/>
      <x:c r="C180" s="70"/>
      <x:c r="D180" s="70"/>
      <x:c r="E180" s="70"/>
      <x:c r="F180" s="70"/>
    </x:row>
    <x:row r="181" ht="15" hidden="0" customHeight="1">
      <x:c r="A181" s="70"/>
      <x:c r="B181" s="70"/>
      <x:c r="C181" s="70"/>
      <x:c r="D181" s="70"/>
      <x:c r="E181" s="70"/>
      <x:c r="F181" s="70"/>
    </x:row>
    <x:row r="182" ht="15" hidden="0" customHeight="1">
      <x:c r="A182" s="70"/>
      <x:c r="B182" s="70"/>
      <x:c r="C182" s="70"/>
      <x:c r="D182" s="70"/>
      <x:c r="E182" s="70"/>
      <x:c r="F182" s="70"/>
    </x:row>
    <x:row r="183" ht="15" hidden="0" customHeight="1">
      <x:c r="A183" s="70"/>
      <x:c r="B183" s="70"/>
      <x:c r="C183" s="70"/>
      <x:c r="D183" s="70"/>
      <x:c r="E183" s="70"/>
      <x:c r="F183" s="70"/>
    </x:row>
    <x:row r="184" ht="15" hidden="0" customHeight="1">
      <x:c r="A184" s="70"/>
      <x:c r="B184" s="70"/>
      <x:c r="C184" s="70"/>
      <x:c r="D184" s="70"/>
      <x:c r="E184" s="70"/>
      <x:c r="F184" s="70"/>
    </x:row>
    <x:row r="185" ht="15" hidden="0" customHeight="1">
      <x:c r="A185" s="70"/>
      <x:c r="B185" s="70"/>
      <x:c r="C185" s="70"/>
      <x:c r="D185" s="70"/>
      <x:c r="E185" s="70"/>
      <x:c r="F185" s="70"/>
    </x:row>
    <x:row r="186" ht="15" hidden="0" customHeight="1">
      <x:c r="A186" s="70"/>
      <x:c r="B186" s="70"/>
      <x:c r="C186" s="70"/>
      <x:c r="D186" s="70"/>
      <x:c r="E186" s="70"/>
      <x:c r="F186" s="70"/>
    </x:row>
    <x:row r="187" ht="15" hidden="0" customHeight="1">
      <x:c r="A187" s="70"/>
      <x:c r="B187" s="70"/>
      <x:c r="C187" s="70"/>
      <x:c r="D187" s="70"/>
      <x:c r="E187" s="70"/>
      <x:c r="F187" s="70"/>
    </x:row>
    <x:row r="188" ht="15" hidden="0" customHeight="1">
      <x:c r="A188" s="70"/>
      <x:c r="B188" s="70"/>
      <x:c r="C188" s="70"/>
      <x:c r="D188" s="70"/>
      <x:c r="E188" s="70"/>
      <x:c r="F188" s="70"/>
    </x:row>
    <x:row r="189" ht="15" hidden="0" customHeight="1">
      <x:c r="A189" s="70"/>
      <x:c r="B189" s="70"/>
      <x:c r="C189" s="70"/>
      <x:c r="D189" s="70"/>
      <x:c r="E189" s="70"/>
      <x:c r="F189" s="70"/>
    </x:row>
    <x:row r="190" ht="15" hidden="0" customHeight="1">
      <x:c r="A190" s="70"/>
      <x:c r="B190" s="70"/>
      <x:c r="C190" s="70"/>
      <x:c r="D190" s="70"/>
      <x:c r="E190" s="70"/>
      <x:c r="F190" s="70"/>
    </x:row>
    <x:row r="191" ht="15" hidden="0" customHeight="1">
      <x:c r="A191" s="70"/>
      <x:c r="B191" s="70"/>
      <x:c r="C191" s="70"/>
      <x:c r="D191" s="70"/>
      <x:c r="E191" s="70"/>
      <x:c r="F191" s="70"/>
    </x:row>
    <x:row r="192" ht="15" hidden="0" customHeight="1">
      <x:c r="A192" s="70"/>
      <x:c r="B192" s="70"/>
      <x:c r="C192" s="70"/>
      <x:c r="D192" s="70"/>
      <x:c r="E192" s="70"/>
      <x:c r="F192" s="70"/>
    </x:row>
    <x:row r="193" ht="15" hidden="0" customHeight="1">
      <x:c r="A193" s="70"/>
      <x:c r="B193" s="70"/>
      <x:c r="C193" s="70"/>
      <x:c r="D193" s="70"/>
      <x:c r="E193" s="70"/>
      <x:c r="F193" s="70"/>
    </x:row>
    <x:row r="194" ht="15" hidden="0" customHeight="1">
      <x:c r="A194" s="70"/>
      <x:c r="B194" s="70"/>
      <x:c r="C194" s="70"/>
      <x:c r="D194" s="70"/>
      <x:c r="E194" s="70"/>
      <x:c r="F194" s="70"/>
    </x:row>
    <x:row r="195" ht="15" hidden="0" customHeight="1">
      <x:c r="A195" s="70"/>
      <x:c r="B195" s="70"/>
      <x:c r="C195" s="70"/>
      <x:c r="D195" s="70"/>
      <x:c r="E195" s="70"/>
      <x:c r="F195" s="70"/>
    </x:row>
    <x:row r="196" ht="15" hidden="0" customHeight="1">
      <x:c r="A196" s="70"/>
      <x:c r="B196" s="70"/>
      <x:c r="C196" s="70"/>
      <x:c r="D196" s="70"/>
      <x:c r="E196" s="70"/>
      <x:c r="F196" s="70"/>
    </x:row>
    <x:row r="197" ht="15" hidden="0" customHeight="1">
      <x:c r="A197" s="70"/>
      <x:c r="B197" s="70"/>
      <x:c r="C197" s="70"/>
      <x:c r="D197" s="70"/>
      <x:c r="E197" s="70"/>
      <x:c r="F197" s="70"/>
    </x:row>
    <x:row r="198" ht="15" hidden="0" customHeight="1">
      <x:c r="A198" s="70"/>
      <x:c r="B198" s="70"/>
      <x:c r="C198" s="70"/>
      <x:c r="D198" s="70"/>
      <x:c r="E198" s="70"/>
      <x:c r="F198" s="70"/>
    </x:row>
    <x:row r="199" ht="15" hidden="0" customHeight="1">
      <x:c r="A199" s="70"/>
      <x:c r="B199" s="70"/>
      <x:c r="C199" s="70"/>
      <x:c r="D199" s="70"/>
      <x:c r="E199" s="70"/>
      <x:c r="F199" s="70"/>
    </x:row>
    <x:row r="200" ht="15" hidden="0" customHeight="1">
      <x:c r="A200" s="70"/>
      <x:c r="B200" s="70"/>
      <x:c r="C200" s="70"/>
      <x:c r="D200" s="70"/>
      <x:c r="E200" s="70"/>
      <x:c r="F200" s="70"/>
    </x:row>
    <x:row r="201" ht="15" hidden="0" customHeight="1">
      <x:c r="A201" s="70"/>
      <x:c r="B201" s="70"/>
      <x:c r="C201" s="70"/>
      <x:c r="D201" s="70"/>
      <x:c r="E201" s="70"/>
      <x:c r="F201" s="70"/>
    </x:row>
    <x:row r="202" ht="15" hidden="0" customHeight="1">
      <x:c r="A202" s="70"/>
      <x:c r="B202" s="70"/>
      <x:c r="C202" s="70"/>
      <x:c r="D202" s="70"/>
      <x:c r="E202" s="70"/>
      <x:c r="F202" s="70"/>
    </x:row>
    <x:row r="203" ht="15" hidden="0" customHeight="1">
      <x:c r="A203" s="70"/>
      <x:c r="B203" s="70"/>
      <x:c r="C203" s="70"/>
      <x:c r="D203" s="70"/>
      <x:c r="E203" s="70"/>
      <x:c r="F203" s="70"/>
    </x:row>
    <x:row r="204" ht="15" hidden="0" customHeight="1">
      <x:c r="A204" s="70"/>
      <x:c r="B204" s="70"/>
      <x:c r="C204" s="70"/>
      <x:c r="D204" s="70"/>
      <x:c r="E204" s="70"/>
      <x:c r="F204" s="70"/>
    </x:row>
    <x:row r="205" ht="15" hidden="0" customHeight="1">
      <x:c r="A205" s="70"/>
      <x:c r="B205" s="70"/>
      <x:c r="C205" s="70"/>
      <x:c r="D205" s="70"/>
      <x:c r="E205" s="70"/>
      <x:c r="F205" s="70"/>
    </x:row>
    <x:row r="206" ht="15" hidden="0" customHeight="1">
      <x:c r="A206" s="70"/>
      <x:c r="B206" s="70"/>
      <x:c r="C206" s="70"/>
      <x:c r="D206" s="70"/>
      <x:c r="E206" s="70"/>
      <x:c r="F206" s="70"/>
    </x:row>
    <x:row r="207" ht="15" hidden="0" customHeight="1">
      <x:c r="A207" s="70"/>
      <x:c r="B207" s="70"/>
      <x:c r="C207" s="70"/>
      <x:c r="D207" s="70"/>
      <x:c r="E207" s="70"/>
      <x:c r="F207" s="70"/>
    </x:row>
    <x:row r="208" ht="15" hidden="0" customHeight="1">
      <x:c r="A208" s="70"/>
      <x:c r="B208" s="70"/>
      <x:c r="C208" s="70"/>
      <x:c r="D208" s="70"/>
      <x:c r="E208" s="70"/>
      <x:c r="F208" s="70"/>
    </x:row>
    <x:row r="209" ht="15" hidden="0" customHeight="1">
      <x:c r="A209" s="70"/>
      <x:c r="B209" s="70"/>
      <x:c r="C209" s="70"/>
      <x:c r="D209" s="70"/>
      <x:c r="E209" s="70"/>
      <x:c r="F209" s="70"/>
    </x:row>
    <x:row r="210" ht="15" hidden="0" customHeight="1">
      <x:c r="A210" s="70"/>
      <x:c r="B210" s="70"/>
      <x:c r="C210" s="70"/>
      <x:c r="D210" s="70"/>
      <x:c r="E210" s="70"/>
      <x:c r="F210" s="70"/>
    </x:row>
    <x:row r="211" ht="15" hidden="0" customHeight="1">
      <x:c r="A211" s="70"/>
      <x:c r="B211" s="70"/>
      <x:c r="C211" s="70"/>
      <x:c r="D211" s="70"/>
      <x:c r="E211" s="70"/>
      <x:c r="F211" s="70"/>
    </x:row>
    <x:row r="212" ht="15" hidden="0" customHeight="1">
      <x:c r="A212" s="70"/>
      <x:c r="B212" s="70"/>
      <x:c r="C212" s="70"/>
      <x:c r="D212" s="70"/>
      <x:c r="E212" s="70"/>
      <x:c r="F212" s="70"/>
    </x:row>
    <x:row r="213" ht="15" hidden="0" customHeight="1">
      <x:c r="A213" s="70"/>
      <x:c r="B213" s="70"/>
      <x:c r="C213" s="70"/>
      <x:c r="D213" s="70"/>
      <x:c r="E213" s="70"/>
      <x:c r="F213" s="70"/>
    </x:row>
    <x:row r="214" ht="15" hidden="0" customHeight="1">
      <x:c r="A214" s="70"/>
      <x:c r="B214" s="70"/>
      <x:c r="C214" s="70"/>
      <x:c r="D214" s="70"/>
      <x:c r="E214" s="70"/>
      <x:c r="F214" s="70"/>
    </x:row>
    <x:row r="215" ht="15" hidden="0" customHeight="1">
      <x:c r="A215" s="70"/>
      <x:c r="B215" s="70"/>
      <x:c r="C215" s="70"/>
      <x:c r="D215" s="70"/>
      <x:c r="E215" s="70"/>
      <x:c r="F215" s="70"/>
    </x:row>
    <x:row r="216" ht="15" hidden="0" customHeight="1">
      <x:c r="A216" s="70"/>
      <x:c r="B216" s="70"/>
      <x:c r="C216" s="70"/>
      <x:c r="D216" s="70"/>
      <x:c r="E216" s="70"/>
      <x:c r="F216" s="70"/>
    </x:row>
    <x:row r="217" ht="15" hidden="0" customHeight="1">
      <x:c r="A217" s="70"/>
      <x:c r="B217" s="70"/>
      <x:c r="C217" s="70"/>
      <x:c r="D217" s="70"/>
      <x:c r="E217" s="70"/>
      <x:c r="F217" s="70"/>
    </x:row>
    <x:row r="218" ht="15" hidden="0" customHeight="1">
      <x:c r="A218" s="70"/>
      <x:c r="B218" s="70"/>
      <x:c r="C218" s="70"/>
      <x:c r="D218" s="70"/>
      <x:c r="E218" s="70"/>
      <x:c r="F218" s="70"/>
    </x:row>
    <x:row r="219" ht="15" hidden="0" customHeight="1">
      <x:c r="A219" s="70"/>
      <x:c r="B219" s="70"/>
      <x:c r="C219" s="70"/>
      <x:c r="D219" s="70"/>
      <x:c r="E219" s="70"/>
      <x:c r="F219" s="70"/>
    </x:row>
    <x:row r="220" ht="15" hidden="0" customHeight="1">
      <x:c r="A220" s="70"/>
      <x:c r="B220" s="70"/>
      <x:c r="C220" s="70"/>
      <x:c r="D220" s="70"/>
      <x:c r="E220" s="70"/>
      <x:c r="F220" s="70"/>
    </x:row>
    <x:row r="221" ht="15" hidden="0" customHeight="1">
      <x:c r="A221" s="70"/>
      <x:c r="B221" s="70"/>
      <x:c r="C221" s="70"/>
      <x:c r="D221" s="70"/>
      <x:c r="E221" s="70"/>
      <x:c r="F221" s="70"/>
    </x:row>
    <x:row r="222" ht="15" hidden="0" customHeight="1">
      <x:c r="A222" s="70"/>
      <x:c r="B222" s="70"/>
      <x:c r="C222" s="70"/>
      <x:c r="D222" s="70"/>
      <x:c r="E222" s="70"/>
      <x:c r="F222" s="70"/>
    </x:row>
    <x:row r="223" ht="15" hidden="0" customHeight="1">
      <x:c r="A223" s="70"/>
      <x:c r="B223" s="70"/>
      <x:c r="C223" s="70"/>
      <x:c r="D223" s="70"/>
      <x:c r="E223" s="70"/>
      <x:c r="F223" s="70"/>
    </x:row>
    <x:row r="224" ht="15" hidden="0" customHeight="1">
      <x:c r="A224" s="70"/>
      <x:c r="B224" s="70"/>
      <x:c r="C224" s="70"/>
      <x:c r="D224" s="70"/>
      <x:c r="E224" s="70"/>
      <x:c r="F224" s="70"/>
    </x:row>
    <x:row r="225" ht="15" hidden="0" customHeight="1">
      <x:c r="A225" s="70"/>
      <x:c r="B225" s="70"/>
      <x:c r="C225" s="70"/>
      <x:c r="D225" s="70"/>
      <x:c r="E225" s="70"/>
      <x:c r="F225" s="70"/>
    </x:row>
    <x:row r="226" ht="15" hidden="0" customHeight="1">
      <x:c r="A226" s="70"/>
      <x:c r="B226" s="70"/>
      <x:c r="C226" s="70"/>
      <x:c r="D226" s="70"/>
      <x:c r="E226" s="70"/>
      <x:c r="F226" s="70"/>
    </x:row>
    <x:row r="227" ht="15" hidden="0" customHeight="1">
      <x:c r="A227" s="70"/>
      <x:c r="B227" s="70"/>
      <x:c r="C227" s="70"/>
      <x:c r="D227" s="70"/>
      <x:c r="E227" s="70"/>
      <x:c r="F227" s="70"/>
    </x:row>
    <x:row r="228" ht="15" hidden="0" customHeight="1">
      <x:c r="A228" s="70"/>
      <x:c r="B228" s="70"/>
      <x:c r="C228" s="70"/>
      <x:c r="D228" s="70"/>
      <x:c r="E228" s="70"/>
      <x:c r="F228" s="70"/>
    </x:row>
    <x:row r="229" ht="15" hidden="0" customHeight="1">
      <x:c r="A229" s="70"/>
      <x:c r="B229" s="70"/>
      <x:c r="C229" s="70"/>
      <x:c r="D229" s="70"/>
      <x:c r="E229" s="70"/>
      <x:c r="F229" s="70"/>
    </x:row>
    <x:row r="230" ht="15" hidden="0" customHeight="1">
      <x:c r="A230" s="70"/>
      <x:c r="B230" s="70"/>
      <x:c r="C230" s="70"/>
      <x:c r="D230" s="70"/>
      <x:c r="E230" s="70"/>
      <x:c r="F230" s="70"/>
    </x:row>
    <x:row r="231" ht="15" hidden="0" customHeight="1">
      <x:c r="A231" s="70"/>
      <x:c r="B231" s="70"/>
      <x:c r="C231" s="70"/>
      <x:c r="D231" s="70"/>
      <x:c r="E231" s="70"/>
      <x:c r="F231" s="70"/>
    </x:row>
    <x:row r="232" ht="15" hidden="0" customHeight="1">
      <x:c r="A232" s="70"/>
      <x:c r="B232" s="70"/>
      <x:c r="C232" s="70"/>
      <x:c r="D232" s="70"/>
      <x:c r="E232" s="70"/>
      <x:c r="F232" s="70"/>
    </x:row>
    <x:row r="233" ht="15" hidden="0" customHeight="1">
      <x:c r="A233" s="70"/>
      <x:c r="B233" s="70"/>
      <x:c r="C233" s="70"/>
      <x:c r="D233" s="70"/>
      <x:c r="E233" s="70"/>
      <x:c r="F233" s="70"/>
    </x:row>
    <x:row r="234" ht="15" hidden="0" customHeight="1">
      <x:c r="A234" s="70"/>
      <x:c r="B234" s="70"/>
      <x:c r="C234" s="70"/>
      <x:c r="D234" s="70"/>
      <x:c r="E234" s="70"/>
      <x:c r="F234" s="70"/>
    </x:row>
    <x:row r="235" ht="15" hidden="0" customHeight="1">
      <x:c r="A235" s="70"/>
      <x:c r="B235" s="70"/>
      <x:c r="C235" s="70"/>
      <x:c r="D235" s="70"/>
      <x:c r="E235" s="70"/>
      <x:c r="F235" s="70"/>
    </x:row>
    <x:row r="236" ht="15" hidden="0" customHeight="1">
      <x:c r="A236" s="70"/>
      <x:c r="B236" s="70"/>
      <x:c r="C236" s="70"/>
      <x:c r="D236" s="70"/>
      <x:c r="E236" s="70"/>
      <x:c r="F236" s="70"/>
    </x:row>
    <x:row r="237" ht="15" hidden="0" customHeight="1">
      <x:c r="A237" s="70"/>
      <x:c r="B237" s="70"/>
      <x:c r="C237" s="70"/>
      <x:c r="D237" s="70"/>
      <x:c r="E237" s="70"/>
      <x:c r="F237" s="70"/>
    </x:row>
    <x:row r="238" ht="15" hidden="0" customHeight="1">
      <x:c r="A238" s="70"/>
      <x:c r="B238" s="70"/>
      <x:c r="C238" s="70"/>
      <x:c r="D238" s="70"/>
      <x:c r="E238" s="70"/>
      <x:c r="F238" s="70"/>
    </x:row>
    <x:row r="239" ht="15" hidden="0" customHeight="1">
      <x:c r="A239" s="70"/>
      <x:c r="B239" s="70"/>
      <x:c r="C239" s="70"/>
      <x:c r="D239" s="70"/>
      <x:c r="E239" s="70"/>
      <x:c r="F239" s="70"/>
    </x:row>
    <x:row r="240" ht="15" hidden="0" customHeight="1">
      <x:c r="A240" s="70"/>
      <x:c r="B240" s="70"/>
      <x:c r="C240" s="70"/>
      <x:c r="D240" s="70"/>
      <x:c r="E240" s="70"/>
      <x:c r="F240" s="70"/>
    </x:row>
    <x:row r="241" ht="15" hidden="0" customHeight="1">
      <x:c r="A241" s="70"/>
      <x:c r="B241" s="70"/>
      <x:c r="C241" s="70"/>
      <x:c r="D241" s="70"/>
      <x:c r="E241" s="70"/>
      <x:c r="F241" s="70"/>
    </x:row>
    <x:row r="242" ht="15" hidden="0" customHeight="1">
      <x:c r="A242" s="70"/>
      <x:c r="B242" s="70"/>
      <x:c r="C242" s="70"/>
      <x:c r="D242" s="70"/>
      <x:c r="E242" s="70"/>
      <x:c r="F242" s="70"/>
    </x:row>
    <x:row r="243" ht="15" hidden="0" customHeight="1">
      <x:c r="A243" s="70"/>
      <x:c r="B243" s="70"/>
      <x:c r="C243" s="70"/>
      <x:c r="D243" s="70"/>
      <x:c r="E243" s="70"/>
      <x:c r="F243" s="70"/>
    </x:row>
    <x:row r="244" ht="15" hidden="0" customHeight="1">
      <x:c r="A244" s="70"/>
      <x:c r="B244" s="70"/>
      <x:c r="C244" s="70"/>
      <x:c r="D244" s="70"/>
      <x:c r="E244" s="70"/>
      <x:c r="F244" s="70"/>
    </x:row>
    <x:row r="245" ht="15" hidden="0" customHeight="1">
      <x:c r="A245" s="70"/>
      <x:c r="B245" s="70"/>
      <x:c r="C245" s="70"/>
      <x:c r="D245" s="70"/>
      <x:c r="E245" s="70"/>
      <x:c r="F245" s="70"/>
    </x:row>
    <x:row r="246" ht="15" hidden="0" customHeight="1">
      <x:c r="A246" s="70"/>
      <x:c r="B246" s="70"/>
      <x:c r="C246" s="70"/>
      <x:c r="D246" s="70"/>
      <x:c r="E246" s="70"/>
      <x:c r="F246" s="70"/>
    </x:row>
    <x:row r="247" ht="15" hidden="0" customHeight="1">
      <x:c r="A247" s="70"/>
      <x:c r="B247" s="70"/>
      <x:c r="C247" s="70"/>
      <x:c r="D247" s="70"/>
      <x:c r="E247" s="70"/>
      <x:c r="F247" s="70"/>
    </x:row>
    <x:row r="248" ht="15" hidden="0" customHeight="1">
      <x:c r="A248" s="70"/>
      <x:c r="B248" s="70"/>
      <x:c r="C248" s="70"/>
      <x:c r="D248" s="70"/>
      <x:c r="E248" s="70"/>
      <x:c r="F248" s="70"/>
    </x:row>
    <x:row r="249" ht="15" hidden="0" customHeight="1">
      <x:c r="A249" s="70"/>
      <x:c r="B249" s="70"/>
      <x:c r="C249" s="70"/>
      <x:c r="D249" s="70"/>
      <x:c r="E249" s="70"/>
      <x:c r="F249" s="70"/>
    </x:row>
    <x:row r="250" ht="15" hidden="0" customHeight="1">
      <x:c r="A250" s="70"/>
      <x:c r="B250" s="70"/>
      <x:c r="C250" s="70"/>
      <x:c r="D250" s="70"/>
      <x:c r="E250" s="70"/>
      <x:c r="F250" s="70"/>
    </x:row>
    <x:row r="251" ht="15" hidden="0" customHeight="1">
      <x:c r="A251" s="70"/>
      <x:c r="B251" s="70"/>
      <x:c r="C251" s="70"/>
      <x:c r="D251" s="70"/>
      <x:c r="E251" s="70"/>
      <x:c r="F251" s="70"/>
    </x:row>
    <x:row r="252" ht="15" hidden="0" customHeight="1">
      <x:c r="A252" s="70"/>
      <x:c r="B252" s="70"/>
      <x:c r="C252" s="70"/>
      <x:c r="D252" s="70"/>
      <x:c r="E252" s="70"/>
      <x:c r="F252" s="70"/>
    </x:row>
    <x:row r="253" ht="15" hidden="0" customHeight="1">
      <x:c r="A253" s="70"/>
      <x:c r="B253" s="70"/>
      <x:c r="C253" s="70"/>
      <x:c r="D253" s="70"/>
      <x:c r="E253" s="70"/>
      <x:c r="F253" s="70"/>
    </x:row>
    <x:row r="254" ht="15" hidden="0" customHeight="1">
      <x:c r="A254" s="70"/>
      <x:c r="B254" s="70"/>
      <x:c r="C254" s="70"/>
      <x:c r="D254" s="70"/>
      <x:c r="E254" s="70"/>
      <x:c r="F254" s="70"/>
    </x:row>
    <x:row r="255" ht="15" hidden="0" customHeight="1">
      <x:c r="A255" s="70"/>
      <x:c r="B255" s="70"/>
      <x:c r="C255" s="70"/>
      <x:c r="D255" s="70"/>
      <x:c r="E255" s="70"/>
      <x:c r="F255" s="70"/>
    </x:row>
    <x:row r="256" ht="15" hidden="0" customHeight="1">
      <x:c r="A256" s="70"/>
      <x:c r="B256" s="70"/>
      <x:c r="C256" s="70"/>
      <x:c r="D256" s="70"/>
      <x:c r="E256" s="70"/>
      <x:c r="F256" s="70"/>
    </x:row>
    <x:row r="257" ht="15" hidden="0" customHeight="1">
      <x:c r="A257" s="70"/>
      <x:c r="B257" s="70"/>
      <x:c r="C257" s="70"/>
      <x:c r="D257" s="70"/>
      <x:c r="E257" s="70"/>
      <x:c r="F257" s="70"/>
    </x:row>
    <x:row r="258" ht="15" hidden="0" customHeight="1">
      <x:c r="A258" s="70"/>
      <x:c r="B258" s="70"/>
      <x:c r="C258" s="70"/>
      <x:c r="D258" s="70"/>
      <x:c r="E258" s="70"/>
      <x:c r="F258" s="70"/>
    </x:row>
    <x:row r="259" ht="15" hidden="0" customHeight="1">
      <x:c r="A259" s="70"/>
      <x:c r="B259" s="70"/>
      <x:c r="C259" s="70"/>
      <x:c r="D259" s="70"/>
      <x:c r="E259" s="70"/>
      <x:c r="F259" s="70"/>
    </x:row>
    <x:row r="260" ht="15" hidden="0" customHeight="1">
      <x:c r="A260" s="70"/>
      <x:c r="B260" s="70"/>
      <x:c r="C260" s="70"/>
      <x:c r="D260" s="70"/>
      <x:c r="E260" s="70"/>
      <x:c r="F260" s="70"/>
    </x:row>
    <x:row r="261" ht="15" hidden="0" customHeight="1">
      <x:c r="A261" s="70"/>
      <x:c r="B261" s="70"/>
      <x:c r="C261" s="70"/>
      <x:c r="D261" s="70"/>
      <x:c r="E261" s="70"/>
      <x:c r="F261" s="70"/>
    </x:row>
    <x:row r="262" ht="15" hidden="0" customHeight="1">
      <x:c r="A262" s="70"/>
      <x:c r="B262" s="70"/>
      <x:c r="C262" s="70"/>
      <x:c r="D262" s="70"/>
      <x:c r="E262" s="70"/>
      <x:c r="F262" s="70"/>
    </x:row>
    <x:row r="263" ht="15" hidden="0" customHeight="1">
      <x:c r="A263" s="70"/>
      <x:c r="B263" s="70"/>
      <x:c r="C263" s="70"/>
      <x:c r="D263" s="70"/>
      <x:c r="E263" s="70"/>
      <x:c r="F263" s="70"/>
    </x:row>
    <x:row r="264" ht="15" hidden="0" customHeight="1">
      <x:c r="A264" s="70"/>
      <x:c r="B264" s="70"/>
      <x:c r="C264" s="70"/>
      <x:c r="D264" s="70"/>
      <x:c r="E264" s="70"/>
      <x:c r="F264" s="70"/>
    </x:row>
    <x:row r="265" ht="15" hidden="0" customHeight="1">
      <x:c r="A265" s="70"/>
      <x:c r="B265" s="70"/>
      <x:c r="C265" s="70"/>
      <x:c r="D265" s="70"/>
      <x:c r="E265" s="70"/>
      <x:c r="F265" s="70"/>
    </x:row>
    <x:row r="266" ht="15" hidden="0" customHeight="1">
      <x:c r="A266" s="70"/>
      <x:c r="B266" s="70"/>
      <x:c r="C266" s="70"/>
      <x:c r="D266" s="70"/>
      <x:c r="E266" s="70"/>
      <x:c r="F266" s="70"/>
    </x:row>
    <x:row r="267" ht="15" hidden="0" customHeight="1">
      <x:c r="A267" s="70"/>
      <x:c r="B267" s="70"/>
      <x:c r="C267" s="70"/>
      <x:c r="D267" s="70"/>
      <x:c r="E267" s="70"/>
      <x:c r="F267" s="70"/>
    </x:row>
    <x:row r="268" ht="15" hidden="0" customHeight="1">
      <x:c r="A268" s="70"/>
      <x:c r="B268" s="70"/>
      <x:c r="C268" s="70"/>
      <x:c r="D268" s="70"/>
      <x:c r="E268" s="70"/>
      <x:c r="F268" s="70"/>
    </x:row>
    <x:row r="269" ht="15" hidden="0" customHeight="1">
      <x:c r="A269" s="70"/>
      <x:c r="B269" s="70"/>
      <x:c r="C269" s="70"/>
      <x:c r="D269" s="70"/>
      <x:c r="E269" s="70"/>
      <x:c r="F269" s="70"/>
    </x:row>
    <x:row r="270" ht="15" hidden="0" customHeight="1">
      <x:c r="A270" s="70"/>
      <x:c r="B270" s="70"/>
      <x:c r="C270" s="70"/>
      <x:c r="D270" s="70"/>
      <x:c r="E270" s="70"/>
      <x:c r="F270" s="70"/>
    </x:row>
    <x:row r="271" ht="15" hidden="0" customHeight="1">
      <x:c r="A271" s="70"/>
      <x:c r="B271" s="70"/>
      <x:c r="C271" s="70"/>
      <x:c r="D271" s="70"/>
      <x:c r="E271" s="70"/>
      <x:c r="F271" s="70"/>
    </x:row>
    <x:row r="272" ht="15" hidden="0" customHeight="1">
      <x:c r="A272" s="70"/>
      <x:c r="B272" s="70"/>
      <x:c r="C272" s="70"/>
      <x:c r="D272" s="70"/>
      <x:c r="E272" s="70"/>
      <x:c r="F272" s="70"/>
    </x:row>
    <x:row r="273" ht="15" hidden="0" customHeight="1">
      <x:c r="A273" s="70"/>
      <x:c r="B273" s="70"/>
      <x:c r="C273" s="70"/>
      <x:c r="D273" s="70"/>
      <x:c r="E273" s="70"/>
      <x:c r="F273" s="70"/>
    </x:row>
    <x:row r="274" ht="15" hidden="0" customHeight="1">
      <x:c r="A274" s="70"/>
      <x:c r="B274" s="70"/>
      <x:c r="C274" s="70"/>
      <x:c r="D274" s="70"/>
      <x:c r="E274" s="70"/>
      <x:c r="F274" s="70"/>
    </x:row>
    <x:row r="275" ht="15" hidden="0" customHeight="1">
      <x:c r="A275" s="70"/>
      <x:c r="B275" s="70"/>
      <x:c r="C275" s="70"/>
      <x:c r="D275" s="70"/>
      <x:c r="E275" s="70"/>
      <x:c r="F275" s="70"/>
    </x:row>
    <x:row r="276" ht="15" hidden="0" customHeight="1">
      <x:c r="A276" s="70"/>
      <x:c r="B276" s="70"/>
      <x:c r="C276" s="70"/>
      <x:c r="D276" s="70"/>
      <x:c r="E276" s="70"/>
      <x:c r="F276" s="70"/>
    </x:row>
    <x:row r="277" ht="15" hidden="0" customHeight="1">
      <x:c r="A277" s="70"/>
      <x:c r="B277" s="70"/>
      <x:c r="C277" s="70"/>
      <x:c r="D277" s="70"/>
      <x:c r="E277" s="70"/>
      <x:c r="F277" s="70"/>
    </x:row>
    <x:row r="278" ht="15" hidden="0" customHeight="1">
      <x:c r="A278" s="70"/>
      <x:c r="B278" s="70"/>
      <x:c r="C278" s="70"/>
      <x:c r="D278" s="70"/>
      <x:c r="E278" s="70"/>
      <x:c r="F278" s="70"/>
    </x:row>
    <x:row r="279" ht="15" hidden="0" customHeight="1">
      <x:c r="A279" s="70"/>
      <x:c r="B279" s="70"/>
      <x:c r="C279" s="70"/>
      <x:c r="D279" s="70"/>
      <x:c r="E279" s="70"/>
      <x:c r="F279" s="70"/>
    </x:row>
    <x:row r="280" ht="15" hidden="0" customHeight="1">
      <x:c r="A280" s="70"/>
      <x:c r="B280" s="70"/>
      <x:c r="C280" s="70"/>
      <x:c r="D280" s="70"/>
      <x:c r="E280" s="70"/>
      <x:c r="F280" s="70"/>
    </x:row>
    <x:row r="281" ht="15" hidden="0" customHeight="1">
      <x:c r="A281" s="70"/>
      <x:c r="B281" s="70"/>
      <x:c r="C281" s="70"/>
      <x:c r="D281" s="70"/>
      <x:c r="E281" s="70"/>
      <x:c r="F281" s="70"/>
    </x:row>
    <x:row r="282" ht="15" hidden="0" customHeight="1">
      <x:c r="A282" s="70"/>
      <x:c r="B282" s="70"/>
      <x:c r="C282" s="70"/>
      <x:c r="D282" s="70"/>
      <x:c r="E282" s="70"/>
      <x:c r="F282" s="70"/>
    </x:row>
    <x:row r="283" ht="15" hidden="0" customHeight="1">
      <x:c r="A283" s="70"/>
      <x:c r="B283" s="70"/>
      <x:c r="C283" s="70"/>
      <x:c r="D283" s="70"/>
      <x:c r="E283" s="70"/>
      <x:c r="F283" s="70"/>
    </x:row>
    <x:row r="284" ht="15" hidden="0" customHeight="1">
      <x:c r="A284" s="70"/>
      <x:c r="B284" s="70"/>
      <x:c r="C284" s="70"/>
      <x:c r="D284" s="70"/>
      <x:c r="E284" s="70"/>
      <x:c r="F284" s="70"/>
    </x:row>
    <x:row r="285" ht="15" hidden="0" customHeight="1">
      <x:c r="A285" s="70"/>
      <x:c r="B285" s="70"/>
      <x:c r="C285" s="70"/>
      <x:c r="D285" s="70"/>
      <x:c r="E285" s="70"/>
      <x:c r="F285" s="70"/>
    </x:row>
    <x:row r="286" ht="15" hidden="0" customHeight="1">
      <x:c r="A286" s="70"/>
      <x:c r="B286" s="70"/>
      <x:c r="C286" s="70"/>
      <x:c r="D286" s="70"/>
      <x:c r="E286" s="70"/>
      <x:c r="F286" s="70"/>
    </x:row>
    <x:row r="287" ht="15" hidden="0" customHeight="1">
      <x:c r="A287" s="70"/>
      <x:c r="B287" s="70"/>
      <x:c r="C287" s="70"/>
      <x:c r="D287" s="70"/>
      <x:c r="E287" s="70"/>
      <x:c r="F287" s="70"/>
    </x:row>
    <x:row r="288" ht="15" hidden="0" customHeight="1">
      <x:c r="A288" s="70"/>
      <x:c r="B288" s="70"/>
      <x:c r="C288" s="70"/>
      <x:c r="D288" s="70"/>
      <x:c r="E288" s="70"/>
      <x:c r="F288" s="70"/>
    </x:row>
    <x:row r="289" ht="15" hidden="0" customHeight="1">
      <x:c r="A289" s="70"/>
      <x:c r="B289" s="70"/>
      <x:c r="C289" s="70"/>
      <x:c r="D289" s="70"/>
      <x:c r="E289" s="70"/>
      <x:c r="F289" s="70"/>
    </x:row>
    <x:row r="290" ht="15" hidden="0" customHeight="1">
      <x:c r="A290" s="70"/>
      <x:c r="B290" s="70"/>
      <x:c r="C290" s="70"/>
      <x:c r="D290" s="70"/>
      <x:c r="E290" s="70"/>
      <x:c r="F290" s="70"/>
    </x:row>
    <x:row r="291" ht="15" hidden="0" customHeight="1">
      <x:c r="A291" s="70"/>
      <x:c r="B291" s="70"/>
      <x:c r="C291" s="70"/>
      <x:c r="D291" s="70"/>
      <x:c r="E291" s="70"/>
      <x:c r="F291" s="70"/>
    </x:row>
    <x:row r="292" ht="15" hidden="0" customHeight="1">
      <x:c r="A292" s="70"/>
      <x:c r="B292" s="70"/>
      <x:c r="C292" s="70"/>
      <x:c r="D292" s="70"/>
      <x:c r="E292" s="70"/>
      <x:c r="F292" s="70"/>
    </x:row>
    <x:row r="293" ht="15" hidden="0" customHeight="1">
      <x:c r="A293" s="70"/>
      <x:c r="B293" s="70"/>
      <x:c r="C293" s="70"/>
      <x:c r="D293" s="70"/>
      <x:c r="E293" s="70"/>
      <x:c r="F293" s="70"/>
    </x:row>
    <x:row r="294" ht="15" hidden="0" customHeight="1">
      <x:c r="A294" s="70"/>
      <x:c r="B294" s="70"/>
      <x:c r="C294" s="70"/>
      <x:c r="D294" s="70"/>
      <x:c r="E294" s="70"/>
      <x:c r="F294" s="70"/>
    </x:row>
    <x:row r="295" ht="15" hidden="0" customHeight="1">
      <x:c r="A295" s="70"/>
      <x:c r="B295" s="70"/>
      <x:c r="C295" s="70"/>
      <x:c r="D295" s="70"/>
      <x:c r="E295" s="70"/>
      <x:c r="F295" s="70"/>
    </x:row>
    <x:row r="296" ht="15" hidden="0" customHeight="1">
      <x:c r="A296" s="70"/>
      <x:c r="B296" s="70"/>
      <x:c r="C296" s="70"/>
      <x:c r="D296" s="70"/>
      <x:c r="E296" s="70"/>
      <x:c r="F296" s="70"/>
    </x:row>
    <x:row r="297" ht="15" hidden="0" customHeight="1">
      <x:c r="A297" s="70"/>
      <x:c r="B297" s="70"/>
      <x:c r="C297" s="70"/>
      <x:c r="D297" s="70"/>
      <x:c r="E297" s="70"/>
      <x:c r="F297" s="70"/>
    </x:row>
    <x:row r="298" ht="15" hidden="0" customHeight="1">
      <x:c r="A298" s="70"/>
      <x:c r="B298" s="70"/>
      <x:c r="C298" s="70"/>
      <x:c r="D298" s="70"/>
      <x:c r="E298" s="70"/>
      <x:c r="F298" s="70"/>
    </x:row>
    <x:row r="299" ht="15" hidden="0" customHeight="1">
      <x:c r="A299" s="70"/>
      <x:c r="B299" s="70"/>
      <x:c r="C299" s="70"/>
      <x:c r="D299" s="70"/>
      <x:c r="E299" s="70"/>
      <x:c r="F299" s="70"/>
    </x:row>
    <x:row r="300" ht="15" hidden="0" customHeight="1">
      <x:c r="A300" s="70"/>
      <x:c r="B300" s="70"/>
      <x:c r="C300" s="70"/>
      <x:c r="D300" s="70"/>
      <x:c r="E300" s="70"/>
      <x:c r="F300" s="70"/>
    </x:row>
    <x:row r="301" ht="15" hidden="0" customHeight="1">
      <x:c r="A301" s="70"/>
      <x:c r="B301" s="70"/>
      <x:c r="C301" s="70"/>
      <x:c r="D301" s="70"/>
      <x:c r="E301" s="70"/>
      <x:c r="F301" s="70"/>
    </x:row>
    <x:row r="302" ht="15" hidden="0" customHeight="1">
      <x:c r="A302" s="70"/>
      <x:c r="B302" s="70"/>
      <x:c r="C302" s="70"/>
      <x:c r="D302" s="70"/>
      <x:c r="E302" s="70"/>
      <x:c r="F302" s="70"/>
    </x:row>
    <x:row r="303" ht="15" hidden="0" customHeight="1">
      <x:c r="A303" s="70"/>
      <x:c r="B303" s="70"/>
      <x:c r="C303" s="70"/>
      <x:c r="D303" s="70"/>
      <x:c r="E303" s="70"/>
      <x:c r="F303" s="70"/>
    </x:row>
    <x:row r="304" ht="15" hidden="0" customHeight="1">
      <x:c r="A304" s="70"/>
      <x:c r="B304" s="70"/>
      <x:c r="C304" s="70"/>
      <x:c r="D304" s="70"/>
      <x:c r="E304" s="70"/>
      <x:c r="F304" s="70"/>
    </x:row>
    <x:row r="305" ht="15" hidden="0" customHeight="1">
      <x:c r="A305" s="70"/>
      <x:c r="B305" s="70"/>
      <x:c r="C305" s="70"/>
      <x:c r="D305" s="70"/>
      <x:c r="E305" s="70"/>
      <x:c r="F305" s="70"/>
    </x:row>
    <x:row r="306" ht="15" hidden="0" customHeight="1">
      <x:c r="A306" s="70"/>
      <x:c r="B306" s="70"/>
      <x:c r="C306" s="70"/>
      <x:c r="D306" s="70"/>
      <x:c r="E306" s="70"/>
      <x:c r="F306" s="70"/>
    </x:row>
    <x:row r="307" ht="15" hidden="0" customHeight="1">
      <x:c r="A307" s="70"/>
      <x:c r="B307" s="70"/>
      <x:c r="C307" s="70"/>
      <x:c r="D307" s="70"/>
      <x:c r="E307" s="70"/>
      <x:c r="F307" s="70"/>
    </x:row>
    <x:row r="308" ht="15" hidden="0" customHeight="1">
      <x:c r="A308" s="70"/>
      <x:c r="B308" s="70"/>
      <x:c r="C308" s="70"/>
      <x:c r="D308" s="70"/>
      <x:c r="E308" s="70"/>
      <x:c r="F308" s="70"/>
    </x:row>
    <x:row r="309" ht="15" hidden="0" customHeight="1">
      <x:c r="A309" s="70"/>
      <x:c r="B309" s="70"/>
      <x:c r="C309" s="70"/>
      <x:c r="D309" s="70"/>
      <x:c r="E309" s="70"/>
      <x:c r="F309" s="70"/>
    </x:row>
    <x:row r="310" ht="15" hidden="0" customHeight="1">
      <x:c r="A310" s="70"/>
      <x:c r="B310" s="70"/>
      <x:c r="C310" s="70"/>
      <x:c r="D310" s="70"/>
      <x:c r="E310" s="70"/>
      <x:c r="F310" s="70"/>
    </x:row>
    <x:row r="311" ht="15" hidden="0" customHeight="1">
      <x:c r="A311" s="70"/>
      <x:c r="B311" s="70"/>
      <x:c r="C311" s="70"/>
      <x:c r="D311" s="70"/>
      <x:c r="E311" s="70"/>
      <x:c r="F311" s="70"/>
    </x:row>
    <x:row r="312" ht="15" hidden="0" customHeight="1">
      <x:c r="A312" s="70"/>
      <x:c r="B312" s="70"/>
      <x:c r="C312" s="70"/>
      <x:c r="D312" s="70"/>
      <x:c r="E312" s="70"/>
      <x:c r="F312" s="70"/>
    </x:row>
    <x:row r="313" ht="15" hidden="0" customHeight="1">
      <x:c r="A313" s="70"/>
      <x:c r="B313" s="70"/>
      <x:c r="C313" s="70"/>
      <x:c r="D313" s="70"/>
      <x:c r="E313" s="70"/>
      <x:c r="F313" s="70"/>
    </x:row>
    <x:row r="314" ht="15" hidden="0" customHeight="1">
      <x:c r="A314" s="70"/>
      <x:c r="B314" s="70"/>
      <x:c r="C314" s="70"/>
      <x:c r="D314" s="70"/>
      <x:c r="E314" s="70"/>
      <x:c r="F314" s="70"/>
    </x:row>
    <x:row r="315" ht="15" hidden="0" customHeight="1">
      <x:c r="A315" s="70"/>
      <x:c r="B315" s="70"/>
      <x:c r="C315" s="70"/>
      <x:c r="D315" s="70"/>
      <x:c r="E315" s="70"/>
      <x:c r="F315" s="70"/>
    </x:row>
    <x:row r="316" ht="15" hidden="0" customHeight="1">
      <x:c r="A316" s="70"/>
      <x:c r="B316" s="70"/>
      <x:c r="C316" s="70"/>
      <x:c r="D316" s="70"/>
      <x:c r="E316" s="70"/>
      <x:c r="F316" s="70"/>
    </x:row>
    <x:row r="317" ht="15" hidden="0" customHeight="1">
      <x:c r="A317" s="70"/>
      <x:c r="B317" s="70"/>
      <x:c r="C317" s="70"/>
      <x:c r="D317" s="70"/>
      <x:c r="E317" s="70"/>
      <x:c r="F317" s="70"/>
    </x:row>
    <x:row r="318" ht="15" hidden="0" customHeight="1">
      <x:c r="A318" s="70"/>
      <x:c r="B318" s="70"/>
      <x:c r="C318" s="70"/>
      <x:c r="D318" s="70"/>
      <x:c r="E318" s="70"/>
      <x:c r="F318" s="70"/>
    </x:row>
    <x:row r="319" ht="15" hidden="0" customHeight="1">
      <x:c r="A319" s="70"/>
      <x:c r="B319" s="70"/>
      <x:c r="C319" s="70"/>
      <x:c r="D319" s="70"/>
      <x:c r="E319" s="70"/>
      <x:c r="F319" s="70"/>
    </x:row>
    <x:row r="320" ht="15" hidden="0" customHeight="1">
      <x:c r="A320" s="70"/>
      <x:c r="B320" s="70"/>
      <x:c r="C320" s="70"/>
      <x:c r="D320" s="70"/>
      <x:c r="E320" s="70"/>
      <x:c r="F320" s="70"/>
    </x:row>
    <x:row r="321" ht="15" hidden="0" customHeight="1">
      <x:c r="A321" s="70"/>
      <x:c r="B321" s="70"/>
      <x:c r="C321" s="70"/>
      <x:c r="D321" s="70"/>
      <x:c r="E321" s="70"/>
      <x:c r="F321" s="70"/>
    </x:row>
    <x:row r="322" ht="15" hidden="0" customHeight="1">
      <x:c r="A322" s="70"/>
      <x:c r="B322" s="70"/>
      <x:c r="C322" s="70"/>
      <x:c r="D322" s="70"/>
      <x:c r="E322" s="70"/>
      <x:c r="F322" s="70"/>
    </x:row>
    <x:row r="323" ht="15" hidden="0" customHeight="1">
      <x:c r="A323" s="70"/>
      <x:c r="B323" s="70"/>
      <x:c r="C323" s="70"/>
      <x:c r="D323" s="70"/>
      <x:c r="E323" s="70"/>
      <x:c r="F323" s="70"/>
    </x:row>
    <x:row r="324" ht="15" hidden="0" customHeight="1">
      <x:c r="A324" s="70"/>
      <x:c r="B324" s="70"/>
      <x:c r="C324" s="70"/>
      <x:c r="D324" s="70"/>
      <x:c r="E324" s="70"/>
      <x:c r="F324" s="70"/>
    </x:row>
    <x:row r="325" ht="15" hidden="0" customHeight="1">
      <x:c r="A325" s="70"/>
      <x:c r="B325" s="70"/>
      <x:c r="C325" s="70"/>
      <x:c r="D325" s="70"/>
      <x:c r="E325" s="70"/>
      <x:c r="F325" s="70"/>
    </x:row>
    <x:row r="326" ht="15" hidden="0" customHeight="1">
      <x:c r="A326" s="70"/>
      <x:c r="B326" s="70"/>
      <x:c r="C326" s="70"/>
      <x:c r="D326" s="70"/>
      <x:c r="E326" s="70"/>
      <x:c r="F326" s="70"/>
    </x:row>
    <x:row r="327" ht="15" hidden="0" customHeight="1">
      <x:c r="A327" s="70"/>
      <x:c r="B327" s="70"/>
      <x:c r="C327" s="70"/>
      <x:c r="D327" s="70"/>
      <x:c r="E327" s="70"/>
      <x:c r="F327" s="70"/>
    </x:row>
    <x:row r="328" ht="15" hidden="0" customHeight="1">
      <x:c r="A328" s="70"/>
      <x:c r="B328" s="70"/>
      <x:c r="C328" s="70"/>
      <x:c r="D328" s="70"/>
      <x:c r="E328" s="70"/>
      <x:c r="F328" s="70"/>
    </x:row>
    <x:row r="329" ht="15" hidden="0" customHeight="1">
      <x:c r="A329" s="70"/>
      <x:c r="B329" s="70"/>
      <x:c r="C329" s="70"/>
      <x:c r="D329" s="70"/>
      <x:c r="E329" s="70"/>
      <x:c r="F329" s="70"/>
    </x:row>
    <x:row r="330" ht="15" hidden="0" customHeight="1">
      <x:c r="A330" s="70"/>
      <x:c r="B330" s="70"/>
      <x:c r="C330" s="70"/>
      <x:c r="D330" s="70"/>
      <x:c r="E330" s="70"/>
      <x:c r="F330" s="70"/>
    </x:row>
    <x:row r="331" ht="15" hidden="0" customHeight="1">
      <x:c r="A331" s="70"/>
      <x:c r="B331" s="70"/>
      <x:c r="C331" s="70"/>
      <x:c r="D331" s="70"/>
      <x:c r="E331" s="70"/>
      <x:c r="F331" s="70"/>
    </x:row>
    <x:row r="332" ht="15" hidden="0" customHeight="1">
      <x:c r="A332" s="70"/>
      <x:c r="B332" s="70"/>
      <x:c r="C332" s="70"/>
      <x:c r="D332" s="70"/>
      <x:c r="E332" s="70"/>
      <x:c r="F332" s="70"/>
    </x:row>
    <x:row r="333" ht="15" hidden="0" customHeight="1">
      <x:c r="A333" s="70"/>
      <x:c r="B333" s="70"/>
      <x:c r="C333" s="70"/>
      <x:c r="D333" s="70"/>
      <x:c r="E333" s="70"/>
      <x:c r="F333" s="70"/>
    </x:row>
    <x:row r="334" ht="15" hidden="0" customHeight="1">
      <x:c r="A334" s="70"/>
      <x:c r="B334" s="70"/>
      <x:c r="C334" s="70"/>
      <x:c r="D334" s="70"/>
      <x:c r="E334" s="70"/>
      <x:c r="F334" s="70"/>
    </x:row>
    <x:row r="335" ht="15" hidden="0" customHeight="1">
      <x:c r="A335" s="70"/>
      <x:c r="B335" s="70"/>
      <x:c r="C335" s="70"/>
      <x:c r="D335" s="70"/>
      <x:c r="E335" s="70"/>
      <x:c r="F335" s="70"/>
    </x:row>
    <x:row r="336" ht="15" hidden="0" customHeight="1">
      <x:c r="A336" s="70"/>
      <x:c r="B336" s="70"/>
      <x:c r="C336" s="70"/>
      <x:c r="D336" s="70"/>
      <x:c r="E336" s="70"/>
      <x:c r="F336" s="70"/>
    </x:row>
    <x:row r="337" ht="15" hidden="0" customHeight="1">
      <x:c r="A337" s="70"/>
      <x:c r="B337" s="70"/>
      <x:c r="C337" s="70"/>
      <x:c r="D337" s="70"/>
      <x:c r="E337" s="70"/>
      <x:c r="F337" s="70"/>
    </x:row>
    <x:row r="338" ht="15" hidden="0" customHeight="1">
      <x:c r="A338" s="70"/>
      <x:c r="B338" s="70"/>
      <x:c r="C338" s="70"/>
      <x:c r="D338" s="70"/>
      <x:c r="E338" s="70"/>
      <x:c r="F338" s="70"/>
    </x:row>
    <x:row r="339" ht="15" hidden="0" customHeight="1">
      <x:c r="A339" s="70"/>
      <x:c r="B339" s="70"/>
      <x:c r="C339" s="70"/>
      <x:c r="D339" s="70"/>
      <x:c r="E339" s="70"/>
      <x:c r="F339" s="70"/>
    </x:row>
    <x:row r="340" ht="15" hidden="0" customHeight="1">
      <x:c r="A340" s="70"/>
      <x:c r="B340" s="70"/>
      <x:c r="C340" s="70"/>
      <x:c r="D340" s="70"/>
      <x:c r="E340" s="70"/>
      <x:c r="F340" s="70"/>
    </x:row>
    <x:row r="341" ht="15" hidden="0" customHeight="1">
      <x:c r="A341" s="70"/>
      <x:c r="B341" s="70"/>
      <x:c r="C341" s="70"/>
      <x:c r="D341" s="70"/>
      <x:c r="E341" s="70"/>
      <x:c r="F341" s="70"/>
    </x:row>
    <x:row r="342" ht="15" hidden="0" customHeight="1">
      <x:c r="A342" s="70"/>
      <x:c r="B342" s="70"/>
      <x:c r="C342" s="70"/>
      <x:c r="D342" s="70"/>
      <x:c r="E342" s="70"/>
      <x:c r="F342" s="70"/>
    </x:row>
    <x:row r="343" ht="15" hidden="0" customHeight="1">
      <x:c r="A343" s="70"/>
      <x:c r="B343" s="70"/>
      <x:c r="C343" s="70"/>
      <x:c r="D343" s="70"/>
      <x:c r="E343" s="70"/>
      <x:c r="F343" s="70"/>
    </x:row>
    <x:row r="344" ht="15" hidden="0" customHeight="1">
      <x:c r="A344" s="70"/>
      <x:c r="B344" s="70"/>
      <x:c r="C344" s="70"/>
      <x:c r="D344" s="70"/>
      <x:c r="E344" s="70"/>
      <x:c r="F344" s="70"/>
    </x:row>
    <x:row r="345" ht="15" hidden="0" customHeight="1">
      <x:c r="A345" s="70"/>
      <x:c r="B345" s="70"/>
      <x:c r="C345" s="70"/>
      <x:c r="D345" s="70"/>
      <x:c r="E345" s="70"/>
      <x:c r="F345" s="70"/>
    </x:row>
    <x:row r="346" ht="15" hidden="0" customHeight="1">
      <x:c r="A346" s="70"/>
      <x:c r="B346" s="70"/>
      <x:c r="C346" s="70"/>
      <x:c r="D346" s="70"/>
      <x:c r="E346" s="70"/>
      <x:c r="F346" s="70"/>
    </x:row>
    <x:row r="347" ht="15" hidden="0" customHeight="1">
      <x:c r="A347" s="70"/>
      <x:c r="B347" s="70"/>
      <x:c r="C347" s="70"/>
      <x:c r="D347" s="70"/>
      <x:c r="E347" s="70"/>
      <x:c r="F347" s="70"/>
    </x:row>
    <x:row r="348" ht="15" hidden="0" customHeight="1">
      <x:c r="A348" s="70"/>
      <x:c r="B348" s="70"/>
      <x:c r="C348" s="70"/>
      <x:c r="D348" s="70"/>
      <x:c r="E348" s="70"/>
      <x:c r="F348" s="70"/>
    </x:row>
    <x:row r="349" ht="15" hidden="0" customHeight="1">
      <x:c r="A349" s="70"/>
      <x:c r="B349" s="70"/>
      <x:c r="C349" s="70"/>
      <x:c r="D349" s="70"/>
      <x:c r="E349" s="70"/>
      <x:c r="F349" s="70"/>
    </x:row>
    <x:row r="350" ht="15" hidden="0" customHeight="1">
      <x:c r="A350" s="70"/>
      <x:c r="B350" s="70"/>
      <x:c r="C350" s="70"/>
      <x:c r="D350" s="70"/>
      <x:c r="E350" s="70"/>
      <x:c r="F350" s="70"/>
    </x:row>
    <x:row r="351" ht="15" hidden="0" customHeight="1">
      <x:c r="A351" s="70"/>
      <x:c r="B351" s="70"/>
      <x:c r="C351" s="70"/>
      <x:c r="D351" s="70"/>
      <x:c r="E351" s="70"/>
      <x:c r="F351" s="70"/>
    </x:row>
    <x:row r="352" ht="15" hidden="0" customHeight="1">
      <x:c r="A352" s="70"/>
      <x:c r="B352" s="70"/>
      <x:c r="C352" s="70"/>
      <x:c r="D352" s="70"/>
      <x:c r="E352" s="70"/>
      <x:c r="F352" s="70"/>
    </x:row>
    <x:row r="353" ht="15" hidden="0" customHeight="1">
      <x:c r="A353" s="70"/>
      <x:c r="B353" s="70"/>
      <x:c r="C353" s="70"/>
      <x:c r="D353" s="70"/>
      <x:c r="E353" s="70"/>
      <x:c r="F353" s="70"/>
    </x:row>
    <x:row r="354" ht="15" hidden="0" customHeight="1">
      <x:c r="A354" s="70"/>
      <x:c r="B354" s="70"/>
      <x:c r="C354" s="70"/>
      <x:c r="D354" s="70"/>
      <x:c r="E354" s="70"/>
      <x:c r="F354" s="70"/>
    </x:row>
    <x:row r="355" ht="15" hidden="0" customHeight="1">
      <x:c r="A355" s="70"/>
      <x:c r="B355" s="70"/>
      <x:c r="C355" s="70"/>
      <x:c r="D355" s="70"/>
      <x:c r="E355" s="70"/>
      <x:c r="F355" s="70"/>
    </x:row>
    <x:row r="356" ht="15" hidden="0" customHeight="1">
      <x:c r="A356" s="70"/>
      <x:c r="B356" s="70"/>
      <x:c r="C356" s="70"/>
      <x:c r="D356" s="70"/>
      <x:c r="E356" s="70"/>
      <x:c r="F356" s="70"/>
    </x:row>
    <x:row r="357" ht="15" hidden="0" customHeight="1">
      <x:c r="A357" s="70"/>
      <x:c r="B357" s="70"/>
      <x:c r="C357" s="70"/>
      <x:c r="D357" s="70"/>
      <x:c r="E357" s="70"/>
      <x:c r="F357" s="70"/>
    </x:row>
    <x:row r="358" ht="15" hidden="0" customHeight="1">
      <x:c r="A358" s="70"/>
      <x:c r="B358" s="70"/>
      <x:c r="C358" s="70"/>
      <x:c r="D358" s="70"/>
      <x:c r="E358" s="70"/>
      <x:c r="F358" s="70"/>
    </x:row>
    <x:row r="359" ht="15" hidden="0" customHeight="1">
      <x:c r="A359" s="70"/>
      <x:c r="B359" s="70"/>
      <x:c r="C359" s="70"/>
      <x:c r="D359" s="70"/>
      <x:c r="E359" s="70"/>
      <x:c r="F359" s="70"/>
    </x:row>
    <x:row r="360" ht="15" hidden="0" customHeight="1">
      <x:c r="A360" s="70"/>
      <x:c r="B360" s="70"/>
      <x:c r="C360" s="70"/>
      <x:c r="D360" s="70"/>
      <x:c r="E360" s="70"/>
      <x:c r="F360" s="70"/>
    </x:row>
    <x:row r="361" ht="15" hidden="0" customHeight="1">
      <x:c r="A361" s="70"/>
      <x:c r="B361" s="70"/>
      <x:c r="C361" s="70"/>
      <x:c r="D361" s="70"/>
      <x:c r="E361" s="70"/>
      <x:c r="F361" s="70"/>
    </x:row>
    <x:row r="362" ht="15" hidden="0" customHeight="1">
      <x:c r="A362" s="70"/>
      <x:c r="B362" s="70"/>
      <x:c r="C362" s="70"/>
      <x:c r="D362" s="70"/>
      <x:c r="E362" s="70"/>
      <x:c r="F362" s="70"/>
    </x:row>
    <x:row r="363" ht="15" hidden="0" customHeight="1">
      <x:c r="A363" s="70"/>
      <x:c r="B363" s="70"/>
      <x:c r="C363" s="70"/>
      <x:c r="D363" s="70"/>
      <x:c r="E363" s="70"/>
      <x:c r="F363" s="70"/>
    </x:row>
    <x:row r="364" ht="15" hidden="0" customHeight="1">
      <x:c r="A364" s="70"/>
      <x:c r="B364" s="70"/>
      <x:c r="C364" s="70"/>
      <x:c r="D364" s="70"/>
      <x:c r="E364" s="70"/>
      <x:c r="F364" s="70"/>
    </x:row>
    <x:row r="365" ht="15" hidden="0" customHeight="1">
      <x:c r="A365" s="70"/>
      <x:c r="B365" s="70"/>
      <x:c r="C365" s="70"/>
      <x:c r="D365" s="70"/>
      <x:c r="E365" s="70"/>
      <x:c r="F365" s="70"/>
    </x:row>
    <x:row r="366" ht="15" hidden="0" customHeight="1">
      <x:c r="A366" s="70"/>
      <x:c r="B366" s="70"/>
      <x:c r="C366" s="70"/>
      <x:c r="D366" s="70"/>
      <x:c r="E366" s="70"/>
      <x:c r="F366" s="70"/>
    </x:row>
    <x:row r="367" ht="15" hidden="0" customHeight="1">
      <x:c r="A367" s="70"/>
      <x:c r="B367" s="70"/>
      <x:c r="C367" s="70"/>
      <x:c r="D367" s="70"/>
      <x:c r="E367" s="70"/>
      <x:c r="F367" s="70"/>
    </x:row>
    <x:row r="368" ht="15" hidden="0" customHeight="1">
      <x:c r="A368" s="70"/>
      <x:c r="B368" s="70"/>
      <x:c r="C368" s="70"/>
      <x:c r="D368" s="70"/>
      <x:c r="E368" s="70"/>
      <x:c r="F368" s="70"/>
    </x:row>
    <x:row r="369" ht="15" hidden="0" customHeight="1">
      <x:c r="A369" s="70"/>
      <x:c r="B369" s="70"/>
      <x:c r="C369" s="70"/>
      <x:c r="D369" s="70"/>
      <x:c r="E369" s="70"/>
      <x:c r="F369" s="70"/>
    </x:row>
    <x:row r="370" ht="15" hidden="0" customHeight="1">
      <x:c r="A370" s="70"/>
      <x:c r="B370" s="70"/>
      <x:c r="C370" s="70"/>
      <x:c r="D370" s="70"/>
      <x:c r="E370" s="70"/>
      <x:c r="F370" s="70"/>
    </x:row>
    <x:row r="371" ht="15" hidden="0" customHeight="1">
      <x:c r="A371" s="70"/>
      <x:c r="B371" s="70"/>
      <x:c r="C371" s="70"/>
      <x:c r="D371" s="70"/>
      <x:c r="E371" s="70"/>
      <x:c r="F371" s="70"/>
    </x:row>
    <x:row r="372" ht="15" hidden="0" customHeight="1">
      <x:c r="A372" s="70"/>
      <x:c r="B372" s="70"/>
      <x:c r="C372" s="70"/>
      <x:c r="D372" s="70"/>
      <x:c r="E372" s="70"/>
      <x:c r="F372" s="70"/>
    </x:row>
    <x:row r="373" ht="15" hidden="0" customHeight="1">
      <x:c r="A373" s="70"/>
      <x:c r="B373" s="70"/>
      <x:c r="C373" s="70"/>
      <x:c r="D373" s="70"/>
      <x:c r="E373" s="70"/>
      <x:c r="F373" s="70"/>
    </x:row>
    <x:row r="374" ht="15" hidden="0" customHeight="1">
      <x:c r="A374" s="70"/>
      <x:c r="B374" s="70"/>
      <x:c r="C374" s="70"/>
      <x:c r="D374" s="70"/>
      <x:c r="E374" s="70"/>
      <x:c r="F374" s="70"/>
    </x:row>
    <x:row r="375" ht="15" hidden="0" customHeight="1">
      <x:c r="A375" s="70"/>
      <x:c r="B375" s="70"/>
      <x:c r="C375" s="70"/>
      <x:c r="D375" s="70"/>
      <x:c r="E375" s="70"/>
      <x:c r="F375" s="70"/>
    </x:row>
    <x:row r="376" ht="15" hidden="0" customHeight="1">
      <x:c r="A376" s="70"/>
      <x:c r="B376" s="70"/>
      <x:c r="C376" s="70"/>
      <x:c r="D376" s="70"/>
      <x:c r="E376" s="70"/>
      <x:c r="F376" s="70"/>
    </x:row>
    <x:row r="377" ht="15" hidden="0" customHeight="1">
      <x:c r="A377" s="70"/>
      <x:c r="B377" s="70"/>
      <x:c r="C377" s="70"/>
      <x:c r="D377" s="70"/>
      <x:c r="E377" s="70"/>
      <x:c r="F377" s="70"/>
    </x:row>
    <x:row r="378" ht="15" hidden="0" customHeight="1">
      <x:c r="A378" s="70"/>
      <x:c r="B378" s="70"/>
      <x:c r="C378" s="70"/>
      <x:c r="D378" s="70"/>
      <x:c r="E378" s="70"/>
      <x:c r="F378" s="70"/>
    </x:row>
    <x:row r="379" ht="15" hidden="0" customHeight="1">
      <x:c r="A379" s="70"/>
      <x:c r="B379" s="70"/>
      <x:c r="C379" s="70"/>
      <x:c r="D379" s="70"/>
      <x:c r="E379" s="70"/>
      <x:c r="F379" s="70"/>
    </x:row>
    <x:row r="380" ht="15" hidden="0" customHeight="1">
      <x:c r="A380" s="70"/>
      <x:c r="B380" s="70"/>
      <x:c r="C380" s="70"/>
      <x:c r="D380" s="70"/>
      <x:c r="E380" s="70"/>
      <x:c r="F380" s="70"/>
    </x:row>
    <x:row r="381" ht="15" hidden="0" customHeight="1">
      <x:c r="A381" s="70"/>
      <x:c r="B381" s="70"/>
      <x:c r="C381" s="70"/>
      <x:c r="D381" s="70"/>
      <x:c r="E381" s="70"/>
      <x:c r="F381" s="70"/>
    </x:row>
    <x:row r="382" ht="15" hidden="0" customHeight="1">
      <x:c r="A382" s="70"/>
      <x:c r="B382" s="70"/>
      <x:c r="C382" s="70"/>
      <x:c r="D382" s="70"/>
      <x:c r="E382" s="70"/>
      <x:c r="F382" s="70"/>
    </x:row>
    <x:row r="383" ht="15" hidden="0" customHeight="1">
      <x:c r="A383" s="70"/>
      <x:c r="B383" s="70"/>
      <x:c r="C383" s="70"/>
      <x:c r="D383" s="70"/>
      <x:c r="E383" s="70"/>
      <x:c r="F383" s="70"/>
    </x:row>
    <x:row r="384" ht="15" hidden="0" customHeight="1">
      <x:c r="A384" s="70"/>
      <x:c r="B384" s="70"/>
      <x:c r="C384" s="70"/>
      <x:c r="D384" s="70"/>
      <x:c r="E384" s="70"/>
      <x:c r="F384" s="70"/>
    </x:row>
    <x:row r="385" ht="15" hidden="0" customHeight="1">
      <x:c r="A385" s="70"/>
      <x:c r="B385" s="70"/>
      <x:c r="C385" s="70"/>
      <x:c r="D385" s="70"/>
      <x:c r="E385" s="70"/>
      <x:c r="F385" s="70"/>
    </x:row>
    <x:row r="386" ht="15" hidden="0" customHeight="1">
      <x:c r="A386" s="70"/>
      <x:c r="B386" s="70"/>
      <x:c r="C386" s="70"/>
      <x:c r="D386" s="70"/>
      <x:c r="E386" s="70"/>
      <x:c r="F386" s="70"/>
    </x:row>
    <x:row r="387" ht="15" hidden="0" customHeight="1">
      <x:c r="A387" s="70"/>
      <x:c r="B387" s="70"/>
      <x:c r="C387" s="70"/>
      <x:c r="D387" s="70"/>
      <x:c r="E387" s="70"/>
      <x:c r="F387" s="70"/>
    </x:row>
    <x:row r="388" ht="15" hidden="0" customHeight="1">
      <x:c r="A388" s="70"/>
      <x:c r="B388" s="70"/>
      <x:c r="C388" s="70"/>
      <x:c r="D388" s="70"/>
      <x:c r="E388" s="70"/>
      <x:c r="F388" s="70"/>
    </x:row>
    <x:row r="389" ht="15" hidden="0" customHeight="1">
      <x:c r="A389" s="70"/>
      <x:c r="B389" s="70"/>
      <x:c r="C389" s="70"/>
      <x:c r="D389" s="70"/>
      <x:c r="E389" s="70"/>
      <x:c r="F389" s="70"/>
    </x:row>
    <x:row r="390" ht="15" hidden="0" customHeight="1">
      <x:c r="A390" s="70"/>
      <x:c r="B390" s="70"/>
      <x:c r="C390" s="70"/>
      <x:c r="D390" s="70"/>
      <x:c r="E390" s="70"/>
      <x:c r="F390" s="70"/>
    </x:row>
    <x:row r="391" ht="15" hidden="0" customHeight="1">
      <x:c r="A391" s="70"/>
      <x:c r="B391" s="70"/>
      <x:c r="C391" s="70"/>
      <x:c r="D391" s="70"/>
      <x:c r="E391" s="70"/>
      <x:c r="F391" s="70"/>
    </x:row>
    <x:row r="392" ht="15" hidden="0" customHeight="1">
      <x:c r="A392" s="70"/>
      <x:c r="B392" s="70"/>
      <x:c r="C392" s="70"/>
      <x:c r="D392" s="70"/>
      <x:c r="E392" s="70"/>
      <x:c r="F392" s="70"/>
    </x:row>
    <x:row r="393" ht="15" hidden="0" customHeight="1">
      <x:c r="A393" s="70"/>
      <x:c r="B393" s="70"/>
      <x:c r="C393" s="70"/>
      <x:c r="D393" s="70"/>
      <x:c r="E393" s="70"/>
      <x:c r="F393" s="70"/>
    </x:row>
    <x:row r="394" ht="15" hidden="0" customHeight="1">
      <x:c r="A394" s="70"/>
      <x:c r="B394" s="70"/>
      <x:c r="C394" s="70"/>
      <x:c r="D394" s="70"/>
      <x:c r="E394" s="70"/>
      <x:c r="F394" s="70"/>
    </x:row>
    <x:row r="395" ht="15" hidden="0" customHeight="1">
      <x:c r="A395" s="70"/>
      <x:c r="B395" s="70"/>
      <x:c r="C395" s="70"/>
      <x:c r="D395" s="70"/>
      <x:c r="E395" s="70"/>
      <x:c r="F395" s="70"/>
    </x:row>
    <x:row r="396" ht="15" hidden="0" customHeight="1">
      <x:c r="A396" s="70"/>
      <x:c r="B396" s="70"/>
      <x:c r="C396" s="70"/>
      <x:c r="D396" s="70"/>
      <x:c r="E396" s="70"/>
      <x:c r="F396" s="70"/>
    </x:row>
    <x:row r="397" ht="15" hidden="0" customHeight="1">
      <x:c r="A397" s="70"/>
      <x:c r="B397" s="70"/>
      <x:c r="C397" s="70"/>
      <x:c r="D397" s="70"/>
      <x:c r="E397" s="70"/>
      <x:c r="F397" s="70"/>
    </x:row>
    <x:row r="398" ht="15" hidden="0" customHeight="1">
      <x:c r="A398" s="70"/>
      <x:c r="B398" s="70"/>
      <x:c r="C398" s="70"/>
      <x:c r="D398" s="70"/>
      <x:c r="E398" s="70"/>
      <x:c r="F398" s="70"/>
    </x:row>
    <x:row r="399" ht="15" hidden="0" customHeight="1">
      <x:c r="A399" s="70"/>
      <x:c r="B399" s="70"/>
      <x:c r="C399" s="70"/>
      <x:c r="D399" s="70"/>
      <x:c r="E399" s="70"/>
      <x:c r="F399" s="70"/>
    </x:row>
    <x:row r="400" ht="15" hidden="0" customHeight="1">
      <x:c r="A400" s="70"/>
      <x:c r="B400" s="70"/>
      <x:c r="C400" s="70"/>
      <x:c r="D400" s="70"/>
      <x:c r="E400" s="70"/>
      <x:c r="F400" s="70"/>
    </x:row>
  </x:sheetData>
  <x:mergeCells>
    <x:mergeCell ref="A1:E1"/>
    <x:mergeCell ref="A2:E2"/>
  </x:mergeCells>
  <x:pageMargins left="0.7" right="0.7" top="0.75" bottom="0.75" header="0.3" footer="0.3"/>
  <x:tableParts count="1">
    <x:tablePart xmlns:r="http://schemas.openxmlformats.org/officeDocument/2006/relationships" r:id="Re58a77497d354a55"/>
  </x:tableParts>
</x:worksheet>
</file>

<file path=xl/worksheets/sheet8.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4" hidden="0" customWidth="1"/>
    <x:col min="2" max="2" width="35" hidden="0" customWidth="1"/>
    <x:col min="3" max="3" width="42" hidden="0" customWidth="1"/>
    <x:col min="4" max="4" width="28" hidden="0" customWidth="1"/>
    <x:col min="5" max="5" width="60" hidden="0" customWidth="1"/>
    <x:col min="6" max="6" width="18" hidden="0" customWidth="1"/>
    <x:col min="7" max="7" width="80" hidden="0" customWidth="1"/>
  </x:cols>
  <x:sheetData>
    <x:row r="1" ht="34" customHeight="1">
      <x:c r="A1" s="3" t="str">
        <x:v>45 màn hình mục tiêu</x:v>
      </x:c>
      <x:c r="B1" s="3"/>
      <x:c r="C1" s="3"/>
      <x:c r="D1" s="3"/>
      <x:c r="E1" s="3"/>
      <x:c r="F1" s="3"/>
      <x:c r="G1" s="3"/>
    </x:row>
    <x:row r="2" ht="33" customHeight="1">
      <x:c r="A2" s="7" t="str">
        <x:v>Đây là UI map cần build và nghiệm thu, không phải danh sách màn hình đã phát hành.</x:v>
      </x:c>
      <x:c r="B2" s="7"/>
      <x:c r="C2" s="7"/>
      <x:c r="D2" s="7"/>
      <x:c r="E2" s="7"/>
      <x:c r="F2" s="7"/>
      <x:c r="G2" s="7"/>
    </x:row>
    <x:row r="4" ht="36" customHeight="1">
      <x:c r="A4" s="68" t="str">
        <x:v>ID</x:v>
      </x:c>
      <x:c r="B4" s="68" t="str">
        <x:v>Màn hình</x:v>
      </x:c>
      <x:c r="C4" s="68" t="str">
        <x:v>Route</x:v>
      </x:c>
      <x:c r="D4" s="68" t="str">
        <x:v>Vai trò</x:v>
      </x:c>
      <x:c r="E4" s="68" t="str">
        <x:v>API</x:v>
      </x:c>
      <x:c r="F4" s="68" t="str">
        <x:v>Task</x:v>
      </x:c>
      <x:c r="G4" s="68" t="str">
        <x:v>Trạng thái và nghiệm thu</x:v>
      </x:c>
    </x:row>
    <x:row r="5" ht="15" hidden="0" customHeight="1">
      <x:c r="A5" s="56" t="str">
        <x:v>UI-01</x:v>
      </x:c>
      <x:c r="B5" s="56" t="str">
        <x:v>Trang chủ</x:v>
      </x:c>
      <x:c r="C5" s="56" t="str">
        <x:v>/</x:v>
      </x:c>
      <x:c r="D5" s="56" t="str">
        <x:v>guest</x:v>
      </x:c>
      <x:c r="E5" s="56" t="str">
        <x:v>GET /catalog</x:v>
      </x:c>
      <x:c r="F5" s="56" t="str">
        <x:v>WEB-01</x:v>
      </x:c>
      <x:c r="G5" s="56" t="str">
        <x:v>educational-first; release badge</x:v>
      </x:c>
    </x:row>
    <x:row r="6" ht="15" hidden="0" customHeight="1">
      <x:c r="A6" s="56" t="str">
        <x:v>UI-02</x:v>
      </x:c>
      <x:c r="B6" s="56" t="str">
        <x:v>Giới thiệu HNH</x:v>
      </x:c>
      <x:c r="C6" s="56" t="str">
        <x:v>/gioi-thieu</x:v>
      </x:c>
      <x:c r="D6" s="56" t="str">
        <x:v>guest</x:v>
      </x:c>
      <x:c r="E6" s="56" t="str">
        <x:v>static</x:v>
      </x:c>
      <x:c r="F6" s="56" t="str">
        <x:v>WEB-01</x:v>
      </x:c>
      <x:c r="G6" s="56" t="str">
        <x:v>No endorsement/clinicalclaims</x:v>
      </x:c>
    </x:row>
    <x:row r="7" ht="15" hidden="0" customHeight="1">
      <x:c r="A7" s="56" t="str">
        <x:v>UI-03</x:v>
      </x:c>
      <x:c r="B7" s="56" t="str">
        <x:v>Danh mục9cấp</x:v>
      </x:c>
      <x:c r="C7" s="56" t="str">
        <x:v>/9-levels-life-code</x:v>
      </x:c>
      <x:c r="D7" s="56" t="str">
        <x:v>guest</x:v>
      </x:c>
      <x:c r="E7" s="56" t="str">
        <x:v>GET /catalog</x:v>
      </x:c>
      <x:c r="F7" s="56" t="str">
        <x:v>GOV-09</x:v>
      </x:c>
      <x:c r="G7" s="56" t="str">
        <x:v>Available/planned/delayed states</x:v>
      </x:c>
    </x:row>
    <x:row r="8" ht="15" hidden="0" customHeight="1">
      <x:c r="A8" s="56" t="str">
        <x:v>UI-04</x:v>
      </x:c>
      <x:c r="B8" s="56" t="str">
        <x:v>Thư viện phương pháp</x:v>
      </x:c>
      <x:c r="C8" s="56" t="str">
        <x:v>/research/methods</x:v>
      </x:c>
      <x:c r="D8" s="56" t="str">
        <x:v>guest</x:v>
      </x:c>
      <x:c r="E8" s="56" t="str">
        <x:v>GET /methods</x:v>
      </x:c>
      <x:c r="F8" s="56" t="str">
        <x:v>METHOD-10</x:v>
      </x:c>
      <x:c r="G8" s="56" t="str">
        <x:v>Readstatus andsourceversion</x:v>
      </x:c>
    </x:row>
    <x:row r="9" ht="15" hidden="0" customHeight="1">
      <x:c r="A9" s="56" t="str">
        <x:v>UI-05</x:v>
      </x:c>
      <x:c r="B9" s="56" t="str">
        <x:v>Tra bộ số miễn phí</x:v>
      </x:c>
      <x:c r="C9" s="56" t="str">
        <x:v>/numbers</x:v>
      </x:c>
      <x:c r="D9" s="56" t="str">
        <x:v>guest</x:v>
      </x:c>
      <x:c r="E9" s="56" t="str">
        <x:v>local deterministic</x:v>
      </x:c>
      <x:c r="F9" s="56" t="str">
        <x:v>WEB-02</x:v>
      </x:c>
      <x:c r="G9" s="56" t="str">
        <x:v>Invalid/unresolved/tablechanged; noPIanalytics</x:v>
      </x:c>
    </x:row>
    <x:row r="10" ht="15" hidden="0" customHeight="1">
      <x:c r="A10" s="56" t="str">
        <x:v>UI-06</x:v>
      </x:c>
      <x:c r="B10" s="56" t="str">
        <x:v>Giá và phạm vi</x:v>
      </x:c>
      <x:c r="C10" s="56" t="str">
        <x:v>/pricing</x:v>
      </x:c>
      <x:c r="D10" s="56" t="str">
        <x:v>guest</x:v>
      </x:c>
      <x:c r="E10" s="56" t="str">
        <x:v>GET /catalog</x:v>
      </x:c>
      <x:c r="F10" s="56" t="str">
        <x:v>COMMERCE-01</x:v>
      </x:c>
      <x:c r="G10" s="56" t="str">
        <x:v>No hiddendatafee</x:v>
      </x:c>
    </x:row>
    <x:row r="11" ht="15" hidden="0" customHeight="1">
      <x:c r="A11" s="56" t="str">
        <x:v>UI-07</x:v>
      </x:c>
      <x:c r="B11" s="56" t="str">
        <x:v>Bắt đầu theo nhu cầu</x:v>
      </x:c>
      <x:c r="C11" s="56" t="str">
        <x:v>/app/start</x:v>
      </x:c>
      <x:c r="D11" s="56" t="str">
        <x:v>user</x:v>
      </x:c>
      <x:c r="E11" s="56" t="str">
        <x:v>POST /subjects</x:v>
      </x:c>
      <x:c r="F11" s="56" t="str">
        <x:v>WEB-03</x:v>
      </x:c>
      <x:c r="G11" s="56" t="str">
        <x:v>Draft/partial/authneeded</x:v>
      </x:c>
    </x:row>
    <x:row r="12" ht="15" hidden="0" customHeight="1">
      <x:c r="A12" s="56" t="str">
        <x:v>UI-08</x:v>
      </x:c>
      <x:c r="B12" s="56" t="str">
        <x:v>Đăng nhập</x:v>
      </x:c>
      <x:c r="C12" s="56" t="str">
        <x:v>/app/login</x:v>
      </x:c>
      <x:c r="D12" s="56" t="str">
        <x:v>guest</x:v>
      </x:c>
      <x:c r="E12" s="56" t="str">
        <x:v>GET /auth/login</x:v>
      </x:c>
      <x:c r="F12" s="56" t="str">
        <x:v>TRUST-01</x:v>
      </x:c>
      <x:c r="G12" s="56" t="str">
        <x:v>Failure/recovery/accountlock</x:v>
      </x:c>
    </x:row>
    <x:row r="13" ht="15" hidden="0" customHeight="1">
      <x:c r="A13" s="56" t="str">
        <x:v>UI-09</x:v>
      </x:c>
      <x:c r="B13" s="56" t="str">
        <x:v>Tổng quan</x:v>
      </x:c>
      <x:c r="C13" s="56" t="str">
        <x:v>/app/dashboard</x:v>
      </x:c>
      <x:c r="D13" s="56" t="str">
        <x:v>user</x:v>
      </x:c>
      <x:c r="E13" s="56" t="str">
        <x:v>GET /subjects/{subjectId}/overview</x:v>
      </x:c>
      <x:c r="F13" s="56" t="str">
        <x:v>WEB-06</x:v>
      </x:c>
      <x:c r="G13" s="56" t="str">
        <x:v>Nullmetric notzero, nextaction</x:v>
      </x:c>
    </x:row>
    <x:row r="14" ht="15" hidden="0" customHeight="1">
      <x:c r="A14" s="56" t="str">
        <x:v>UI-10</x:v>
      </x:c>
      <x:c r="B14" s="56" t="str">
        <x:v>Hồ sơ</x:v>
      </x:c>
      <x:c r="C14" s="56" t="str">
        <x:v>/app/profiles</x:v>
      </x:c>
      <x:c r="D14" s="56" t="str">
        <x:v>user</x:v>
      </x:c>
      <x:c r="E14" s="56" t="str">
        <x:v>GET /subjects</x:v>
      </x:c>
      <x:c r="F14" s="56" t="str">
        <x:v>API-02</x:v>
      </x:c>
      <x:c r="G14" s="56" t="str">
        <x:v>Empty/shared/revoked</x:v>
      </x:c>
    </x:row>
    <x:row r="15" ht="15" hidden="0" customHeight="1">
      <x:c r="A15" s="56" t="str">
        <x:v>UI-11</x:v>
      </x:c>
      <x:c r="B15" s="56" t="str">
        <x:v>Chỉnh hồ sơ</x:v>
      </x:c>
      <x:c r="C15" s="56" t="str">
        <x:v>/app/profiles/:id</x:v>
      </x:c>
      <x:c r="D15" s="56" t="str">
        <x:v>user</x:v>
      </x:c>
      <x:c r="E15" s="56" t="str">
        <x:v>POST /subjects/{subjectId}/profile-versions</x:v>
      </x:c>
      <x:c r="F15" s="56" t="str">
        <x:v>DATA-01</x:v>
      </x:c>
      <x:c r="G15" s="56" t="str">
        <x:v>IfMatch conflict/missingDOB</x:v>
      </x:c>
    </x:row>
    <x:row r="16" ht="15" hidden="0" customHeight="1">
      <x:c r="A16" s="56" t="str">
        <x:v>UI-12</x:v>
      </x:c>
      <x:c r="B16" s="56" t="str">
        <x:v>Giả thuyết dữ liệu</x:v>
      </x:c>
      <x:c r="C16" s="56" t="str">
        <x:v>/app/profiles/:id/hypotheses</x:v>
      </x:c>
      <x:c r="D16" s="56" t="str">
        <x:v>user</x:v>
      </x:c>
      <x:c r="E16" s="56" t="str">
        <x:v>POST /subjects/{subjectId}/hypotheses</x:v>
      </x:c>
      <x:c r="F16" s="56" t="str">
        <x:v>DATA-01</x:v>
      </x:c>
      <x:c r="G16" s="56" t="str">
        <x:v>Conflicting birthyears never merge</x:v>
      </x:c>
    </x:row>
    <x:row r="17" ht="15" hidden="0" customHeight="1">
      <x:c r="A17" s="56" t="str">
        <x:v>UI-13</x:v>
      </x:c>
      <x:c r="B17" s="56" t="str">
        <x:v>Sự đồng ý</x:v>
      </x:c>
      <x:c r="C17" s="56" t="str">
        <x:v>/app/privacy</x:v>
      </x:c>
      <x:c r="D17" s="56" t="str">
        <x:v>user</x:v>
      </x:c>
      <x:c r="E17" s="56" t="str">
        <x:v>POST /subjects/{subjectId}/consents</x:v>
      </x:c>
      <x:c r="F17" s="56" t="str">
        <x:v>TRUST-08</x:v>
      </x:c>
      <x:c r="G17" s="56" t="str">
        <x:v>Withdraw/processingpaused</x:v>
      </x:c>
    </x:row>
    <x:row r="18" ht="15" hidden="0" customHeight="1">
      <x:c r="A18" s="56" t="str">
        <x:v>UI-14</x:v>
      </x:c>
      <x:c r="B18" s="56" t="str">
        <x:v>Chia sẻ</x:v>
      </x:c>
      <x:c r="C18" s="56" t="str">
        <x:v>/app/sharing</x:v>
      </x:c>
      <x:c r="D18" s="56" t="str">
        <x:v>user</x:v>
      </x:c>
      <x:c r="E18" s="56" t="str">
        <x:v>POST /subjects/{subjectId}/grants</x:v>
      </x:c>
      <x:c r="F18" s="56" t="str">
        <x:v>TRUST-07</x:v>
      </x:c>
      <x:c r="G18" s="56" t="str">
        <x:v>Scope/expiry/revoke</x:v>
      </x:c>
    </x:row>
    <x:row r="19" ht="15" hidden="0" customHeight="1">
      <x:c r="A19" s="56" t="str">
        <x:v>UI-15</x:v>
      </x:c>
      <x:c r="B19" s="56" t="str">
        <x:v>Nhật ký</x:v>
      </x:c>
      <x:c r="C19" s="56" t="str">
        <x:v>/app/journal</x:v>
      </x:c>
      <x:c r="D19" s="56" t="str">
        <x:v>user</x:v>
      </x:c>
      <x:c r="E19" s="56" t="str">
        <x:v>POST /subjects/{subjectId}/observations</x:v>
      </x:c>
      <x:c r="F19" s="56" t="str">
        <x:v>WEB-07</x:v>
      </x:c>
      <x:c r="G19" s="56" t="str">
        <x:v>Offline/draft/saveerror</x:v>
      </x:c>
    </x:row>
    <x:row r="20" ht="15" hidden="0" customHeight="1">
      <x:c r="A20" s="56" t="str">
        <x:v>UI-16</x:v>
      </x:c>
      <x:c r="B20" s="56" t="str">
        <x:v>Đồng nhịp</x:v>
      </x:c>
      <x:c r="C20" s="56" t="str">
        <x:v>/app/resonance</x:v>
      </x:c>
      <x:c r="D20" s="56" t="str">
        <x:v>user</x:v>
      </x:c>
      <x:c r="E20" s="56" t="str">
        <x:v>GET /subjects/{subjectId}/observations</x:v>
      </x:c>
      <x:c r="F20" s="56" t="str">
        <x:v>EXPAND-04</x:v>
      </x:c>
      <x:c r="G20" s="56" t="str">
        <x:v>No causal/medical inference</x:v>
      </x:c>
    </x:row>
    <x:row r="21" ht="15" hidden="0" customHeight="1">
      <x:c r="A21" s="56" t="str">
        <x:v>UI-17</x:v>
      </x:c>
      <x:c r="B21" s="56" t="str">
        <x:v>Mục tiêu</x:v>
      </x:c>
      <x:c r="C21" s="56" t="str">
        <x:v>/app/goals</x:v>
      </x:c>
      <x:c r="D21" s="56" t="str">
        <x:v>user</x:v>
      </x:c>
      <x:c r="E21" s="56" t="str">
        <x:v>POST /subjects/{subjectId}/plans</x:v>
      </x:c>
      <x:c r="F21" s="56" t="str">
        <x:v>API-05</x:v>
      </x:c>
      <x:c r="G21" s="56" t="str">
        <x:v>No goal/start/archive</x:v>
      </x:c>
    </x:row>
    <x:row r="22" ht="15" hidden="0" customHeight="1">
      <x:c r="A22" s="56" t="str">
        <x:v>UI-18</x:v>
      </x:c>
      <x:c r="B22" s="56" t="str">
        <x:v>Check-in</x:v>
      </x:c>
      <x:c r="C22" s="56" t="str">
        <x:v>/app/actions/:id</x:v>
      </x:c>
      <x:c r="D22" s="56" t="str">
        <x:v>user</x:v>
      </x:c>
      <x:c r="E22" s="56" t="str">
        <x:v>POST /actions/{actionId}/check-ins</x:v>
      </x:c>
      <x:c r="F22" s="56" t="str">
        <x:v>API-05</x:v>
      </x:c>
      <x:c r="G22" s="56" t="str">
        <x:v>Retry-idempotent/cancelled</x:v>
      </x:c>
    </x:row>
    <x:row r="23" ht="15" hidden="0" customHeight="1">
      <x:c r="A23" s="56" t="str">
        <x:v>UI-19</x:v>
      </x:c>
      <x:c r="B23" s="56" t="str">
        <x:v>Dòng thời gian</x:v>
      </x:c>
      <x:c r="C23" s="56" t="str">
        <x:v>/app/timeline</x:v>
      </x:c>
      <x:c r="D23" s="56" t="str">
        <x:v>user</x:v>
      </x:c>
      <x:c r="E23" s="56" t="str">
        <x:v>GET /subjects/{subjectId}/timeline</x:v>
      </x:c>
      <x:c r="F23" s="56" t="str">
        <x:v>METHOD-08</x:v>
      </x:c>
      <x:c r="G23" s="56" t="str">
        <x:v>Fourtracks/unknown dates</x:v>
      </x:c>
    </x:row>
    <x:row r="24" ht="15" hidden="0" customHeight="1">
      <x:c r="A24" s="56" t="str">
        <x:v>UI-20</x:v>
      </x:c>
      <x:c r="B24" s="56" t="str">
        <x:v>Khảo sát</x:v>
      </x:c>
      <x:c r="C24" s="56" t="str">
        <x:v>/app/questionnaires/:code</x:v>
      </x:c>
      <x:c r="D24" s="56" t="str">
        <x:v>user</x:v>
      </x:c>
      <x:c r="E24" s="56" t="str">
        <x:v>POST /subjects/{subjectId}/questionnaire-responses</x:v>
      </x:c>
      <x:c r="F24" s="56" t="str">
        <x:v>EXPAND-01</x:v>
      </x:c>
      <x:c r="G24" s="56" t="str">
        <x:v>Incomplete/localeunsupported</x:v>
      </x:c>
    </x:row>
    <x:row r="25" ht="15" hidden="0" customHeight="1">
      <x:c r="A25" s="56" t="str">
        <x:v>UI-21</x:v>
      </x:c>
      <x:c r="B25" s="56" t="str">
        <x:v>Tính phân tích</x:v>
      </x:c>
      <x:c r="C25" s="56" t="str">
        <x:v>/app/analysis/new</x:v>
      </x:c>
      <x:c r="D25" s="56" t="str">
        <x:v>user</x:v>
      </x:c>
      <x:c r="E25" s="56" t="str">
        <x:v>POST /analysis-runs</x:v>
      </x:c>
      <x:c r="F25" s="56" t="str">
        <x:v>API-03</x:v>
      </x:c>
      <x:c r="G25" s="56" t="str">
        <x:v>Missing/grantdenied/methodretired</x:v>
      </x:c>
    </x:row>
    <x:row r="26" ht="15" hidden="0" customHeight="1">
      <x:c r="A26" s="56" t="str">
        <x:v>UI-22</x:v>
      </x:c>
      <x:c r="B26" s="56" t="str">
        <x:v>Tiến độ</x:v>
      </x:c>
      <x:c r="C26" s="56" t="str">
        <x:v>/app/analysis/:id</x:v>
      </x:c>
      <x:c r="D26" s="56" t="str">
        <x:v>user</x:v>
      </x:c>
      <x:c r="E26" s="56" t="str">
        <x:v>GET /analysis-runs/{runId}</x:v>
      </x:c>
      <x:c r="F26" s="56" t="str">
        <x:v>API-03</x:v>
      </x:c>
      <x:c r="G26" s="56" t="str">
        <x:v>Queued/running/failed/cancelled</x:v>
      </x:c>
    </x:row>
    <x:row r="27" ht="15" hidden="0" customHeight="1">
      <x:c r="A27" s="56" t="str">
        <x:v>UI-23</x:v>
      </x:c>
      <x:c r="B27" s="56" t="str">
        <x:v>Thư viện báo cáo</x:v>
      </x:c>
      <x:c r="C27" s="56" t="str">
        <x:v>/app/reports</x:v>
      </x:c>
      <x:c r="D27" s="56" t="str">
        <x:v>user</x:v>
      </x:c>
      <x:c r="E27" s="56" t="str">
        <x:v>GET /subjects/{subjectId}/reports</x:v>
      </x:c>
      <x:c r="F27" s="56" t="str">
        <x:v>WEB-08</x:v>
      </x:c>
      <x:c r="G27" s="56" t="str">
        <x:v>No report/stale/withdrawn</x:v>
      </x:c>
    </x:row>
    <x:row r="28" ht="15" hidden="0" customHeight="1">
      <x:c r="A28" s="56" t="str">
        <x:v>UI-24</x:v>
      </x:c>
      <x:c r="B28" s="56" t="str">
        <x:v>Đọc báo cáo</x:v>
      </x:c>
      <x:c r="C28" s="56" t="str">
        <x:v>/app/reports/:id</x:v>
      </x:c>
      <x:c r="D28" s="56" t="str">
        <x:v>user</x:v>
      </x:c>
      <x:c r="E28" s="56" t="str">
        <x:v>GET /reports/{reportId}</x:v>
      </x:c>
      <x:c r="F28" s="56" t="str">
        <x:v>REPORT-05</x:v>
      </x:c>
      <x:c r="G28" s="56" t="str">
        <x:v>Typedclaim/commoncontent separated</x:v>
      </x:c>
    </x:row>
    <x:row r="29" ht="15" hidden="0" customHeight="1">
      <x:c r="A29" s="56" t="str">
        <x:v>UI-25</x:v>
      </x:c>
      <x:c r="B29" s="56" t="str">
        <x:v>So sánh revisions</x:v>
      </x:c>
      <x:c r="C29" s="56" t="str">
        <x:v>/app/reports/:id/versions</x:v>
      </x:c>
      <x:c r="D29" s="56" t="str">
        <x:v>user</x:v>
      </x:c>
      <x:c r="E29" s="56" t="str">
        <x:v>GET /reports/{reportId}/revisions</x:v>
      </x:c>
      <x:c r="F29" s="56" t="str">
        <x:v>REPORT-09</x:v>
      </x:c>
      <x:c r="G29" s="56" t="str">
        <x:v>Changed/notcomparable</x:v>
      </x:c>
    </x:row>
    <x:row r="30" ht="15" hidden="0" customHeight="1">
      <x:c r="A30" s="56" t="str">
        <x:v>UI-26</x:v>
      </x:c>
      <x:c r="B30" s="56" t="str">
        <x:v>Xuất/tải</x:v>
      </x:c>
      <x:c r="C30" s="56" t="str">
        <x:v>/app/reports/:id/export</x:v>
      </x:c>
      <x:c r="D30" s="56" t="str">
        <x:v>user</x:v>
      </x:c>
      <x:c r="E30" s="56" t="str">
        <x:v>POST /reports/{reportId}/exports</x:v>
      </x:c>
      <x:c r="F30" s="56" t="str">
        <x:v>REPORT-06</x:v>
      </x:c>
      <x:c r="G30" s="56" t="str">
        <x:v>Queued/ready/expired/denied</x:v>
      </x:c>
    </x:row>
    <x:row r="31" ht="15" hidden="0" customHeight="1">
      <x:c r="A31" s="56" t="str">
        <x:v>UI-27</x:v>
      </x:c>
      <x:c r="B31" s="56" t="str">
        <x:v>Đơn hàng</x:v>
      </x:c>
      <x:c r="C31" s="56" t="str">
        <x:v>/app/orders</x:v>
      </x:c>
      <x:c r="D31" s="56" t="str">
        <x:v>user</x:v>
      </x:c>
      <x:c r="E31" s="56" t="str">
        <x:v>POST /orders</x:v>
      </x:c>
      <x:c r="F31" s="56" t="str">
        <x:v>COMMERCE-01</x:v>
      </x:c>
      <x:c r="G31" s="56" t="str">
        <x:v>Pricechanged/missingdata</x:v>
      </x:c>
    </x:row>
    <x:row r="32" ht="15" hidden="0" customHeight="1">
      <x:c r="A32" s="56" t="str">
        <x:v>UI-28</x:v>
      </x:c>
      <x:c r="B32" s="56" t="str">
        <x:v>Thanh toán</x:v>
      </x:c>
      <x:c r="C32" s="56" t="str">
        <x:v>/app/checkout/:id</x:v>
      </x:c>
      <x:c r="D32" s="56" t="str">
        <x:v>user</x:v>
      </x:c>
      <x:c r="E32" s="56" t="str">
        <x:v>POST /orders/{orderId}/checkout</x:v>
      </x:c>
      <x:c r="F32" s="56" t="str">
        <x:v>COMMERCE-03</x:v>
      </x:c>
      <x:c r="G32" s="56" t="str">
        <x:v>Pending/failed/serverconfirmed</x:v>
      </x:c>
    </x:row>
    <x:row r="33" ht="15" hidden="0" customHeight="1">
      <x:c r="A33" s="56" t="str">
        <x:v>UI-29</x:v>
      </x:c>
      <x:c r="B33" s="56" t="str">
        <x:v>Quyền dịch vụ</x:v>
      </x:c>
      <x:c r="C33" s="56" t="str">
        <x:v>/app/subscription</x:v>
      </x:c>
      <x:c r="D33" s="56" t="str">
        <x:v>user</x:v>
      </x:c>
      <x:c r="E33" s="56" t="str">
        <x:v>GET /entitlements</x:v>
      </x:c>
      <x:c r="F33" s="56" t="str">
        <x:v>COMMERCE-05</x:v>
      </x:c>
      <x:c r="G33" s="56" t="str">
        <x:v>Expired/cancelled/freefallback</x:v>
      </x:c>
    </x:row>
    <x:row r="34" ht="15" hidden="0" customHeight="1">
      <x:c r="A34" s="56" t="str">
        <x:v>UI-30</x:v>
      </x:c>
      <x:c r="B34" s="56" t="str">
        <x:v>Hỗ trợ</x:v>
      </x:c>
      <x:c r="C34" s="56" t="str">
        <x:v>/app/support</x:v>
      </x:c>
      <x:c r="D34" s="56" t="str">
        <x:v>user</x:v>
      </x:c>
      <x:c r="E34" s="56" t="str">
        <x:v>POST /support/tickets</x:v>
      </x:c>
      <x:c r="F34" s="56" t="str">
        <x:v>COMMERCE-08</x:v>
      </x:c>
      <x:c r="G34" s="56" t="str">
        <x:v>Escalated/noPIneeded</x:v>
      </x:c>
    </x:row>
    <x:row r="35" ht="15" hidden="0" customHeight="1">
      <x:c r="A35" s="56" t="str">
        <x:v>UI-31</x:v>
      </x:c>
      <x:c r="B35" s="56" t="str">
        <x:v>Xuất dữ liệu</x:v>
      </x:c>
      <x:c r="C35" s="56" t="str">
        <x:v>/app/privacy/export</x:v>
      </x:c>
      <x:c r="D35" s="56" t="str">
        <x:v>user</x:v>
      </x:c>
      <x:c r="E35" s="56" t="str">
        <x:v>POST /subjects/{subjectId}/data-exports</x:v>
      </x:c>
      <x:c r="F35" s="56" t="str">
        <x:v>DATA-09</x:v>
      </x:c>
      <x:c r="G35" s="56" t="str">
        <x:v>Alwaysfree/progress</x:v>
      </x:c>
    </x:row>
    <x:row r="36" ht="15" hidden="0" customHeight="1">
      <x:c r="A36" s="56" t="str">
        <x:v>UI-32</x:v>
      </x:c>
      <x:c r="B36" s="56" t="str">
        <x:v>Yêu cầu xóa</x:v>
      </x:c>
      <x:c r="C36" s="56" t="str">
        <x:v>/app/privacy/delete</x:v>
      </x:c>
      <x:c r="D36" s="56" t="str">
        <x:v>user</x:v>
      </x:c>
      <x:c r="E36" s="56" t="str">
        <x:v>POST /subjects/{subjectId}/deletion-jobs</x:v>
      </x:c>
      <x:c r="F36" s="56" t="str">
        <x:v>DATA-07</x:v>
      </x:c>
      <x:c r="G36" s="56" t="str">
        <x:v>Hold/pending/complete/backupexpiry</x:v>
      </x:c>
    </x:row>
    <x:row r="37" ht="15" hidden="0" customHeight="1">
      <x:c r="A37" s="56" t="str">
        <x:v>UI-33</x:v>
      </x:c>
      <x:c r="B37" s="56" t="str">
        <x:v>Trung tâm tự động</x:v>
      </x:c>
      <x:c r="C37" s="56" t="str">
        <x:v>/app/automations</x:v>
      </x:c>
      <x:c r="D37" s="56" t="str">
        <x:v>user</x:v>
      </x:c>
      <x:c r="E37" s="56" t="str">
        <x:v>POST /automations</x:v>
      </x:c>
      <x:c r="F37" s="56" t="str">
        <x:v>AI-10</x:v>
      </x:c>
      <x:c r="G37" s="56" t="str">
        <x:v>Off/optin/capped/stopped</x:v>
      </x:c>
    </x:row>
    <x:row r="38" ht="15" hidden="0" customHeight="1">
      <x:c r="A38" s="56" t="str">
        <x:v>UI-34</x:v>
      </x:c>
      <x:c r="B38" s="56" t="str">
        <x:v>Gia đình</x:v>
      </x:c>
      <x:c r="C38" s="56" t="str">
        <x:v>/family</x:v>
      </x:c>
      <x:c r="D38" s="56" t="str">
        <x:v>authorized_adults</x:v>
      </x:c>
      <x:c r="E38" s="56" t="str">
        <x:v>GET /subjects</x:v>
      </x:c>
      <x:c r="F38" s="56" t="str">
        <x:v>EXPAND-05</x:v>
      </x:c>
      <x:c r="G38" s="56" t="str">
        <x:v>No blanketguardianaccess</x:v>
      </x:c>
    </x:row>
    <x:row r="39" ht="15" hidden="0" customHeight="1">
      <x:c r="A39" s="56" t="str">
        <x:v>UI-35</x:v>
      </x:c>
      <x:c r="B39" s="56" t="str">
        <x:v>Case chuyên gia</x:v>
      </x:c>
      <x:c r="C39" s="56" t="str">
        <x:v>/practice/cases</x:v>
      </x:c>
      <x:c r="D39" s="56" t="str">
        <x:v>practitioner</x:v>
      </x:c>
      <x:c r="E39" s="56" t="str">
        <x:v>GET /practice/cases</x:v>
      </x:c>
      <x:c r="F39" s="56" t="str">
        <x:v>ACADEMY-05</x:v>
      </x:c>
      <x:c r="G39" s="56" t="str">
        <x:v>Grantmissing/expired/closed</x:v>
      </x:c>
    </x:row>
    <x:row r="40" ht="15" hidden="0" customHeight="1">
      <x:c r="A40" s="56" t="str">
        <x:v>UI-36</x:v>
      </x:c>
      <x:c r="B40" s="56" t="str">
        <x:v>Duyệt báo cáo</x:v>
      </x:c>
      <x:c r="C40" s="56" t="str">
        <x:v>/practice/reviews/:id</x:v>
      </x:c>
      <x:c r="D40" s="56" t="str">
        <x:v>reviewer</x:v>
      </x:c>
      <x:c r="E40" s="56" t="str">
        <x:v>POST /reports/{reportId}/reviews</x:v>
      </x:c>
      <x:c r="F40" s="56" t="str">
        <x:v>REPORT-10</x:v>
      </x:c>
      <x:c r="G40" s="56" t="str">
        <x:v>Draft/revise/approved no direct publish</x:v>
      </x:c>
    </x:row>
    <x:row r="41" ht="15" hidden="0" customHeight="1">
      <x:c r="A41" s="56" t="str">
        <x:v>UI-37</x:v>
      </x:c>
      <x:c r="B41" s="56" t="str">
        <x:v>Academy</x:v>
      </x:c>
      <x:c r="C41" s="56" t="str">
        <x:v>/academy</x:v>
      </x:c>
      <x:c r="D41" s="56" t="str">
        <x:v>guest/user</x:v>
      </x:c>
      <x:c r="E41" s="56" t="str">
        <x:v>GET /academy/courses</x:v>
      </x:c>
      <x:c r="F41" s="56" t="str">
        <x:v>ACADEMY-01</x:v>
      </x:c>
      <x:c r="G41" s="56" t="str">
        <x:v>Planned/open/closedcohort</x:v>
      </x:c>
    </x:row>
    <x:row r="42" ht="15" hidden="0" customHeight="1">
      <x:c r="A42" s="56" t="str">
        <x:v>UI-38</x:v>
      </x:c>
      <x:c r="B42" s="56" t="str">
        <x:v>Học bài</x:v>
      </x:c>
      <x:c r="C42" s="56" t="str">
        <x:v>/academy/learn/:id</x:v>
      </x:c>
      <x:c r="D42" s="56" t="str">
        <x:v>enrolled</x:v>
      </x:c>
      <x:c r="E42" s="56" t="str">
        <x:v>POST /academy/assignments</x:v>
      </x:c>
      <x:c r="F42" s="56" t="str">
        <x:v>ACADEMY-03</x:v>
      </x:c>
      <x:c r="G42" s="56" t="str">
        <x:v>Lockedbyenrollment notprivateprofile</x:v>
      </x:c>
    </x:row>
    <x:row r="43" ht="15" hidden="0" customHeight="1">
      <x:c r="A43" s="56" t="str">
        <x:v>UI-39</x:v>
      </x:c>
      <x:c r="B43" s="56" t="str">
        <x:v>Chứng nhận</x:v>
      </x:c>
      <x:c r="C43" s="56" t="str">
        <x:v>/academy/verify/:id</x:v>
      </x:c>
      <x:c r="D43" s="56" t="str">
        <x:v>public_minimal</x:v>
      </x:c>
      <x:c r="E43" s="56" t="str">
        <x:v>GET /certificates/{certificateId}</x:v>
      </x:c>
      <x:c r="F43" s="56" t="str">
        <x:v>ACADEMY-06</x:v>
      </x:c>
      <x:c r="G43" s="56" t="str">
        <x:v>Valid/expired/revoked minimumPI</x:v>
      </x:c>
    </x:row>
    <x:row r="44" ht="15" hidden="0" customHeight="1">
      <x:c r="A44" s="56" t="str">
        <x:v>UI-40</x:v>
      </x:c>
      <x:c r="B44" s="56" t="str">
        <x:v>Workspace</x:v>
      </x:c>
      <x:c r="C44" s="56" t="str">
        <x:v>/workspace</x:v>
      </x:c>
      <x:c r="D44" s="56" t="str">
        <x:v>organization_member</x:v>
      </x:c>
      <x:c r="E44" s="56" t="str">
        <x:v>GET /organizations/{organizationId}/overview</x:v>
      </x:c>
      <x:c r="F44" s="56" t="str">
        <x:v>EXPAND-08</x:v>
      </x:c>
      <x:c r="G44" s="56" t="str">
        <x:v>No journal/morphology analytics</x:v>
      </x:c>
    </x:row>
    <x:row r="45" ht="15" hidden="0" customHeight="1">
      <x:c r="A45" s="56" t="str">
        <x:v>UI-41</x:v>
      </x:c>
      <x:c r="B45" s="56" t="str">
        <x:v>Partner</x:v>
      </x:c>
      <x:c r="C45" s="56" t="str">
        <x:v>/partner</x:v>
      </x:c>
      <x:c r="D45" s="56" t="str">
        <x:v>licensed_partner</x:v>
      </x:c>
      <x:c r="E45" s="56" t="str">
        <x:v>GET /partners/{partnerId}</x:v>
      </x:c>
      <x:c r="F45" s="56" t="str">
        <x:v>GLOBAL-05</x:v>
      </x:c>
      <x:c r="G45" s="56" t="str">
        <x:v>Suspended/countrynotapproved</x:v>
      </x:c>
    </x:row>
    <x:row r="46" ht="15" hidden="0" customHeight="1">
      <x:c r="A46" s="56" t="str">
        <x:v>UI-42</x:v>
      </x:c>
      <x:c r="B46" s="56" t="str">
        <x:v>Nguồn/phương pháp Admin</x:v>
      </x:c>
      <x:c r="C46" s="56" t="str">
        <x:v>/admin/methods</x:v>
      </x:c>
      <x:c r="D46" s="56" t="str">
        <x:v>method_editor</x:v>
      </x:c>
      <x:c r="E46" s="56" t="str">
        <x:v>POST /admin/method-releases</x:v>
      </x:c>
      <x:c r="F46" s="56" t="str">
        <x:v>METHOD-10</x:v>
      </x:c>
      <x:c r="G46" s="56" t="str">
        <x:v>Reviewer segregation required</x:v>
      </x:c>
    </x:row>
    <x:row r="47" ht="15" hidden="0" customHeight="1">
      <x:c r="A47" s="56" t="str">
        <x:v>UI-43</x:v>
      </x:c>
      <x:c r="B47" s="56" t="str">
        <x:v>Quality center</x:v>
      </x:c>
      <x:c r="C47" s="56" t="str">
        <x:v>/admin/quality</x:v>
      </x:c>
      <x:c r="D47" s="56" t="str">
        <x:v>quality_reviewer</x:v>
      </x:c>
      <x:c r="E47" s="56" t="str">
        <x:v>GET /admin/quality</x:v>
      </x:c>
      <x:c r="F47" s="56" t="str">
        <x:v>OPS-08</x:v>
      </x:c>
      <x:c r="G47" s="56" t="str">
        <x:v>No universalPIaccess</x:v>
      </x:c>
    </x:row>
    <x:row r="48" ht="15" hidden="0" customHeight="1">
      <x:c r="A48" s="56" t="str">
        <x:v>UI-44</x:v>
      </x:c>
      <x:c r="B48" s="56" t="str">
        <x:v>Ops center</x:v>
      </x:c>
      <x:c r="C48" s="56" t="str">
        <x:v>/admin/operations</x:v>
      </x:c>
      <x:c r="D48" s="56" t="str">
        <x:v>ops</x:v>
      </x:c>
      <x:c r="E48" s="56" t="str">
        <x:v>GET /admin/operations</x:v>
      </x:c>
      <x:c r="F48" s="56" t="str">
        <x:v>OPS-04</x:v>
      </x:c>
      <x:c r="G48" s="56" t="str">
        <x:v>Kill switches A3approval</x:v>
      </x:c>
    </x:row>
    <x:row r="49" ht="15" hidden="0" customHeight="1">
      <x:c r="A49" s="56" t="str">
        <x:v>UI-45</x:v>
      </x:c>
      <x:c r="B49" s="56" t="str">
        <x:v>Rights/legal center</x:v>
      </x:c>
      <x:c r="C49" s="56" t="str">
        <x:v>/admin/rights</x:v>
      </x:c>
      <x:c r="D49" s="56" t="str">
        <x:v>legal</x:v>
      </x:c>
      <x:c r="E49" s="56" t="str">
        <x:v>POST /admin/country-packs</x:v>
      </x:c>
      <x:c r="F49" s="56" t="str">
        <x:v>GLOBAL-01</x:v>
      </x:c>
      <x:c r="G49" s="56" t="str">
        <x:v>Pending/expired/restricted</x:v>
      </x:c>
    </x:row>
    <x:row r="50" ht="15" hidden="0" customHeight="1">
      <x:c r="A50" s="70"/>
      <x:c r="B50" s="70"/>
      <x:c r="C50" s="70"/>
      <x:c r="D50" s="70"/>
      <x:c r="E50" s="70"/>
      <x:c r="F50" s="70"/>
      <x:c r="G50" s="70"/>
    </x:row>
    <x:row r="51" ht="15" hidden="0" customHeight="1">
      <x:c r="A51" s="70"/>
      <x:c r="B51" s="70"/>
      <x:c r="C51" s="70"/>
      <x:c r="D51" s="70"/>
      <x:c r="E51" s="70"/>
      <x:c r="F51" s="70"/>
      <x:c r="G51" s="70"/>
    </x:row>
    <x:row r="52" ht="15" hidden="0" customHeight="1">
      <x:c r="A52" s="70"/>
      <x:c r="B52" s="70"/>
      <x:c r="C52" s="70"/>
      <x:c r="D52" s="70"/>
      <x:c r="E52" s="70"/>
      <x:c r="F52" s="70"/>
      <x:c r="G52" s="70"/>
    </x:row>
    <x:row r="53" ht="15" hidden="0" customHeight="1">
      <x:c r="A53" s="70"/>
      <x:c r="B53" s="70"/>
      <x:c r="C53" s="70"/>
      <x:c r="D53" s="70"/>
      <x:c r="E53" s="70"/>
      <x:c r="F53" s="70"/>
      <x:c r="G53" s="70"/>
    </x:row>
    <x:row r="54" ht="15" hidden="0" customHeight="1">
      <x:c r="A54" s="70"/>
      <x:c r="B54" s="70"/>
      <x:c r="C54" s="70"/>
      <x:c r="D54" s="70"/>
      <x:c r="E54" s="70"/>
      <x:c r="F54" s="70"/>
      <x:c r="G54" s="70"/>
    </x:row>
    <x:row r="55" ht="15" hidden="0" customHeight="1">
      <x:c r="A55" s="70"/>
      <x:c r="B55" s="70"/>
      <x:c r="C55" s="70"/>
      <x:c r="D55" s="70"/>
      <x:c r="E55" s="70"/>
      <x:c r="F55" s="70"/>
      <x:c r="G55" s="70"/>
    </x:row>
    <x:row r="56" ht="15" hidden="0" customHeight="1">
      <x:c r="A56" s="70"/>
      <x:c r="B56" s="70"/>
      <x:c r="C56" s="70"/>
      <x:c r="D56" s="70"/>
      <x:c r="E56" s="70"/>
      <x:c r="F56" s="70"/>
      <x:c r="G56" s="70"/>
    </x:row>
    <x:row r="57" ht="15" hidden="0" customHeight="1">
      <x:c r="A57" s="70"/>
      <x:c r="B57" s="70"/>
      <x:c r="C57" s="70"/>
      <x:c r="D57" s="70"/>
      <x:c r="E57" s="70"/>
      <x:c r="F57" s="70"/>
      <x:c r="G57" s="70"/>
    </x:row>
    <x:row r="58" ht="15" hidden="0" customHeight="1">
      <x:c r="A58" s="70"/>
      <x:c r="B58" s="70"/>
      <x:c r="C58" s="70"/>
      <x:c r="D58" s="70"/>
      <x:c r="E58" s="70"/>
      <x:c r="F58" s="70"/>
      <x:c r="G58" s="70"/>
    </x:row>
    <x:row r="59" ht="15" hidden="0" customHeight="1">
      <x:c r="A59" s="70"/>
      <x:c r="B59" s="70"/>
      <x:c r="C59" s="70"/>
      <x:c r="D59" s="70"/>
      <x:c r="E59" s="70"/>
      <x:c r="F59" s="70"/>
      <x:c r="G59" s="70"/>
    </x:row>
    <x:row r="60" ht="15" hidden="0" customHeight="1">
      <x:c r="A60" s="70"/>
      <x:c r="B60" s="70"/>
      <x:c r="C60" s="70"/>
      <x:c r="D60" s="70"/>
      <x:c r="E60" s="70"/>
      <x:c r="F60" s="70"/>
      <x:c r="G60" s="70"/>
    </x:row>
    <x:row r="61" ht="15" hidden="0" customHeight="1">
      <x:c r="A61" s="70"/>
      <x:c r="B61" s="70"/>
      <x:c r="C61" s="70"/>
      <x:c r="D61" s="70"/>
      <x:c r="E61" s="70"/>
      <x:c r="F61" s="70"/>
      <x:c r="G61" s="70"/>
    </x:row>
    <x:row r="62" ht="15" hidden="0" customHeight="1">
      <x:c r="A62" s="70"/>
      <x:c r="B62" s="70"/>
      <x:c r="C62" s="70"/>
      <x:c r="D62" s="70"/>
      <x:c r="E62" s="70"/>
      <x:c r="F62" s="70"/>
      <x:c r="G62" s="70"/>
    </x:row>
    <x:row r="63" ht="15" hidden="0" customHeight="1">
      <x:c r="A63" s="70"/>
      <x:c r="B63" s="70"/>
      <x:c r="C63" s="70"/>
      <x:c r="D63" s="70"/>
      <x:c r="E63" s="70"/>
      <x:c r="F63" s="70"/>
      <x:c r="G63" s="70"/>
    </x:row>
    <x:row r="64" ht="15" hidden="0" customHeight="1">
      <x:c r="A64" s="70"/>
      <x:c r="B64" s="70"/>
      <x:c r="C64" s="70"/>
      <x:c r="D64" s="70"/>
      <x:c r="E64" s="70"/>
      <x:c r="F64" s="70"/>
      <x:c r="G64" s="70"/>
    </x:row>
    <x:row r="65" ht="15" hidden="0" customHeight="1">
      <x:c r="A65" s="70"/>
      <x:c r="B65" s="70"/>
      <x:c r="C65" s="70"/>
      <x:c r="D65" s="70"/>
      <x:c r="E65" s="70"/>
      <x:c r="F65" s="70"/>
      <x:c r="G65" s="70"/>
    </x:row>
    <x:row r="66" ht="15" hidden="0" customHeight="1">
      <x:c r="A66" s="70"/>
      <x:c r="B66" s="70"/>
      <x:c r="C66" s="70"/>
      <x:c r="D66" s="70"/>
      <x:c r="E66" s="70"/>
      <x:c r="F66" s="70"/>
      <x:c r="G66" s="70"/>
    </x:row>
    <x:row r="67" ht="15" hidden="0" customHeight="1">
      <x:c r="A67" s="70"/>
      <x:c r="B67" s="70"/>
      <x:c r="C67" s="70"/>
      <x:c r="D67" s="70"/>
      <x:c r="E67" s="70"/>
      <x:c r="F67" s="70"/>
      <x:c r="G67" s="70"/>
    </x:row>
    <x:row r="68" ht="15" hidden="0" customHeight="1">
      <x:c r="A68" s="70"/>
      <x:c r="B68" s="70"/>
      <x:c r="C68" s="70"/>
      <x:c r="D68" s="70"/>
      <x:c r="E68" s="70"/>
      <x:c r="F68" s="70"/>
      <x:c r="G68" s="70"/>
    </x:row>
    <x:row r="69" ht="15" hidden="0" customHeight="1">
      <x:c r="A69" s="70"/>
      <x:c r="B69" s="70"/>
      <x:c r="C69" s="70"/>
      <x:c r="D69" s="70"/>
      <x:c r="E69" s="70"/>
      <x:c r="F69" s="70"/>
      <x:c r="G69" s="70"/>
    </x:row>
    <x:row r="70" ht="15" hidden="0" customHeight="1">
      <x:c r="A70" s="70"/>
      <x:c r="B70" s="70"/>
      <x:c r="C70" s="70"/>
      <x:c r="D70" s="70"/>
      <x:c r="E70" s="70"/>
      <x:c r="F70" s="70"/>
      <x:c r="G70" s="70"/>
    </x:row>
    <x:row r="71" ht="15" hidden="0" customHeight="1">
      <x:c r="A71" s="70"/>
      <x:c r="B71" s="70"/>
      <x:c r="C71" s="70"/>
      <x:c r="D71" s="70"/>
      <x:c r="E71" s="70"/>
      <x:c r="F71" s="70"/>
      <x:c r="G71" s="70"/>
    </x:row>
    <x:row r="72" ht="15" hidden="0" customHeight="1">
      <x:c r="A72" s="70"/>
      <x:c r="B72" s="70"/>
      <x:c r="C72" s="70"/>
      <x:c r="D72" s="70"/>
      <x:c r="E72" s="70"/>
      <x:c r="F72" s="70"/>
      <x:c r="G72" s="70"/>
    </x:row>
    <x:row r="73" ht="15" hidden="0" customHeight="1">
      <x:c r="A73" s="70"/>
      <x:c r="B73" s="70"/>
      <x:c r="C73" s="70"/>
      <x:c r="D73" s="70"/>
      <x:c r="E73" s="70"/>
      <x:c r="F73" s="70"/>
      <x:c r="G73" s="70"/>
    </x:row>
    <x:row r="74" ht="15" hidden="0" customHeight="1">
      <x:c r="A74" s="70"/>
      <x:c r="B74" s="70"/>
      <x:c r="C74" s="70"/>
      <x:c r="D74" s="70"/>
      <x:c r="E74" s="70"/>
      <x:c r="F74" s="70"/>
      <x:c r="G74" s="70"/>
    </x:row>
    <x:row r="75" ht="15" hidden="0" customHeight="1">
      <x:c r="A75" s="70"/>
      <x:c r="B75" s="70"/>
      <x:c r="C75" s="70"/>
      <x:c r="D75" s="70"/>
      <x:c r="E75" s="70"/>
      <x:c r="F75" s="70"/>
      <x:c r="G75" s="70"/>
    </x:row>
    <x:row r="76" ht="15" hidden="0" customHeight="1">
      <x:c r="A76" s="70"/>
      <x:c r="B76" s="70"/>
      <x:c r="C76" s="70"/>
      <x:c r="D76" s="70"/>
      <x:c r="E76" s="70"/>
      <x:c r="F76" s="70"/>
      <x:c r="G76" s="70"/>
    </x:row>
    <x:row r="77" ht="15" hidden="0" customHeight="1">
      <x:c r="A77" s="70"/>
      <x:c r="B77" s="70"/>
      <x:c r="C77" s="70"/>
      <x:c r="D77" s="70"/>
      <x:c r="E77" s="70"/>
      <x:c r="F77" s="70"/>
      <x:c r="G77" s="70"/>
    </x:row>
    <x:row r="78" ht="15" hidden="0" customHeight="1">
      <x:c r="A78" s="70"/>
      <x:c r="B78" s="70"/>
      <x:c r="C78" s="70"/>
      <x:c r="D78" s="70"/>
      <x:c r="E78" s="70"/>
      <x:c r="F78" s="70"/>
      <x:c r="G78" s="70"/>
    </x:row>
    <x:row r="79" ht="15" hidden="0" customHeight="1">
      <x:c r="A79" s="70"/>
      <x:c r="B79" s="70"/>
      <x:c r="C79" s="70"/>
      <x:c r="D79" s="70"/>
      <x:c r="E79" s="70"/>
      <x:c r="F79" s="70"/>
      <x:c r="G79" s="70"/>
    </x:row>
    <x:row r="80" ht="15" hidden="0" customHeight="1">
      <x:c r="A80" s="70"/>
      <x:c r="B80" s="70"/>
      <x:c r="C80" s="70"/>
      <x:c r="D80" s="70"/>
      <x:c r="E80" s="70"/>
      <x:c r="F80" s="70"/>
      <x:c r="G80" s="70"/>
    </x:row>
    <x:row r="81" ht="15" hidden="0" customHeight="1">
      <x:c r="A81" s="70"/>
      <x:c r="B81" s="70"/>
      <x:c r="C81" s="70"/>
      <x:c r="D81" s="70"/>
      <x:c r="E81" s="70"/>
      <x:c r="F81" s="70"/>
      <x:c r="G81" s="70"/>
    </x:row>
    <x:row r="82" ht="15" hidden="0" customHeight="1">
      <x:c r="A82" s="70"/>
      <x:c r="B82" s="70"/>
      <x:c r="C82" s="70"/>
      <x:c r="D82" s="70"/>
      <x:c r="E82" s="70"/>
      <x:c r="F82" s="70"/>
      <x:c r="G82" s="70"/>
    </x:row>
    <x:row r="83" ht="15" hidden="0" customHeight="1">
      <x:c r="A83" s="70"/>
      <x:c r="B83" s="70"/>
      <x:c r="C83" s="70"/>
      <x:c r="D83" s="70"/>
      <x:c r="E83" s="70"/>
      <x:c r="F83" s="70"/>
      <x:c r="G83" s="70"/>
    </x:row>
    <x:row r="84" ht="15" hidden="0" customHeight="1">
      <x:c r="A84" s="70"/>
      <x:c r="B84" s="70"/>
      <x:c r="C84" s="70"/>
      <x:c r="D84" s="70"/>
      <x:c r="E84" s="70"/>
      <x:c r="F84" s="70"/>
      <x:c r="G84" s="70"/>
    </x:row>
    <x:row r="85" ht="15" hidden="0" customHeight="1">
      <x:c r="A85" s="70"/>
      <x:c r="B85" s="70"/>
      <x:c r="C85" s="70"/>
      <x:c r="D85" s="70"/>
      <x:c r="E85" s="70"/>
      <x:c r="F85" s="70"/>
      <x:c r="G85" s="70"/>
    </x:row>
    <x:row r="86" ht="15" hidden="0" customHeight="1">
      <x:c r="A86" s="70"/>
      <x:c r="B86" s="70"/>
      <x:c r="C86" s="70"/>
      <x:c r="D86" s="70"/>
      <x:c r="E86" s="70"/>
      <x:c r="F86" s="70"/>
      <x:c r="G86" s="70"/>
    </x:row>
    <x:row r="87" ht="15" hidden="0" customHeight="1">
      <x:c r="A87" s="70"/>
      <x:c r="B87" s="70"/>
      <x:c r="C87" s="70"/>
      <x:c r="D87" s="70"/>
      <x:c r="E87" s="70"/>
      <x:c r="F87" s="70"/>
      <x:c r="G87" s="70"/>
    </x:row>
    <x:row r="88" ht="15" hidden="0" customHeight="1">
      <x:c r="A88" s="70"/>
      <x:c r="B88" s="70"/>
      <x:c r="C88" s="70"/>
      <x:c r="D88" s="70"/>
      <x:c r="E88" s="70"/>
      <x:c r="F88" s="70"/>
      <x:c r="G88" s="70"/>
    </x:row>
    <x:row r="89" ht="15" hidden="0" customHeight="1">
      <x:c r="A89" s="70"/>
      <x:c r="B89" s="70"/>
      <x:c r="C89" s="70"/>
      <x:c r="D89" s="70"/>
      <x:c r="E89" s="70"/>
      <x:c r="F89" s="70"/>
      <x:c r="G89" s="70"/>
    </x:row>
    <x:row r="90" ht="15" hidden="0" customHeight="1">
      <x:c r="A90" s="70"/>
      <x:c r="B90" s="70"/>
      <x:c r="C90" s="70"/>
      <x:c r="D90" s="70"/>
      <x:c r="E90" s="70"/>
      <x:c r="F90" s="70"/>
      <x:c r="G90" s="70"/>
    </x:row>
    <x:row r="91" ht="15" hidden="0" customHeight="1">
      <x:c r="A91" s="70"/>
      <x:c r="B91" s="70"/>
      <x:c r="C91" s="70"/>
      <x:c r="D91" s="70"/>
      <x:c r="E91" s="70"/>
      <x:c r="F91" s="70"/>
      <x:c r="G91" s="70"/>
    </x:row>
    <x:row r="92" ht="15" hidden="0" customHeight="1">
      <x:c r="A92" s="70"/>
      <x:c r="B92" s="70"/>
      <x:c r="C92" s="70"/>
      <x:c r="D92" s="70"/>
      <x:c r="E92" s="70"/>
      <x:c r="F92" s="70"/>
      <x:c r="G92" s="70"/>
    </x:row>
    <x:row r="93" ht="15" hidden="0" customHeight="1">
      <x:c r="A93" s="70"/>
      <x:c r="B93" s="70"/>
      <x:c r="C93" s="70"/>
      <x:c r="D93" s="70"/>
      <x:c r="E93" s="70"/>
      <x:c r="F93" s="70"/>
      <x:c r="G93" s="70"/>
    </x:row>
    <x:row r="94" ht="15" hidden="0" customHeight="1">
      <x:c r="A94" s="70"/>
      <x:c r="B94" s="70"/>
      <x:c r="C94" s="70"/>
      <x:c r="D94" s="70"/>
      <x:c r="E94" s="70"/>
      <x:c r="F94" s="70"/>
      <x:c r="G94" s="70"/>
    </x:row>
    <x:row r="95" ht="15" hidden="0" customHeight="1">
      <x:c r="A95" s="70"/>
      <x:c r="B95" s="70"/>
      <x:c r="C95" s="70"/>
      <x:c r="D95" s="70"/>
      <x:c r="E95" s="70"/>
      <x:c r="F95" s="70"/>
      <x:c r="G95" s="70"/>
    </x:row>
    <x:row r="96" ht="15" hidden="0" customHeight="1">
      <x:c r="A96" s="70"/>
      <x:c r="B96" s="70"/>
      <x:c r="C96" s="70"/>
      <x:c r="D96" s="70"/>
      <x:c r="E96" s="70"/>
      <x:c r="F96" s="70"/>
      <x:c r="G96" s="70"/>
    </x:row>
    <x:row r="97" ht="15" hidden="0" customHeight="1">
      <x:c r="A97" s="70"/>
      <x:c r="B97" s="70"/>
      <x:c r="C97" s="70"/>
      <x:c r="D97" s="70"/>
      <x:c r="E97" s="70"/>
      <x:c r="F97" s="70"/>
      <x:c r="G97" s="70"/>
    </x:row>
    <x:row r="98" ht="15" hidden="0" customHeight="1">
      <x:c r="A98" s="70"/>
      <x:c r="B98" s="70"/>
      <x:c r="C98" s="70"/>
      <x:c r="D98" s="70"/>
      <x:c r="E98" s="70"/>
      <x:c r="F98" s="70"/>
      <x:c r="G98" s="70"/>
    </x:row>
    <x:row r="99" ht="15" hidden="0" customHeight="1">
      <x:c r="A99" s="70"/>
      <x:c r="B99" s="70"/>
      <x:c r="C99" s="70"/>
      <x:c r="D99" s="70"/>
      <x:c r="E99" s="70"/>
      <x:c r="F99" s="70"/>
      <x:c r="G99" s="70"/>
    </x:row>
    <x:row r="100" ht="15" hidden="0" customHeight="1">
      <x:c r="A100" s="70"/>
      <x:c r="B100" s="70"/>
      <x:c r="C100" s="70"/>
      <x:c r="D100" s="70"/>
      <x:c r="E100" s="70"/>
      <x:c r="F100" s="70"/>
      <x:c r="G100" s="70"/>
    </x:row>
    <x:row r="101" ht="15" hidden="0" customHeight="1">
      <x:c r="A101" s="70"/>
      <x:c r="B101" s="70"/>
      <x:c r="C101" s="70"/>
      <x:c r="D101" s="70"/>
      <x:c r="E101" s="70"/>
      <x:c r="F101" s="70"/>
      <x:c r="G101" s="70"/>
    </x:row>
    <x:row r="102" ht="15" hidden="0" customHeight="1">
      <x:c r="A102" s="70"/>
      <x:c r="B102" s="70"/>
      <x:c r="C102" s="70"/>
      <x:c r="D102" s="70"/>
      <x:c r="E102" s="70"/>
      <x:c r="F102" s="70"/>
      <x:c r="G102" s="70"/>
    </x:row>
    <x:row r="103" ht="15" hidden="0" customHeight="1">
      <x:c r="A103" s="70"/>
      <x:c r="B103" s="70"/>
      <x:c r="C103" s="70"/>
      <x:c r="D103" s="70"/>
      <x:c r="E103" s="70"/>
      <x:c r="F103" s="70"/>
      <x:c r="G103" s="70"/>
    </x:row>
    <x:row r="104" ht="15" hidden="0" customHeight="1">
      <x:c r="A104" s="70"/>
      <x:c r="B104" s="70"/>
      <x:c r="C104" s="70"/>
      <x:c r="D104" s="70"/>
      <x:c r="E104" s="70"/>
      <x:c r="F104" s="70"/>
      <x:c r="G104" s="70"/>
    </x:row>
    <x:row r="105" ht="15" hidden="0" customHeight="1">
      <x:c r="A105" s="70"/>
      <x:c r="B105" s="70"/>
      <x:c r="C105" s="70"/>
      <x:c r="D105" s="70"/>
      <x:c r="E105" s="70"/>
      <x:c r="F105" s="70"/>
      <x:c r="G105" s="70"/>
    </x:row>
    <x:row r="106" ht="15" hidden="0" customHeight="1">
      <x:c r="A106" s="70"/>
      <x:c r="B106" s="70"/>
      <x:c r="C106" s="70"/>
      <x:c r="D106" s="70"/>
      <x:c r="E106" s="70"/>
      <x:c r="F106" s="70"/>
      <x:c r="G106" s="70"/>
    </x:row>
    <x:row r="107" ht="15" hidden="0" customHeight="1">
      <x:c r="A107" s="70"/>
      <x:c r="B107" s="70"/>
      <x:c r="C107" s="70"/>
      <x:c r="D107" s="70"/>
      <x:c r="E107" s="70"/>
      <x:c r="F107" s="70"/>
      <x:c r="G107" s="70"/>
    </x:row>
    <x:row r="108" ht="15" hidden="0" customHeight="1">
      <x:c r="A108" s="70"/>
      <x:c r="B108" s="70"/>
      <x:c r="C108" s="70"/>
      <x:c r="D108" s="70"/>
      <x:c r="E108" s="70"/>
      <x:c r="F108" s="70"/>
      <x:c r="G108" s="70"/>
    </x:row>
    <x:row r="109" ht="15" hidden="0" customHeight="1">
      <x:c r="A109" s="70"/>
      <x:c r="B109" s="70"/>
      <x:c r="C109" s="70"/>
      <x:c r="D109" s="70"/>
      <x:c r="E109" s="70"/>
      <x:c r="F109" s="70"/>
      <x:c r="G109" s="70"/>
    </x:row>
    <x:row r="110" ht="15" hidden="0" customHeight="1">
      <x:c r="A110" s="70"/>
      <x:c r="B110" s="70"/>
      <x:c r="C110" s="70"/>
      <x:c r="D110" s="70"/>
      <x:c r="E110" s="70"/>
      <x:c r="F110" s="70"/>
      <x:c r="G110" s="70"/>
    </x:row>
    <x:row r="111" ht="15" hidden="0" customHeight="1">
      <x:c r="A111" s="70"/>
      <x:c r="B111" s="70"/>
      <x:c r="C111" s="70"/>
      <x:c r="D111" s="70"/>
      <x:c r="E111" s="70"/>
      <x:c r="F111" s="70"/>
      <x:c r="G111" s="70"/>
    </x:row>
    <x:row r="112" ht="15" hidden="0" customHeight="1">
      <x:c r="A112" s="70"/>
      <x:c r="B112" s="70"/>
      <x:c r="C112" s="70"/>
      <x:c r="D112" s="70"/>
      <x:c r="E112" s="70"/>
      <x:c r="F112" s="70"/>
      <x:c r="G112" s="70"/>
    </x:row>
    <x:row r="113" ht="15" hidden="0" customHeight="1">
      <x:c r="A113" s="70"/>
      <x:c r="B113" s="70"/>
      <x:c r="C113" s="70"/>
      <x:c r="D113" s="70"/>
      <x:c r="E113" s="70"/>
      <x:c r="F113" s="70"/>
      <x:c r="G113" s="70"/>
    </x:row>
    <x:row r="114" ht="15" hidden="0" customHeight="1">
      <x:c r="A114" s="70"/>
      <x:c r="B114" s="70"/>
      <x:c r="C114" s="70"/>
      <x:c r="D114" s="70"/>
      <x:c r="E114" s="70"/>
      <x:c r="F114" s="70"/>
      <x:c r="G114" s="70"/>
    </x:row>
    <x:row r="115" ht="15" hidden="0" customHeight="1">
      <x:c r="A115" s="70"/>
      <x:c r="B115" s="70"/>
      <x:c r="C115" s="70"/>
      <x:c r="D115" s="70"/>
      <x:c r="E115" s="70"/>
      <x:c r="F115" s="70"/>
      <x:c r="G115" s="70"/>
    </x:row>
    <x:row r="116" ht="15" hidden="0" customHeight="1">
      <x:c r="A116" s="70"/>
      <x:c r="B116" s="70"/>
      <x:c r="C116" s="70"/>
      <x:c r="D116" s="70"/>
      <x:c r="E116" s="70"/>
      <x:c r="F116" s="70"/>
      <x:c r="G116" s="70"/>
    </x:row>
    <x:row r="117" ht="15" hidden="0" customHeight="1">
      <x:c r="A117" s="70"/>
      <x:c r="B117" s="70"/>
      <x:c r="C117" s="70"/>
      <x:c r="D117" s="70"/>
      <x:c r="E117" s="70"/>
      <x:c r="F117" s="70"/>
      <x:c r="G117" s="70"/>
    </x:row>
    <x:row r="118" ht="15" hidden="0" customHeight="1">
      <x:c r="A118" s="70"/>
      <x:c r="B118" s="70"/>
      <x:c r="C118" s="70"/>
      <x:c r="D118" s="70"/>
      <x:c r="E118" s="70"/>
      <x:c r="F118" s="70"/>
      <x:c r="G118" s="70"/>
    </x:row>
    <x:row r="119" ht="15" hidden="0" customHeight="1">
      <x:c r="A119" s="70"/>
      <x:c r="B119" s="70"/>
      <x:c r="C119" s="70"/>
      <x:c r="D119" s="70"/>
      <x:c r="E119" s="70"/>
      <x:c r="F119" s="70"/>
      <x:c r="G119" s="70"/>
    </x:row>
    <x:row r="120" ht="15" hidden="0" customHeight="1">
      <x:c r="A120" s="70"/>
      <x:c r="B120" s="70"/>
      <x:c r="C120" s="70"/>
      <x:c r="D120" s="70"/>
      <x:c r="E120" s="70"/>
      <x:c r="F120" s="70"/>
      <x:c r="G120" s="70"/>
    </x:row>
    <x:row r="121" ht="15" hidden="0" customHeight="1">
      <x:c r="A121" s="70"/>
      <x:c r="B121" s="70"/>
      <x:c r="C121" s="70"/>
      <x:c r="D121" s="70"/>
      <x:c r="E121" s="70"/>
      <x:c r="F121" s="70"/>
      <x:c r="G121" s="70"/>
    </x:row>
    <x:row r="122" ht="15" hidden="0" customHeight="1">
      <x:c r="A122" s="70"/>
      <x:c r="B122" s="70"/>
      <x:c r="C122" s="70"/>
      <x:c r="D122" s="70"/>
      <x:c r="E122" s="70"/>
      <x:c r="F122" s="70"/>
      <x:c r="G122" s="70"/>
    </x:row>
    <x:row r="123" ht="15" hidden="0" customHeight="1">
      <x:c r="A123" s="70"/>
      <x:c r="B123" s="70"/>
      <x:c r="C123" s="70"/>
      <x:c r="D123" s="70"/>
      <x:c r="E123" s="70"/>
      <x:c r="F123" s="70"/>
      <x:c r="G123" s="70"/>
    </x:row>
    <x:row r="124" ht="15" hidden="0" customHeight="1">
      <x:c r="A124" s="70"/>
      <x:c r="B124" s="70"/>
      <x:c r="C124" s="70"/>
      <x:c r="D124" s="70"/>
      <x:c r="E124" s="70"/>
      <x:c r="F124" s="70"/>
      <x:c r="G124" s="70"/>
    </x:row>
    <x:row r="125" ht="15" hidden="0" customHeight="1">
      <x:c r="A125" s="70"/>
      <x:c r="B125" s="70"/>
      <x:c r="C125" s="70"/>
      <x:c r="D125" s="70"/>
      <x:c r="E125" s="70"/>
      <x:c r="F125" s="70"/>
      <x:c r="G125" s="70"/>
    </x:row>
    <x:row r="126" ht="15" hidden="0" customHeight="1">
      <x:c r="A126" s="70"/>
      <x:c r="B126" s="70"/>
      <x:c r="C126" s="70"/>
      <x:c r="D126" s="70"/>
      <x:c r="E126" s="70"/>
      <x:c r="F126" s="70"/>
      <x:c r="G126" s="70"/>
    </x:row>
    <x:row r="127" ht="15" hidden="0" customHeight="1">
      <x:c r="A127" s="70"/>
      <x:c r="B127" s="70"/>
      <x:c r="C127" s="70"/>
      <x:c r="D127" s="70"/>
      <x:c r="E127" s="70"/>
      <x:c r="F127" s="70"/>
      <x:c r="G127" s="70"/>
    </x:row>
    <x:row r="128" ht="15" hidden="0" customHeight="1">
      <x:c r="A128" s="70"/>
      <x:c r="B128" s="70"/>
      <x:c r="C128" s="70"/>
      <x:c r="D128" s="70"/>
      <x:c r="E128" s="70"/>
      <x:c r="F128" s="70"/>
      <x:c r="G128" s="70"/>
    </x:row>
    <x:row r="129" ht="15" hidden="0" customHeight="1">
      <x:c r="A129" s="70"/>
      <x:c r="B129" s="70"/>
      <x:c r="C129" s="70"/>
      <x:c r="D129" s="70"/>
      <x:c r="E129" s="70"/>
      <x:c r="F129" s="70"/>
      <x:c r="G129" s="70"/>
    </x:row>
    <x:row r="130" ht="15" hidden="0" customHeight="1">
      <x:c r="A130" s="70"/>
      <x:c r="B130" s="70"/>
      <x:c r="C130" s="70"/>
      <x:c r="D130" s="70"/>
      <x:c r="E130" s="70"/>
      <x:c r="F130" s="70"/>
      <x:c r="G130" s="70"/>
    </x:row>
    <x:row r="131" ht="15" hidden="0" customHeight="1">
      <x:c r="A131" s="70"/>
      <x:c r="B131" s="70"/>
      <x:c r="C131" s="70"/>
      <x:c r="D131" s="70"/>
      <x:c r="E131" s="70"/>
      <x:c r="F131" s="70"/>
      <x:c r="G131" s="70"/>
    </x:row>
    <x:row r="132" ht="15" hidden="0" customHeight="1">
      <x:c r="A132" s="70"/>
      <x:c r="B132" s="70"/>
      <x:c r="C132" s="70"/>
      <x:c r="D132" s="70"/>
      <x:c r="E132" s="70"/>
      <x:c r="F132" s="70"/>
      <x:c r="G132" s="70"/>
    </x:row>
    <x:row r="133" ht="15" hidden="0" customHeight="1">
      <x:c r="A133" s="70"/>
      <x:c r="B133" s="70"/>
      <x:c r="C133" s="70"/>
      <x:c r="D133" s="70"/>
      <x:c r="E133" s="70"/>
      <x:c r="F133" s="70"/>
      <x:c r="G133" s="70"/>
    </x:row>
    <x:row r="134" ht="15" hidden="0" customHeight="1">
      <x:c r="A134" s="70"/>
      <x:c r="B134" s="70"/>
      <x:c r="C134" s="70"/>
      <x:c r="D134" s="70"/>
      <x:c r="E134" s="70"/>
      <x:c r="F134" s="70"/>
      <x:c r="G134" s="70"/>
    </x:row>
    <x:row r="135" ht="15" hidden="0" customHeight="1">
      <x:c r="A135" s="70"/>
      <x:c r="B135" s="70"/>
      <x:c r="C135" s="70"/>
      <x:c r="D135" s="70"/>
      <x:c r="E135" s="70"/>
      <x:c r="F135" s="70"/>
      <x:c r="G135" s="70"/>
    </x:row>
    <x:row r="136" ht="15" hidden="0" customHeight="1">
      <x:c r="A136" s="70"/>
      <x:c r="B136" s="70"/>
      <x:c r="C136" s="70"/>
      <x:c r="D136" s="70"/>
      <x:c r="E136" s="70"/>
      <x:c r="F136" s="70"/>
      <x:c r="G136" s="70"/>
    </x:row>
    <x:row r="137" ht="15" hidden="0" customHeight="1">
      <x:c r="A137" s="70"/>
      <x:c r="B137" s="70"/>
      <x:c r="C137" s="70"/>
      <x:c r="D137" s="70"/>
      <x:c r="E137" s="70"/>
      <x:c r="F137" s="70"/>
      <x:c r="G137" s="70"/>
    </x:row>
    <x:row r="138" ht="15" hidden="0" customHeight="1">
      <x:c r="A138" s="70"/>
      <x:c r="B138" s="70"/>
      <x:c r="C138" s="70"/>
      <x:c r="D138" s="70"/>
      <x:c r="E138" s="70"/>
      <x:c r="F138" s="70"/>
      <x:c r="G138" s="70"/>
    </x:row>
    <x:row r="139" ht="15" hidden="0" customHeight="1">
      <x:c r="A139" s="70"/>
      <x:c r="B139" s="70"/>
      <x:c r="C139" s="70"/>
      <x:c r="D139" s="70"/>
      <x:c r="E139" s="70"/>
      <x:c r="F139" s="70"/>
      <x:c r="G139" s="70"/>
    </x:row>
    <x:row r="140" ht="15" hidden="0" customHeight="1">
      <x:c r="A140" s="70"/>
      <x:c r="B140" s="70"/>
      <x:c r="C140" s="70"/>
      <x:c r="D140" s="70"/>
      <x:c r="E140" s="70"/>
      <x:c r="F140" s="70"/>
      <x:c r="G140" s="70"/>
    </x:row>
    <x:row r="141" ht="15" hidden="0" customHeight="1">
      <x:c r="A141" s="70"/>
      <x:c r="B141" s="70"/>
      <x:c r="C141" s="70"/>
      <x:c r="D141" s="70"/>
      <x:c r="E141" s="70"/>
      <x:c r="F141" s="70"/>
      <x:c r="G141" s="70"/>
    </x:row>
    <x:row r="142" ht="15" hidden="0" customHeight="1">
      <x:c r="A142" s="70"/>
      <x:c r="B142" s="70"/>
      <x:c r="C142" s="70"/>
      <x:c r="D142" s="70"/>
      <x:c r="E142" s="70"/>
      <x:c r="F142" s="70"/>
      <x:c r="G142" s="70"/>
    </x:row>
    <x:row r="143" ht="15" hidden="0" customHeight="1">
      <x:c r="A143" s="70"/>
      <x:c r="B143" s="70"/>
      <x:c r="C143" s="70"/>
      <x:c r="D143" s="70"/>
      <x:c r="E143" s="70"/>
      <x:c r="F143" s="70"/>
      <x:c r="G143" s="70"/>
    </x:row>
    <x:row r="144" ht="15" hidden="0" customHeight="1">
      <x:c r="A144" s="70"/>
      <x:c r="B144" s="70"/>
      <x:c r="C144" s="70"/>
      <x:c r="D144" s="70"/>
      <x:c r="E144" s="70"/>
      <x:c r="F144" s="70"/>
      <x:c r="G144" s="70"/>
    </x:row>
    <x:row r="145" ht="15" hidden="0" customHeight="1">
      <x:c r="A145" s="70"/>
      <x:c r="B145" s="70"/>
      <x:c r="C145" s="70"/>
      <x:c r="D145" s="70"/>
      <x:c r="E145" s="70"/>
      <x:c r="F145" s="70"/>
      <x:c r="G145" s="70"/>
    </x:row>
    <x:row r="146" ht="15" hidden="0" customHeight="1">
      <x:c r="A146" s="70"/>
      <x:c r="B146" s="70"/>
      <x:c r="C146" s="70"/>
      <x:c r="D146" s="70"/>
      <x:c r="E146" s="70"/>
      <x:c r="F146" s="70"/>
      <x:c r="G146" s="70"/>
    </x:row>
    <x:row r="147" ht="15" hidden="0" customHeight="1">
      <x:c r="A147" s="70"/>
      <x:c r="B147" s="70"/>
      <x:c r="C147" s="70"/>
      <x:c r="D147" s="70"/>
      <x:c r="E147" s="70"/>
      <x:c r="F147" s="70"/>
      <x:c r="G147" s="70"/>
    </x:row>
    <x:row r="148" ht="15" hidden="0" customHeight="1">
      <x:c r="A148" s="70"/>
      <x:c r="B148" s="70"/>
      <x:c r="C148" s="70"/>
      <x:c r="D148" s="70"/>
      <x:c r="E148" s="70"/>
      <x:c r="F148" s="70"/>
      <x:c r="G148" s="70"/>
    </x:row>
    <x:row r="149" ht="15" hidden="0" customHeight="1">
      <x:c r="A149" s="70"/>
      <x:c r="B149" s="70"/>
      <x:c r="C149" s="70"/>
      <x:c r="D149" s="70"/>
      <x:c r="E149" s="70"/>
      <x:c r="F149" s="70"/>
      <x:c r="G149" s="70"/>
    </x:row>
    <x:row r="150" ht="15" hidden="0" customHeight="1">
      <x:c r="A150" s="70"/>
      <x:c r="B150" s="70"/>
      <x:c r="C150" s="70"/>
      <x:c r="D150" s="70"/>
      <x:c r="E150" s="70"/>
      <x:c r="F150" s="70"/>
      <x:c r="G150" s="70"/>
    </x:row>
    <x:row r="151" ht="15" hidden="0" customHeight="1">
      <x:c r="A151" s="70"/>
      <x:c r="B151" s="70"/>
      <x:c r="C151" s="70"/>
      <x:c r="D151" s="70"/>
      <x:c r="E151" s="70"/>
      <x:c r="F151" s="70"/>
      <x:c r="G151" s="70"/>
    </x:row>
    <x:row r="152" ht="15" hidden="0" customHeight="1">
      <x:c r="A152" s="70"/>
      <x:c r="B152" s="70"/>
      <x:c r="C152" s="70"/>
      <x:c r="D152" s="70"/>
      <x:c r="E152" s="70"/>
      <x:c r="F152" s="70"/>
      <x:c r="G152" s="70"/>
    </x:row>
    <x:row r="153" ht="15" hidden="0" customHeight="1">
      <x:c r="A153" s="70"/>
      <x:c r="B153" s="70"/>
      <x:c r="C153" s="70"/>
      <x:c r="D153" s="70"/>
      <x:c r="E153" s="70"/>
      <x:c r="F153" s="70"/>
      <x:c r="G153" s="70"/>
    </x:row>
    <x:row r="154" ht="15" hidden="0" customHeight="1">
      <x:c r="A154" s="70"/>
      <x:c r="B154" s="70"/>
      <x:c r="C154" s="70"/>
      <x:c r="D154" s="70"/>
      <x:c r="E154" s="70"/>
      <x:c r="F154" s="70"/>
      <x:c r="G154" s="70"/>
    </x:row>
    <x:row r="155" ht="15" hidden="0" customHeight="1">
      <x:c r="A155" s="70"/>
      <x:c r="B155" s="70"/>
      <x:c r="C155" s="70"/>
      <x:c r="D155" s="70"/>
      <x:c r="E155" s="70"/>
      <x:c r="F155" s="70"/>
      <x:c r="G155" s="70"/>
    </x:row>
    <x:row r="156" ht="15" hidden="0" customHeight="1">
      <x:c r="A156" s="70"/>
      <x:c r="B156" s="70"/>
      <x:c r="C156" s="70"/>
      <x:c r="D156" s="70"/>
      <x:c r="E156" s="70"/>
      <x:c r="F156" s="70"/>
      <x:c r="G156" s="70"/>
    </x:row>
    <x:row r="157" ht="15" hidden="0" customHeight="1">
      <x:c r="A157" s="70"/>
      <x:c r="B157" s="70"/>
      <x:c r="C157" s="70"/>
      <x:c r="D157" s="70"/>
      <x:c r="E157" s="70"/>
      <x:c r="F157" s="70"/>
      <x:c r="G157" s="70"/>
    </x:row>
    <x:row r="158" ht="15" hidden="0" customHeight="1">
      <x:c r="A158" s="70"/>
      <x:c r="B158" s="70"/>
      <x:c r="C158" s="70"/>
      <x:c r="D158" s="70"/>
      <x:c r="E158" s="70"/>
      <x:c r="F158" s="70"/>
      <x:c r="G158" s="70"/>
    </x:row>
    <x:row r="159" ht="15" hidden="0" customHeight="1">
      <x:c r="A159" s="70"/>
      <x:c r="B159" s="70"/>
      <x:c r="C159" s="70"/>
      <x:c r="D159" s="70"/>
      <x:c r="E159" s="70"/>
      <x:c r="F159" s="70"/>
      <x:c r="G159" s="70"/>
    </x:row>
    <x:row r="160" ht="15" hidden="0" customHeight="1">
      <x:c r="A160" s="70"/>
      <x:c r="B160" s="70"/>
      <x:c r="C160" s="70"/>
      <x:c r="D160" s="70"/>
      <x:c r="E160" s="70"/>
      <x:c r="F160" s="70"/>
      <x:c r="G160" s="70"/>
    </x:row>
    <x:row r="161" ht="15" hidden="0" customHeight="1">
      <x:c r="A161" s="70"/>
      <x:c r="B161" s="70"/>
      <x:c r="C161" s="70"/>
      <x:c r="D161" s="70"/>
      <x:c r="E161" s="70"/>
      <x:c r="F161" s="70"/>
      <x:c r="G161" s="70"/>
    </x:row>
    <x:row r="162" ht="15" hidden="0" customHeight="1">
      <x:c r="A162" s="70"/>
      <x:c r="B162" s="70"/>
      <x:c r="C162" s="70"/>
      <x:c r="D162" s="70"/>
      <x:c r="E162" s="70"/>
      <x:c r="F162" s="70"/>
      <x:c r="G162" s="70"/>
    </x:row>
    <x:row r="163" ht="15" hidden="0" customHeight="1">
      <x:c r="A163" s="70"/>
      <x:c r="B163" s="70"/>
      <x:c r="C163" s="70"/>
      <x:c r="D163" s="70"/>
      <x:c r="E163" s="70"/>
      <x:c r="F163" s="70"/>
      <x:c r="G163" s="70"/>
    </x:row>
    <x:row r="164" ht="15" hidden="0" customHeight="1">
      <x:c r="A164" s="70"/>
      <x:c r="B164" s="70"/>
      <x:c r="C164" s="70"/>
      <x:c r="D164" s="70"/>
      <x:c r="E164" s="70"/>
      <x:c r="F164" s="70"/>
      <x:c r="G164" s="70"/>
    </x:row>
    <x:row r="165" ht="15" hidden="0" customHeight="1">
      <x:c r="A165" s="70"/>
      <x:c r="B165" s="70"/>
      <x:c r="C165" s="70"/>
      <x:c r="D165" s="70"/>
      <x:c r="E165" s="70"/>
      <x:c r="F165" s="70"/>
      <x:c r="G165" s="70"/>
    </x:row>
    <x:row r="166" ht="15" hidden="0" customHeight="1">
      <x:c r="A166" s="70"/>
      <x:c r="B166" s="70"/>
      <x:c r="C166" s="70"/>
      <x:c r="D166" s="70"/>
      <x:c r="E166" s="70"/>
      <x:c r="F166" s="70"/>
      <x:c r="G166" s="70"/>
    </x:row>
    <x:row r="167" ht="15" hidden="0" customHeight="1">
      <x:c r="A167" s="70"/>
      <x:c r="B167" s="70"/>
      <x:c r="C167" s="70"/>
      <x:c r="D167" s="70"/>
      <x:c r="E167" s="70"/>
      <x:c r="F167" s="70"/>
      <x:c r="G167" s="70"/>
    </x:row>
    <x:row r="168" ht="15" hidden="0" customHeight="1">
      <x:c r="A168" s="70"/>
      <x:c r="B168" s="70"/>
      <x:c r="C168" s="70"/>
      <x:c r="D168" s="70"/>
      <x:c r="E168" s="70"/>
      <x:c r="F168" s="70"/>
      <x:c r="G168" s="70"/>
    </x:row>
    <x:row r="169" ht="15" hidden="0" customHeight="1">
      <x:c r="A169" s="70"/>
      <x:c r="B169" s="70"/>
      <x:c r="C169" s="70"/>
      <x:c r="D169" s="70"/>
      <x:c r="E169" s="70"/>
      <x:c r="F169" s="70"/>
      <x:c r="G169" s="70"/>
    </x:row>
    <x:row r="170" ht="15" hidden="0" customHeight="1">
      <x:c r="A170" s="70"/>
      <x:c r="B170" s="70"/>
      <x:c r="C170" s="70"/>
      <x:c r="D170" s="70"/>
      <x:c r="E170" s="70"/>
      <x:c r="F170" s="70"/>
      <x:c r="G170" s="70"/>
    </x:row>
    <x:row r="171" ht="15" hidden="0" customHeight="1">
      <x:c r="A171" s="70"/>
      <x:c r="B171" s="70"/>
      <x:c r="C171" s="70"/>
      <x:c r="D171" s="70"/>
      <x:c r="E171" s="70"/>
      <x:c r="F171" s="70"/>
      <x:c r="G171" s="70"/>
    </x:row>
    <x:row r="172" ht="15" hidden="0" customHeight="1">
      <x:c r="A172" s="70"/>
      <x:c r="B172" s="70"/>
      <x:c r="C172" s="70"/>
      <x:c r="D172" s="70"/>
      <x:c r="E172" s="70"/>
      <x:c r="F172" s="70"/>
      <x:c r="G172" s="70"/>
    </x:row>
    <x:row r="173" ht="15" hidden="0" customHeight="1">
      <x:c r="A173" s="70"/>
      <x:c r="B173" s="70"/>
      <x:c r="C173" s="70"/>
      <x:c r="D173" s="70"/>
      <x:c r="E173" s="70"/>
      <x:c r="F173" s="70"/>
      <x:c r="G173" s="70"/>
    </x:row>
    <x:row r="174" ht="15" hidden="0" customHeight="1">
      <x:c r="A174" s="70"/>
      <x:c r="B174" s="70"/>
      <x:c r="C174" s="70"/>
      <x:c r="D174" s="70"/>
      <x:c r="E174" s="70"/>
      <x:c r="F174" s="70"/>
      <x:c r="G174" s="70"/>
    </x:row>
    <x:row r="175" ht="15" hidden="0" customHeight="1">
      <x:c r="A175" s="70"/>
      <x:c r="B175" s="70"/>
      <x:c r="C175" s="70"/>
      <x:c r="D175" s="70"/>
      <x:c r="E175" s="70"/>
      <x:c r="F175" s="70"/>
      <x:c r="G175" s="70"/>
    </x:row>
    <x:row r="176" ht="15" hidden="0" customHeight="1">
      <x:c r="A176" s="70"/>
      <x:c r="B176" s="70"/>
      <x:c r="C176" s="70"/>
      <x:c r="D176" s="70"/>
      <x:c r="E176" s="70"/>
      <x:c r="F176" s="70"/>
      <x:c r="G176" s="70"/>
    </x:row>
    <x:row r="177" ht="15" hidden="0" customHeight="1">
      <x:c r="A177" s="70"/>
      <x:c r="B177" s="70"/>
      <x:c r="C177" s="70"/>
      <x:c r="D177" s="70"/>
      <x:c r="E177" s="70"/>
      <x:c r="F177" s="70"/>
      <x:c r="G177" s="70"/>
    </x:row>
    <x:row r="178" ht="15" hidden="0" customHeight="1">
      <x:c r="A178" s="70"/>
      <x:c r="B178" s="70"/>
      <x:c r="C178" s="70"/>
      <x:c r="D178" s="70"/>
      <x:c r="E178" s="70"/>
      <x:c r="F178" s="70"/>
      <x:c r="G178" s="70"/>
    </x:row>
    <x:row r="179" ht="15" hidden="0" customHeight="1">
      <x:c r="A179" s="70"/>
      <x:c r="B179" s="70"/>
      <x:c r="C179" s="70"/>
      <x:c r="D179" s="70"/>
      <x:c r="E179" s="70"/>
      <x:c r="F179" s="70"/>
      <x:c r="G179" s="70"/>
    </x:row>
    <x:row r="180" ht="15" hidden="0" customHeight="1">
      <x:c r="A180" s="70"/>
      <x:c r="B180" s="70"/>
      <x:c r="C180" s="70"/>
      <x:c r="D180" s="70"/>
      <x:c r="E180" s="70"/>
      <x:c r="F180" s="70"/>
      <x:c r="G180" s="70"/>
    </x:row>
    <x:row r="181" ht="15" hidden="0" customHeight="1">
      <x:c r="A181" s="70"/>
      <x:c r="B181" s="70"/>
      <x:c r="C181" s="70"/>
      <x:c r="D181" s="70"/>
      <x:c r="E181" s="70"/>
      <x:c r="F181" s="70"/>
      <x:c r="G181" s="70"/>
    </x:row>
    <x:row r="182" ht="15" hidden="0" customHeight="1">
      <x:c r="A182" s="70"/>
      <x:c r="B182" s="70"/>
      <x:c r="C182" s="70"/>
      <x:c r="D182" s="70"/>
      <x:c r="E182" s="70"/>
      <x:c r="F182" s="70"/>
      <x:c r="G182" s="70"/>
    </x:row>
    <x:row r="183" ht="15" hidden="0" customHeight="1">
      <x:c r="A183" s="70"/>
      <x:c r="B183" s="70"/>
      <x:c r="C183" s="70"/>
      <x:c r="D183" s="70"/>
      <x:c r="E183" s="70"/>
      <x:c r="F183" s="70"/>
      <x:c r="G183" s="70"/>
    </x:row>
    <x:row r="184" ht="15" hidden="0" customHeight="1">
      <x:c r="A184" s="70"/>
      <x:c r="B184" s="70"/>
      <x:c r="C184" s="70"/>
      <x:c r="D184" s="70"/>
      <x:c r="E184" s="70"/>
      <x:c r="F184" s="70"/>
      <x:c r="G184" s="70"/>
    </x:row>
    <x:row r="185" ht="15" hidden="0" customHeight="1">
      <x:c r="A185" s="70"/>
      <x:c r="B185" s="70"/>
      <x:c r="C185" s="70"/>
      <x:c r="D185" s="70"/>
      <x:c r="E185" s="70"/>
      <x:c r="F185" s="70"/>
      <x:c r="G185" s="70"/>
    </x:row>
    <x:row r="186" ht="15" hidden="0" customHeight="1">
      <x:c r="A186" s="70"/>
      <x:c r="B186" s="70"/>
      <x:c r="C186" s="70"/>
      <x:c r="D186" s="70"/>
      <x:c r="E186" s="70"/>
      <x:c r="F186" s="70"/>
      <x:c r="G186" s="70"/>
    </x:row>
    <x:row r="187" ht="15" hidden="0" customHeight="1">
      <x:c r="A187" s="70"/>
      <x:c r="B187" s="70"/>
      <x:c r="C187" s="70"/>
      <x:c r="D187" s="70"/>
      <x:c r="E187" s="70"/>
      <x:c r="F187" s="70"/>
      <x:c r="G187" s="70"/>
    </x:row>
    <x:row r="188" ht="15" hidden="0" customHeight="1">
      <x:c r="A188" s="70"/>
      <x:c r="B188" s="70"/>
      <x:c r="C188" s="70"/>
      <x:c r="D188" s="70"/>
      <x:c r="E188" s="70"/>
      <x:c r="F188" s="70"/>
      <x:c r="G188" s="70"/>
    </x:row>
    <x:row r="189" ht="15" hidden="0" customHeight="1">
      <x:c r="A189" s="70"/>
      <x:c r="B189" s="70"/>
      <x:c r="C189" s="70"/>
      <x:c r="D189" s="70"/>
      <x:c r="E189" s="70"/>
      <x:c r="F189" s="70"/>
      <x:c r="G189" s="70"/>
    </x:row>
    <x:row r="190" ht="15" hidden="0" customHeight="1">
      <x:c r="A190" s="70"/>
      <x:c r="B190" s="70"/>
      <x:c r="C190" s="70"/>
      <x:c r="D190" s="70"/>
      <x:c r="E190" s="70"/>
      <x:c r="F190" s="70"/>
      <x:c r="G190" s="70"/>
    </x:row>
    <x:row r="191" ht="15" hidden="0" customHeight="1">
      <x:c r="A191" s="70"/>
      <x:c r="B191" s="70"/>
      <x:c r="C191" s="70"/>
      <x:c r="D191" s="70"/>
      <x:c r="E191" s="70"/>
      <x:c r="F191" s="70"/>
      <x:c r="G191" s="70"/>
    </x:row>
    <x:row r="192" ht="15" hidden="0" customHeight="1">
      <x:c r="A192" s="70"/>
      <x:c r="B192" s="70"/>
      <x:c r="C192" s="70"/>
      <x:c r="D192" s="70"/>
      <x:c r="E192" s="70"/>
      <x:c r="F192" s="70"/>
      <x:c r="G192" s="70"/>
    </x:row>
    <x:row r="193" ht="15" hidden="0" customHeight="1">
      <x:c r="A193" s="70"/>
      <x:c r="B193" s="70"/>
      <x:c r="C193" s="70"/>
      <x:c r="D193" s="70"/>
      <x:c r="E193" s="70"/>
      <x:c r="F193" s="70"/>
      <x:c r="G193" s="70"/>
    </x:row>
    <x:row r="194" ht="15" hidden="0" customHeight="1">
      <x:c r="A194" s="70"/>
      <x:c r="B194" s="70"/>
      <x:c r="C194" s="70"/>
      <x:c r="D194" s="70"/>
      <x:c r="E194" s="70"/>
      <x:c r="F194" s="70"/>
      <x:c r="G194" s="70"/>
    </x:row>
    <x:row r="195" ht="15" hidden="0" customHeight="1">
      <x:c r="A195" s="70"/>
      <x:c r="B195" s="70"/>
      <x:c r="C195" s="70"/>
      <x:c r="D195" s="70"/>
      <x:c r="E195" s="70"/>
      <x:c r="F195" s="70"/>
      <x:c r="G195" s="70"/>
    </x:row>
    <x:row r="196" ht="15" hidden="0" customHeight="1">
      <x:c r="A196" s="70"/>
      <x:c r="B196" s="70"/>
      <x:c r="C196" s="70"/>
      <x:c r="D196" s="70"/>
      <x:c r="E196" s="70"/>
      <x:c r="F196" s="70"/>
      <x:c r="G196" s="70"/>
    </x:row>
    <x:row r="197" ht="15" hidden="0" customHeight="1">
      <x:c r="A197" s="70"/>
      <x:c r="B197" s="70"/>
      <x:c r="C197" s="70"/>
      <x:c r="D197" s="70"/>
      <x:c r="E197" s="70"/>
      <x:c r="F197" s="70"/>
      <x:c r="G197" s="70"/>
    </x:row>
    <x:row r="198" ht="15" hidden="0" customHeight="1">
      <x:c r="A198" s="70"/>
      <x:c r="B198" s="70"/>
      <x:c r="C198" s="70"/>
      <x:c r="D198" s="70"/>
      <x:c r="E198" s="70"/>
      <x:c r="F198" s="70"/>
      <x:c r="G198" s="70"/>
    </x:row>
    <x:row r="199" ht="15" hidden="0" customHeight="1">
      <x:c r="A199" s="70"/>
      <x:c r="B199" s="70"/>
      <x:c r="C199" s="70"/>
      <x:c r="D199" s="70"/>
      <x:c r="E199" s="70"/>
      <x:c r="F199" s="70"/>
      <x:c r="G199" s="70"/>
    </x:row>
    <x:row r="200" ht="15" hidden="0" customHeight="1">
      <x:c r="A200" s="70"/>
      <x:c r="B200" s="70"/>
      <x:c r="C200" s="70"/>
      <x:c r="D200" s="70"/>
      <x:c r="E200" s="70"/>
      <x:c r="F200" s="70"/>
      <x:c r="G200" s="70"/>
    </x:row>
    <x:row r="201" ht="15" hidden="0" customHeight="1">
      <x:c r="A201" s="70"/>
      <x:c r="B201" s="70"/>
      <x:c r="C201" s="70"/>
      <x:c r="D201" s="70"/>
      <x:c r="E201" s="70"/>
      <x:c r="F201" s="70"/>
      <x:c r="G201" s="70"/>
    </x:row>
    <x:row r="202" ht="15" hidden="0" customHeight="1">
      <x:c r="A202" s="70"/>
      <x:c r="B202" s="70"/>
      <x:c r="C202" s="70"/>
      <x:c r="D202" s="70"/>
      <x:c r="E202" s="70"/>
      <x:c r="F202" s="70"/>
      <x:c r="G202" s="70"/>
    </x:row>
    <x:row r="203" ht="15" hidden="0" customHeight="1">
      <x:c r="A203" s="70"/>
      <x:c r="B203" s="70"/>
      <x:c r="C203" s="70"/>
      <x:c r="D203" s="70"/>
      <x:c r="E203" s="70"/>
      <x:c r="F203" s="70"/>
      <x:c r="G203" s="70"/>
    </x:row>
    <x:row r="204" ht="15" hidden="0" customHeight="1">
      <x:c r="A204" s="70"/>
      <x:c r="B204" s="70"/>
      <x:c r="C204" s="70"/>
      <x:c r="D204" s="70"/>
      <x:c r="E204" s="70"/>
      <x:c r="F204" s="70"/>
      <x:c r="G204" s="70"/>
    </x:row>
    <x:row r="205" ht="15" hidden="0" customHeight="1">
      <x:c r="A205" s="70"/>
      <x:c r="B205" s="70"/>
      <x:c r="C205" s="70"/>
      <x:c r="D205" s="70"/>
      <x:c r="E205" s="70"/>
      <x:c r="F205" s="70"/>
      <x:c r="G205" s="70"/>
    </x:row>
    <x:row r="206" ht="15" hidden="0" customHeight="1">
      <x:c r="A206" s="70"/>
      <x:c r="B206" s="70"/>
      <x:c r="C206" s="70"/>
      <x:c r="D206" s="70"/>
      <x:c r="E206" s="70"/>
      <x:c r="F206" s="70"/>
      <x:c r="G206" s="70"/>
    </x:row>
    <x:row r="207" ht="15" hidden="0" customHeight="1">
      <x:c r="A207" s="70"/>
      <x:c r="B207" s="70"/>
      <x:c r="C207" s="70"/>
      <x:c r="D207" s="70"/>
      <x:c r="E207" s="70"/>
      <x:c r="F207" s="70"/>
      <x:c r="G207" s="70"/>
    </x:row>
    <x:row r="208" ht="15" hidden="0" customHeight="1">
      <x:c r="A208" s="70"/>
      <x:c r="B208" s="70"/>
      <x:c r="C208" s="70"/>
      <x:c r="D208" s="70"/>
      <x:c r="E208" s="70"/>
      <x:c r="F208" s="70"/>
      <x:c r="G208" s="70"/>
    </x:row>
    <x:row r="209" ht="15" hidden="0" customHeight="1">
      <x:c r="A209" s="70"/>
      <x:c r="B209" s="70"/>
      <x:c r="C209" s="70"/>
      <x:c r="D209" s="70"/>
      <x:c r="E209" s="70"/>
      <x:c r="F209" s="70"/>
      <x:c r="G209" s="70"/>
    </x:row>
    <x:row r="210" ht="15" hidden="0" customHeight="1">
      <x:c r="A210" s="70"/>
      <x:c r="B210" s="70"/>
      <x:c r="C210" s="70"/>
      <x:c r="D210" s="70"/>
      <x:c r="E210" s="70"/>
      <x:c r="F210" s="70"/>
      <x:c r="G210" s="70"/>
    </x:row>
    <x:row r="211" ht="15" hidden="0" customHeight="1">
      <x:c r="A211" s="70"/>
      <x:c r="B211" s="70"/>
      <x:c r="C211" s="70"/>
      <x:c r="D211" s="70"/>
      <x:c r="E211" s="70"/>
      <x:c r="F211" s="70"/>
      <x:c r="G211" s="70"/>
    </x:row>
    <x:row r="212" ht="15" hidden="0" customHeight="1">
      <x:c r="A212" s="70"/>
      <x:c r="B212" s="70"/>
      <x:c r="C212" s="70"/>
      <x:c r="D212" s="70"/>
      <x:c r="E212" s="70"/>
      <x:c r="F212" s="70"/>
      <x:c r="G212" s="70"/>
    </x:row>
    <x:row r="213" ht="15" hidden="0" customHeight="1">
      <x:c r="A213" s="70"/>
      <x:c r="B213" s="70"/>
      <x:c r="C213" s="70"/>
      <x:c r="D213" s="70"/>
      <x:c r="E213" s="70"/>
      <x:c r="F213" s="70"/>
      <x:c r="G213" s="70"/>
    </x:row>
    <x:row r="214" ht="15" hidden="0" customHeight="1">
      <x:c r="A214" s="70"/>
      <x:c r="B214" s="70"/>
      <x:c r="C214" s="70"/>
      <x:c r="D214" s="70"/>
      <x:c r="E214" s="70"/>
      <x:c r="F214" s="70"/>
      <x:c r="G214" s="70"/>
    </x:row>
    <x:row r="215" ht="15" hidden="0" customHeight="1">
      <x:c r="A215" s="70"/>
      <x:c r="B215" s="70"/>
      <x:c r="C215" s="70"/>
      <x:c r="D215" s="70"/>
      <x:c r="E215" s="70"/>
      <x:c r="F215" s="70"/>
      <x:c r="G215" s="70"/>
    </x:row>
    <x:row r="216" ht="15" hidden="0" customHeight="1">
      <x:c r="A216" s="70"/>
      <x:c r="B216" s="70"/>
      <x:c r="C216" s="70"/>
      <x:c r="D216" s="70"/>
      <x:c r="E216" s="70"/>
      <x:c r="F216" s="70"/>
      <x:c r="G216" s="70"/>
    </x:row>
    <x:row r="217" ht="15" hidden="0" customHeight="1">
      <x:c r="A217" s="70"/>
      <x:c r="B217" s="70"/>
      <x:c r="C217" s="70"/>
      <x:c r="D217" s="70"/>
      <x:c r="E217" s="70"/>
      <x:c r="F217" s="70"/>
      <x:c r="G217" s="70"/>
    </x:row>
    <x:row r="218" ht="15" hidden="0" customHeight="1">
      <x:c r="A218" s="70"/>
      <x:c r="B218" s="70"/>
      <x:c r="C218" s="70"/>
      <x:c r="D218" s="70"/>
      <x:c r="E218" s="70"/>
      <x:c r="F218" s="70"/>
      <x:c r="G218" s="70"/>
    </x:row>
    <x:row r="219" ht="15" hidden="0" customHeight="1">
      <x:c r="A219" s="70"/>
      <x:c r="B219" s="70"/>
      <x:c r="C219" s="70"/>
      <x:c r="D219" s="70"/>
      <x:c r="E219" s="70"/>
      <x:c r="F219" s="70"/>
      <x:c r="G219" s="70"/>
    </x:row>
    <x:row r="220" ht="15" hidden="0" customHeight="1">
      <x:c r="A220" s="70"/>
      <x:c r="B220" s="70"/>
      <x:c r="C220" s="70"/>
      <x:c r="D220" s="70"/>
      <x:c r="E220" s="70"/>
      <x:c r="F220" s="70"/>
      <x:c r="G220" s="70"/>
    </x:row>
    <x:row r="221" ht="15" hidden="0" customHeight="1">
      <x:c r="A221" s="70"/>
      <x:c r="B221" s="70"/>
      <x:c r="C221" s="70"/>
      <x:c r="D221" s="70"/>
      <x:c r="E221" s="70"/>
      <x:c r="F221" s="70"/>
      <x:c r="G221" s="70"/>
    </x:row>
    <x:row r="222" ht="15" hidden="0" customHeight="1">
      <x:c r="A222" s="70"/>
      <x:c r="B222" s="70"/>
      <x:c r="C222" s="70"/>
      <x:c r="D222" s="70"/>
      <x:c r="E222" s="70"/>
      <x:c r="F222" s="70"/>
      <x:c r="G222" s="70"/>
    </x:row>
    <x:row r="223" ht="15" hidden="0" customHeight="1">
      <x:c r="A223" s="70"/>
      <x:c r="B223" s="70"/>
      <x:c r="C223" s="70"/>
      <x:c r="D223" s="70"/>
      <x:c r="E223" s="70"/>
      <x:c r="F223" s="70"/>
      <x:c r="G223" s="70"/>
    </x:row>
    <x:row r="224" ht="15" hidden="0" customHeight="1">
      <x:c r="A224" s="70"/>
      <x:c r="B224" s="70"/>
      <x:c r="C224" s="70"/>
      <x:c r="D224" s="70"/>
      <x:c r="E224" s="70"/>
      <x:c r="F224" s="70"/>
      <x:c r="G224" s="70"/>
    </x:row>
    <x:row r="225" ht="15" hidden="0" customHeight="1">
      <x:c r="A225" s="70"/>
      <x:c r="B225" s="70"/>
      <x:c r="C225" s="70"/>
      <x:c r="D225" s="70"/>
      <x:c r="E225" s="70"/>
      <x:c r="F225" s="70"/>
      <x:c r="G225" s="70"/>
    </x:row>
    <x:row r="226" ht="15" hidden="0" customHeight="1">
      <x:c r="A226" s="70"/>
      <x:c r="B226" s="70"/>
      <x:c r="C226" s="70"/>
      <x:c r="D226" s="70"/>
      <x:c r="E226" s="70"/>
      <x:c r="F226" s="70"/>
      <x:c r="G226" s="70"/>
    </x:row>
    <x:row r="227" ht="15" hidden="0" customHeight="1">
      <x:c r="A227" s="70"/>
      <x:c r="B227" s="70"/>
      <x:c r="C227" s="70"/>
      <x:c r="D227" s="70"/>
      <x:c r="E227" s="70"/>
      <x:c r="F227" s="70"/>
      <x:c r="G227" s="70"/>
    </x:row>
    <x:row r="228" ht="15" hidden="0" customHeight="1">
      <x:c r="A228" s="70"/>
      <x:c r="B228" s="70"/>
      <x:c r="C228" s="70"/>
      <x:c r="D228" s="70"/>
      <x:c r="E228" s="70"/>
      <x:c r="F228" s="70"/>
      <x:c r="G228" s="70"/>
    </x:row>
    <x:row r="229" ht="15" hidden="0" customHeight="1">
      <x:c r="A229" s="70"/>
      <x:c r="B229" s="70"/>
      <x:c r="C229" s="70"/>
      <x:c r="D229" s="70"/>
      <x:c r="E229" s="70"/>
      <x:c r="F229" s="70"/>
      <x:c r="G229" s="70"/>
    </x:row>
    <x:row r="230" ht="15" hidden="0" customHeight="1">
      <x:c r="A230" s="70"/>
      <x:c r="B230" s="70"/>
      <x:c r="C230" s="70"/>
      <x:c r="D230" s="70"/>
      <x:c r="E230" s="70"/>
      <x:c r="F230" s="70"/>
      <x:c r="G230" s="70"/>
    </x:row>
    <x:row r="231" ht="15" hidden="0" customHeight="1">
      <x:c r="A231" s="70"/>
      <x:c r="B231" s="70"/>
      <x:c r="C231" s="70"/>
      <x:c r="D231" s="70"/>
      <x:c r="E231" s="70"/>
      <x:c r="F231" s="70"/>
      <x:c r="G231" s="70"/>
    </x:row>
    <x:row r="232" ht="15" hidden="0" customHeight="1">
      <x:c r="A232" s="70"/>
      <x:c r="B232" s="70"/>
      <x:c r="C232" s="70"/>
      <x:c r="D232" s="70"/>
      <x:c r="E232" s="70"/>
      <x:c r="F232" s="70"/>
      <x:c r="G232" s="70"/>
    </x:row>
    <x:row r="233" ht="15" hidden="0" customHeight="1">
      <x:c r="A233" s="70"/>
      <x:c r="B233" s="70"/>
      <x:c r="C233" s="70"/>
      <x:c r="D233" s="70"/>
      <x:c r="E233" s="70"/>
      <x:c r="F233" s="70"/>
      <x:c r="G233" s="70"/>
    </x:row>
    <x:row r="234" ht="15" hidden="0" customHeight="1">
      <x:c r="A234" s="70"/>
      <x:c r="B234" s="70"/>
      <x:c r="C234" s="70"/>
      <x:c r="D234" s="70"/>
      <x:c r="E234" s="70"/>
      <x:c r="F234" s="70"/>
      <x:c r="G234" s="70"/>
    </x:row>
    <x:row r="235" ht="15" hidden="0" customHeight="1">
      <x:c r="A235" s="70"/>
      <x:c r="B235" s="70"/>
      <x:c r="C235" s="70"/>
      <x:c r="D235" s="70"/>
      <x:c r="E235" s="70"/>
      <x:c r="F235" s="70"/>
      <x:c r="G235" s="70"/>
    </x:row>
    <x:row r="236" ht="15" hidden="0" customHeight="1">
      <x:c r="A236" s="70"/>
      <x:c r="B236" s="70"/>
      <x:c r="C236" s="70"/>
      <x:c r="D236" s="70"/>
      <x:c r="E236" s="70"/>
      <x:c r="F236" s="70"/>
      <x:c r="G236" s="70"/>
    </x:row>
    <x:row r="237" ht="15" hidden="0" customHeight="1">
      <x:c r="A237" s="70"/>
      <x:c r="B237" s="70"/>
      <x:c r="C237" s="70"/>
      <x:c r="D237" s="70"/>
      <x:c r="E237" s="70"/>
      <x:c r="F237" s="70"/>
      <x:c r="G237" s="70"/>
    </x:row>
    <x:row r="238" ht="15" hidden="0" customHeight="1">
      <x:c r="A238" s="70"/>
      <x:c r="B238" s="70"/>
      <x:c r="C238" s="70"/>
      <x:c r="D238" s="70"/>
      <x:c r="E238" s="70"/>
      <x:c r="F238" s="70"/>
      <x:c r="G238" s="70"/>
    </x:row>
    <x:row r="239" ht="15" hidden="0" customHeight="1">
      <x:c r="A239" s="70"/>
      <x:c r="B239" s="70"/>
      <x:c r="C239" s="70"/>
      <x:c r="D239" s="70"/>
      <x:c r="E239" s="70"/>
      <x:c r="F239" s="70"/>
      <x:c r="G239" s="70"/>
    </x:row>
    <x:row r="240" ht="15" hidden="0" customHeight="1">
      <x:c r="A240" s="70"/>
      <x:c r="B240" s="70"/>
      <x:c r="C240" s="70"/>
      <x:c r="D240" s="70"/>
      <x:c r="E240" s="70"/>
      <x:c r="F240" s="70"/>
      <x:c r="G240" s="70"/>
    </x:row>
    <x:row r="241" ht="15" hidden="0" customHeight="1">
      <x:c r="A241" s="70"/>
      <x:c r="B241" s="70"/>
      <x:c r="C241" s="70"/>
      <x:c r="D241" s="70"/>
      <x:c r="E241" s="70"/>
      <x:c r="F241" s="70"/>
      <x:c r="G241" s="70"/>
    </x:row>
    <x:row r="242" ht="15" hidden="0" customHeight="1">
      <x:c r="A242" s="70"/>
      <x:c r="B242" s="70"/>
      <x:c r="C242" s="70"/>
      <x:c r="D242" s="70"/>
      <x:c r="E242" s="70"/>
      <x:c r="F242" s="70"/>
      <x:c r="G242" s="70"/>
    </x:row>
    <x:row r="243" ht="15" hidden="0" customHeight="1">
      <x:c r="A243" s="70"/>
      <x:c r="B243" s="70"/>
      <x:c r="C243" s="70"/>
      <x:c r="D243" s="70"/>
      <x:c r="E243" s="70"/>
      <x:c r="F243" s="70"/>
      <x:c r="G243" s="70"/>
    </x:row>
    <x:row r="244" ht="15" hidden="0" customHeight="1">
      <x:c r="A244" s="70"/>
      <x:c r="B244" s="70"/>
      <x:c r="C244" s="70"/>
      <x:c r="D244" s="70"/>
      <x:c r="E244" s="70"/>
      <x:c r="F244" s="70"/>
      <x:c r="G244" s="70"/>
    </x:row>
    <x:row r="245" ht="15" hidden="0" customHeight="1">
      <x:c r="A245" s="70"/>
      <x:c r="B245" s="70"/>
      <x:c r="C245" s="70"/>
      <x:c r="D245" s="70"/>
      <x:c r="E245" s="70"/>
      <x:c r="F245" s="70"/>
      <x:c r="G245" s="70"/>
    </x:row>
    <x:row r="246" ht="15" hidden="0" customHeight="1">
      <x:c r="A246" s="70"/>
      <x:c r="B246" s="70"/>
      <x:c r="C246" s="70"/>
      <x:c r="D246" s="70"/>
      <x:c r="E246" s="70"/>
      <x:c r="F246" s="70"/>
      <x:c r="G246" s="70"/>
    </x:row>
    <x:row r="247" ht="15" hidden="0" customHeight="1">
      <x:c r="A247" s="70"/>
      <x:c r="B247" s="70"/>
      <x:c r="C247" s="70"/>
      <x:c r="D247" s="70"/>
      <x:c r="E247" s="70"/>
      <x:c r="F247" s="70"/>
      <x:c r="G247" s="70"/>
    </x:row>
    <x:row r="248" ht="15" hidden="0" customHeight="1">
      <x:c r="A248" s="70"/>
      <x:c r="B248" s="70"/>
      <x:c r="C248" s="70"/>
      <x:c r="D248" s="70"/>
      <x:c r="E248" s="70"/>
      <x:c r="F248" s="70"/>
      <x:c r="G248" s="70"/>
    </x:row>
    <x:row r="249" ht="15" hidden="0" customHeight="1">
      <x:c r="A249" s="70"/>
      <x:c r="B249" s="70"/>
      <x:c r="C249" s="70"/>
      <x:c r="D249" s="70"/>
      <x:c r="E249" s="70"/>
      <x:c r="F249" s="70"/>
      <x:c r="G249" s="70"/>
    </x:row>
    <x:row r="250" ht="15" hidden="0" customHeight="1">
      <x:c r="A250" s="70"/>
      <x:c r="B250" s="70"/>
      <x:c r="C250" s="70"/>
      <x:c r="D250" s="70"/>
      <x:c r="E250" s="70"/>
      <x:c r="F250" s="70"/>
      <x:c r="G250" s="70"/>
    </x:row>
    <x:row r="251" ht="15" hidden="0" customHeight="1">
      <x:c r="A251" s="70"/>
      <x:c r="B251" s="70"/>
      <x:c r="C251" s="70"/>
      <x:c r="D251" s="70"/>
      <x:c r="E251" s="70"/>
      <x:c r="F251" s="70"/>
      <x:c r="G251" s="70"/>
    </x:row>
    <x:row r="252" ht="15" hidden="0" customHeight="1">
      <x:c r="A252" s="70"/>
      <x:c r="B252" s="70"/>
      <x:c r="C252" s="70"/>
      <x:c r="D252" s="70"/>
      <x:c r="E252" s="70"/>
      <x:c r="F252" s="70"/>
      <x:c r="G252" s="70"/>
    </x:row>
    <x:row r="253" ht="15" hidden="0" customHeight="1">
      <x:c r="A253" s="70"/>
      <x:c r="B253" s="70"/>
      <x:c r="C253" s="70"/>
      <x:c r="D253" s="70"/>
      <x:c r="E253" s="70"/>
      <x:c r="F253" s="70"/>
      <x:c r="G253" s="70"/>
    </x:row>
    <x:row r="254" ht="15" hidden="0" customHeight="1">
      <x:c r="A254" s="70"/>
      <x:c r="B254" s="70"/>
      <x:c r="C254" s="70"/>
      <x:c r="D254" s="70"/>
      <x:c r="E254" s="70"/>
      <x:c r="F254" s="70"/>
      <x:c r="G254" s="70"/>
    </x:row>
    <x:row r="255" ht="15" hidden="0" customHeight="1">
      <x:c r="A255" s="70"/>
      <x:c r="B255" s="70"/>
      <x:c r="C255" s="70"/>
      <x:c r="D255" s="70"/>
      <x:c r="E255" s="70"/>
      <x:c r="F255" s="70"/>
      <x:c r="G255" s="70"/>
    </x:row>
    <x:row r="256" ht="15" hidden="0" customHeight="1">
      <x:c r="A256" s="70"/>
      <x:c r="B256" s="70"/>
      <x:c r="C256" s="70"/>
      <x:c r="D256" s="70"/>
      <x:c r="E256" s="70"/>
      <x:c r="F256" s="70"/>
      <x:c r="G256" s="70"/>
    </x:row>
    <x:row r="257" ht="15" hidden="0" customHeight="1">
      <x:c r="A257" s="70"/>
      <x:c r="B257" s="70"/>
      <x:c r="C257" s="70"/>
      <x:c r="D257" s="70"/>
      <x:c r="E257" s="70"/>
      <x:c r="F257" s="70"/>
      <x:c r="G257" s="70"/>
    </x:row>
    <x:row r="258" ht="15" hidden="0" customHeight="1">
      <x:c r="A258" s="70"/>
      <x:c r="B258" s="70"/>
      <x:c r="C258" s="70"/>
      <x:c r="D258" s="70"/>
      <x:c r="E258" s="70"/>
      <x:c r="F258" s="70"/>
      <x:c r="G258" s="70"/>
    </x:row>
    <x:row r="259" ht="15" hidden="0" customHeight="1">
      <x:c r="A259" s="70"/>
      <x:c r="B259" s="70"/>
      <x:c r="C259" s="70"/>
      <x:c r="D259" s="70"/>
      <x:c r="E259" s="70"/>
      <x:c r="F259" s="70"/>
      <x:c r="G259" s="70"/>
    </x:row>
    <x:row r="260" ht="15" hidden="0" customHeight="1">
      <x:c r="A260" s="70"/>
      <x:c r="B260" s="70"/>
      <x:c r="C260" s="70"/>
      <x:c r="D260" s="70"/>
      <x:c r="E260" s="70"/>
      <x:c r="F260" s="70"/>
      <x:c r="G260" s="70"/>
    </x:row>
    <x:row r="261" ht="15" hidden="0" customHeight="1">
      <x:c r="A261" s="70"/>
      <x:c r="B261" s="70"/>
      <x:c r="C261" s="70"/>
      <x:c r="D261" s="70"/>
      <x:c r="E261" s="70"/>
      <x:c r="F261" s="70"/>
      <x:c r="G261" s="70"/>
    </x:row>
    <x:row r="262" ht="15" hidden="0" customHeight="1">
      <x:c r="A262" s="70"/>
      <x:c r="B262" s="70"/>
      <x:c r="C262" s="70"/>
      <x:c r="D262" s="70"/>
      <x:c r="E262" s="70"/>
      <x:c r="F262" s="70"/>
      <x:c r="G262" s="70"/>
    </x:row>
    <x:row r="263" ht="15" hidden="0" customHeight="1">
      <x:c r="A263" s="70"/>
      <x:c r="B263" s="70"/>
      <x:c r="C263" s="70"/>
      <x:c r="D263" s="70"/>
      <x:c r="E263" s="70"/>
      <x:c r="F263" s="70"/>
      <x:c r="G263" s="70"/>
    </x:row>
    <x:row r="264" ht="15" hidden="0" customHeight="1">
      <x:c r="A264" s="70"/>
      <x:c r="B264" s="70"/>
      <x:c r="C264" s="70"/>
      <x:c r="D264" s="70"/>
      <x:c r="E264" s="70"/>
      <x:c r="F264" s="70"/>
      <x:c r="G264" s="70"/>
    </x:row>
    <x:row r="265" ht="15" hidden="0" customHeight="1">
      <x:c r="A265" s="70"/>
      <x:c r="B265" s="70"/>
      <x:c r="C265" s="70"/>
      <x:c r="D265" s="70"/>
      <x:c r="E265" s="70"/>
      <x:c r="F265" s="70"/>
      <x:c r="G265" s="70"/>
    </x:row>
    <x:row r="266" ht="15" hidden="0" customHeight="1">
      <x:c r="A266" s="70"/>
      <x:c r="B266" s="70"/>
      <x:c r="C266" s="70"/>
      <x:c r="D266" s="70"/>
      <x:c r="E266" s="70"/>
      <x:c r="F266" s="70"/>
      <x:c r="G266" s="70"/>
    </x:row>
    <x:row r="267" ht="15" hidden="0" customHeight="1">
      <x:c r="A267" s="70"/>
      <x:c r="B267" s="70"/>
      <x:c r="C267" s="70"/>
      <x:c r="D267" s="70"/>
      <x:c r="E267" s="70"/>
      <x:c r="F267" s="70"/>
      <x:c r="G267" s="70"/>
    </x:row>
    <x:row r="268" ht="15" hidden="0" customHeight="1">
      <x:c r="A268" s="70"/>
      <x:c r="B268" s="70"/>
      <x:c r="C268" s="70"/>
      <x:c r="D268" s="70"/>
      <x:c r="E268" s="70"/>
      <x:c r="F268" s="70"/>
      <x:c r="G268" s="70"/>
    </x:row>
    <x:row r="269" ht="15" hidden="0" customHeight="1">
      <x:c r="A269" s="70"/>
      <x:c r="B269" s="70"/>
      <x:c r="C269" s="70"/>
      <x:c r="D269" s="70"/>
      <x:c r="E269" s="70"/>
      <x:c r="F269" s="70"/>
      <x:c r="G269" s="70"/>
    </x:row>
    <x:row r="270" ht="15" hidden="0" customHeight="1">
      <x:c r="A270" s="70"/>
      <x:c r="B270" s="70"/>
      <x:c r="C270" s="70"/>
      <x:c r="D270" s="70"/>
      <x:c r="E270" s="70"/>
      <x:c r="F270" s="70"/>
      <x:c r="G270" s="70"/>
    </x:row>
    <x:row r="271" ht="15" hidden="0" customHeight="1">
      <x:c r="A271" s="70"/>
      <x:c r="B271" s="70"/>
      <x:c r="C271" s="70"/>
      <x:c r="D271" s="70"/>
      <x:c r="E271" s="70"/>
      <x:c r="F271" s="70"/>
      <x:c r="G271" s="70"/>
    </x:row>
    <x:row r="272" ht="15" hidden="0" customHeight="1">
      <x:c r="A272" s="70"/>
      <x:c r="B272" s="70"/>
      <x:c r="C272" s="70"/>
      <x:c r="D272" s="70"/>
      <x:c r="E272" s="70"/>
      <x:c r="F272" s="70"/>
      <x:c r="G272" s="70"/>
    </x:row>
    <x:row r="273" ht="15" hidden="0" customHeight="1">
      <x:c r="A273" s="70"/>
      <x:c r="B273" s="70"/>
      <x:c r="C273" s="70"/>
      <x:c r="D273" s="70"/>
      <x:c r="E273" s="70"/>
      <x:c r="F273" s="70"/>
      <x:c r="G273" s="70"/>
    </x:row>
    <x:row r="274" ht="15" hidden="0" customHeight="1">
      <x:c r="A274" s="70"/>
      <x:c r="B274" s="70"/>
      <x:c r="C274" s="70"/>
      <x:c r="D274" s="70"/>
      <x:c r="E274" s="70"/>
      <x:c r="F274" s="70"/>
      <x:c r="G274" s="70"/>
    </x:row>
    <x:row r="275" ht="15" hidden="0" customHeight="1">
      <x:c r="A275" s="70"/>
      <x:c r="B275" s="70"/>
      <x:c r="C275" s="70"/>
      <x:c r="D275" s="70"/>
      <x:c r="E275" s="70"/>
      <x:c r="F275" s="70"/>
      <x:c r="G275" s="70"/>
    </x:row>
    <x:row r="276" ht="15" hidden="0" customHeight="1">
      <x:c r="A276" s="70"/>
      <x:c r="B276" s="70"/>
      <x:c r="C276" s="70"/>
      <x:c r="D276" s="70"/>
      <x:c r="E276" s="70"/>
      <x:c r="F276" s="70"/>
      <x:c r="G276" s="70"/>
    </x:row>
    <x:row r="277" ht="15" hidden="0" customHeight="1">
      <x:c r="A277" s="70"/>
      <x:c r="B277" s="70"/>
      <x:c r="C277" s="70"/>
      <x:c r="D277" s="70"/>
      <x:c r="E277" s="70"/>
      <x:c r="F277" s="70"/>
      <x:c r="G277" s="70"/>
    </x:row>
    <x:row r="278" ht="15" hidden="0" customHeight="1">
      <x:c r="A278" s="70"/>
      <x:c r="B278" s="70"/>
      <x:c r="C278" s="70"/>
      <x:c r="D278" s="70"/>
      <x:c r="E278" s="70"/>
      <x:c r="F278" s="70"/>
      <x:c r="G278" s="70"/>
    </x:row>
    <x:row r="279" ht="15" hidden="0" customHeight="1">
      <x:c r="A279" s="70"/>
      <x:c r="B279" s="70"/>
      <x:c r="C279" s="70"/>
      <x:c r="D279" s="70"/>
      <x:c r="E279" s="70"/>
      <x:c r="F279" s="70"/>
      <x:c r="G279" s="70"/>
    </x:row>
    <x:row r="280" ht="15" hidden="0" customHeight="1">
      <x:c r="A280" s="70"/>
      <x:c r="B280" s="70"/>
      <x:c r="C280" s="70"/>
      <x:c r="D280" s="70"/>
      <x:c r="E280" s="70"/>
      <x:c r="F280" s="70"/>
      <x:c r="G280" s="70"/>
    </x:row>
    <x:row r="281" ht="15" hidden="0" customHeight="1">
      <x:c r="A281" s="70"/>
      <x:c r="B281" s="70"/>
      <x:c r="C281" s="70"/>
      <x:c r="D281" s="70"/>
      <x:c r="E281" s="70"/>
      <x:c r="F281" s="70"/>
      <x:c r="G281" s="70"/>
    </x:row>
    <x:row r="282" ht="15" hidden="0" customHeight="1">
      <x:c r="A282" s="70"/>
      <x:c r="B282" s="70"/>
      <x:c r="C282" s="70"/>
      <x:c r="D282" s="70"/>
      <x:c r="E282" s="70"/>
      <x:c r="F282" s="70"/>
      <x:c r="G282" s="70"/>
    </x:row>
    <x:row r="283" ht="15" hidden="0" customHeight="1">
      <x:c r="A283" s="70"/>
      <x:c r="B283" s="70"/>
      <x:c r="C283" s="70"/>
      <x:c r="D283" s="70"/>
      <x:c r="E283" s="70"/>
      <x:c r="F283" s="70"/>
      <x:c r="G283" s="70"/>
    </x:row>
    <x:row r="284" ht="15" hidden="0" customHeight="1">
      <x:c r="A284" s="70"/>
      <x:c r="B284" s="70"/>
      <x:c r="C284" s="70"/>
      <x:c r="D284" s="70"/>
      <x:c r="E284" s="70"/>
      <x:c r="F284" s="70"/>
      <x:c r="G284" s="70"/>
    </x:row>
    <x:row r="285" ht="15" hidden="0" customHeight="1">
      <x:c r="A285" s="70"/>
      <x:c r="B285" s="70"/>
      <x:c r="C285" s="70"/>
      <x:c r="D285" s="70"/>
      <x:c r="E285" s="70"/>
      <x:c r="F285" s="70"/>
      <x:c r="G285" s="70"/>
    </x:row>
    <x:row r="286" ht="15" hidden="0" customHeight="1">
      <x:c r="A286" s="70"/>
      <x:c r="B286" s="70"/>
      <x:c r="C286" s="70"/>
      <x:c r="D286" s="70"/>
      <x:c r="E286" s="70"/>
      <x:c r="F286" s="70"/>
      <x:c r="G286" s="70"/>
    </x:row>
    <x:row r="287" ht="15" hidden="0" customHeight="1">
      <x:c r="A287" s="70"/>
      <x:c r="B287" s="70"/>
      <x:c r="C287" s="70"/>
      <x:c r="D287" s="70"/>
      <x:c r="E287" s="70"/>
      <x:c r="F287" s="70"/>
      <x:c r="G287" s="70"/>
    </x:row>
    <x:row r="288" ht="15" hidden="0" customHeight="1">
      <x:c r="A288" s="70"/>
      <x:c r="B288" s="70"/>
      <x:c r="C288" s="70"/>
      <x:c r="D288" s="70"/>
      <x:c r="E288" s="70"/>
      <x:c r="F288" s="70"/>
      <x:c r="G288" s="70"/>
    </x:row>
    <x:row r="289" ht="15" hidden="0" customHeight="1">
      <x:c r="A289" s="70"/>
      <x:c r="B289" s="70"/>
      <x:c r="C289" s="70"/>
      <x:c r="D289" s="70"/>
      <x:c r="E289" s="70"/>
      <x:c r="F289" s="70"/>
      <x:c r="G289" s="70"/>
    </x:row>
    <x:row r="290" ht="15" hidden="0" customHeight="1">
      <x:c r="A290" s="70"/>
      <x:c r="B290" s="70"/>
      <x:c r="C290" s="70"/>
      <x:c r="D290" s="70"/>
      <x:c r="E290" s="70"/>
      <x:c r="F290" s="70"/>
      <x:c r="G290" s="70"/>
    </x:row>
    <x:row r="291" ht="15" hidden="0" customHeight="1">
      <x:c r="A291" s="70"/>
      <x:c r="B291" s="70"/>
      <x:c r="C291" s="70"/>
      <x:c r="D291" s="70"/>
      <x:c r="E291" s="70"/>
      <x:c r="F291" s="70"/>
      <x:c r="G291" s="70"/>
    </x:row>
    <x:row r="292" ht="15" hidden="0" customHeight="1">
      <x:c r="A292" s="70"/>
      <x:c r="B292" s="70"/>
      <x:c r="C292" s="70"/>
      <x:c r="D292" s="70"/>
      <x:c r="E292" s="70"/>
      <x:c r="F292" s="70"/>
      <x:c r="G292" s="70"/>
    </x:row>
    <x:row r="293" ht="15" hidden="0" customHeight="1">
      <x:c r="A293" s="70"/>
      <x:c r="B293" s="70"/>
      <x:c r="C293" s="70"/>
      <x:c r="D293" s="70"/>
      <x:c r="E293" s="70"/>
      <x:c r="F293" s="70"/>
      <x:c r="G293" s="70"/>
    </x:row>
    <x:row r="294" ht="15" hidden="0" customHeight="1">
      <x:c r="A294" s="70"/>
      <x:c r="B294" s="70"/>
      <x:c r="C294" s="70"/>
      <x:c r="D294" s="70"/>
      <x:c r="E294" s="70"/>
      <x:c r="F294" s="70"/>
      <x:c r="G294" s="70"/>
    </x:row>
    <x:row r="295" ht="15" hidden="0" customHeight="1">
      <x:c r="A295" s="70"/>
      <x:c r="B295" s="70"/>
      <x:c r="C295" s="70"/>
      <x:c r="D295" s="70"/>
      <x:c r="E295" s="70"/>
      <x:c r="F295" s="70"/>
      <x:c r="G295" s="70"/>
    </x:row>
    <x:row r="296" ht="15" hidden="0" customHeight="1">
      <x:c r="A296" s="70"/>
      <x:c r="B296" s="70"/>
      <x:c r="C296" s="70"/>
      <x:c r="D296" s="70"/>
      <x:c r="E296" s="70"/>
      <x:c r="F296" s="70"/>
      <x:c r="G296" s="70"/>
    </x:row>
    <x:row r="297" ht="15" hidden="0" customHeight="1">
      <x:c r="A297" s="70"/>
      <x:c r="B297" s="70"/>
      <x:c r="C297" s="70"/>
      <x:c r="D297" s="70"/>
      <x:c r="E297" s="70"/>
      <x:c r="F297" s="70"/>
      <x:c r="G297" s="70"/>
    </x:row>
    <x:row r="298" ht="15" hidden="0" customHeight="1">
      <x:c r="A298" s="70"/>
      <x:c r="B298" s="70"/>
      <x:c r="C298" s="70"/>
      <x:c r="D298" s="70"/>
      <x:c r="E298" s="70"/>
      <x:c r="F298" s="70"/>
      <x:c r="G298" s="70"/>
    </x:row>
    <x:row r="299" ht="15" hidden="0" customHeight="1">
      <x:c r="A299" s="70"/>
      <x:c r="B299" s="70"/>
      <x:c r="C299" s="70"/>
      <x:c r="D299" s="70"/>
      <x:c r="E299" s="70"/>
      <x:c r="F299" s="70"/>
      <x:c r="G299" s="70"/>
    </x:row>
    <x:row r="300" ht="15" hidden="0" customHeight="1">
      <x:c r="A300" s="70"/>
      <x:c r="B300" s="70"/>
      <x:c r="C300" s="70"/>
      <x:c r="D300" s="70"/>
      <x:c r="E300" s="70"/>
      <x:c r="F300" s="70"/>
      <x:c r="G300" s="70"/>
    </x:row>
    <x:row r="301" ht="15" hidden="0" customHeight="1">
      <x:c r="A301" s="70"/>
      <x:c r="B301" s="70"/>
      <x:c r="C301" s="70"/>
      <x:c r="D301" s="70"/>
      <x:c r="E301" s="70"/>
      <x:c r="F301" s="70"/>
      <x:c r="G301" s="70"/>
    </x:row>
    <x:row r="302" ht="15" hidden="0" customHeight="1">
      <x:c r="A302" s="70"/>
      <x:c r="B302" s="70"/>
      <x:c r="C302" s="70"/>
      <x:c r="D302" s="70"/>
      <x:c r="E302" s="70"/>
      <x:c r="F302" s="70"/>
      <x:c r="G302" s="70"/>
    </x:row>
    <x:row r="303" ht="15" hidden="0" customHeight="1">
      <x:c r="A303" s="70"/>
      <x:c r="B303" s="70"/>
      <x:c r="C303" s="70"/>
      <x:c r="D303" s="70"/>
      <x:c r="E303" s="70"/>
      <x:c r="F303" s="70"/>
      <x:c r="G303" s="70"/>
    </x:row>
    <x:row r="304" ht="15" hidden="0" customHeight="1">
      <x:c r="A304" s="70"/>
      <x:c r="B304" s="70"/>
      <x:c r="C304" s="70"/>
      <x:c r="D304" s="70"/>
      <x:c r="E304" s="70"/>
      <x:c r="F304" s="70"/>
      <x:c r="G304" s="70"/>
    </x:row>
    <x:row r="305" ht="15" hidden="0" customHeight="1">
      <x:c r="A305" s="70"/>
      <x:c r="B305" s="70"/>
      <x:c r="C305" s="70"/>
      <x:c r="D305" s="70"/>
      <x:c r="E305" s="70"/>
      <x:c r="F305" s="70"/>
      <x:c r="G305" s="70"/>
    </x:row>
    <x:row r="306" ht="15" hidden="0" customHeight="1">
      <x:c r="A306" s="70"/>
      <x:c r="B306" s="70"/>
      <x:c r="C306" s="70"/>
      <x:c r="D306" s="70"/>
      <x:c r="E306" s="70"/>
      <x:c r="F306" s="70"/>
      <x:c r="G306" s="70"/>
    </x:row>
    <x:row r="307" ht="15" hidden="0" customHeight="1">
      <x:c r="A307" s="70"/>
      <x:c r="B307" s="70"/>
      <x:c r="C307" s="70"/>
      <x:c r="D307" s="70"/>
      <x:c r="E307" s="70"/>
      <x:c r="F307" s="70"/>
      <x:c r="G307" s="70"/>
    </x:row>
    <x:row r="308" ht="15" hidden="0" customHeight="1">
      <x:c r="A308" s="70"/>
      <x:c r="B308" s="70"/>
      <x:c r="C308" s="70"/>
      <x:c r="D308" s="70"/>
      <x:c r="E308" s="70"/>
      <x:c r="F308" s="70"/>
      <x:c r="G308" s="70"/>
    </x:row>
    <x:row r="309" ht="15" hidden="0" customHeight="1">
      <x:c r="A309" s="70"/>
      <x:c r="B309" s="70"/>
      <x:c r="C309" s="70"/>
      <x:c r="D309" s="70"/>
      <x:c r="E309" s="70"/>
      <x:c r="F309" s="70"/>
      <x:c r="G309" s="70"/>
    </x:row>
    <x:row r="310" ht="15" hidden="0" customHeight="1">
      <x:c r="A310" s="70"/>
      <x:c r="B310" s="70"/>
      <x:c r="C310" s="70"/>
      <x:c r="D310" s="70"/>
      <x:c r="E310" s="70"/>
      <x:c r="F310" s="70"/>
      <x:c r="G310" s="70"/>
    </x:row>
    <x:row r="311" ht="15" hidden="0" customHeight="1">
      <x:c r="A311" s="70"/>
      <x:c r="B311" s="70"/>
      <x:c r="C311" s="70"/>
      <x:c r="D311" s="70"/>
      <x:c r="E311" s="70"/>
      <x:c r="F311" s="70"/>
      <x:c r="G311" s="70"/>
    </x:row>
    <x:row r="312" ht="15" hidden="0" customHeight="1">
      <x:c r="A312" s="70"/>
      <x:c r="B312" s="70"/>
      <x:c r="C312" s="70"/>
      <x:c r="D312" s="70"/>
      <x:c r="E312" s="70"/>
      <x:c r="F312" s="70"/>
      <x:c r="G312" s="70"/>
    </x:row>
    <x:row r="313" ht="15" hidden="0" customHeight="1">
      <x:c r="A313" s="70"/>
      <x:c r="B313" s="70"/>
      <x:c r="C313" s="70"/>
      <x:c r="D313" s="70"/>
      <x:c r="E313" s="70"/>
      <x:c r="F313" s="70"/>
      <x:c r="G313" s="70"/>
    </x:row>
    <x:row r="314" ht="15" hidden="0" customHeight="1">
      <x:c r="A314" s="70"/>
      <x:c r="B314" s="70"/>
      <x:c r="C314" s="70"/>
      <x:c r="D314" s="70"/>
      <x:c r="E314" s="70"/>
      <x:c r="F314" s="70"/>
      <x:c r="G314" s="70"/>
    </x:row>
    <x:row r="315" ht="15" hidden="0" customHeight="1">
      <x:c r="A315" s="70"/>
      <x:c r="B315" s="70"/>
      <x:c r="C315" s="70"/>
      <x:c r="D315" s="70"/>
      <x:c r="E315" s="70"/>
      <x:c r="F315" s="70"/>
      <x:c r="G315" s="70"/>
    </x:row>
    <x:row r="316" ht="15" hidden="0" customHeight="1">
      <x:c r="A316" s="70"/>
      <x:c r="B316" s="70"/>
      <x:c r="C316" s="70"/>
      <x:c r="D316" s="70"/>
      <x:c r="E316" s="70"/>
      <x:c r="F316" s="70"/>
      <x:c r="G316" s="70"/>
    </x:row>
    <x:row r="317" ht="15" hidden="0" customHeight="1">
      <x:c r="A317" s="70"/>
      <x:c r="B317" s="70"/>
      <x:c r="C317" s="70"/>
      <x:c r="D317" s="70"/>
      <x:c r="E317" s="70"/>
      <x:c r="F317" s="70"/>
      <x:c r="G317" s="70"/>
    </x:row>
    <x:row r="318" ht="15" hidden="0" customHeight="1">
      <x:c r="A318" s="70"/>
      <x:c r="B318" s="70"/>
      <x:c r="C318" s="70"/>
      <x:c r="D318" s="70"/>
      <x:c r="E318" s="70"/>
      <x:c r="F318" s="70"/>
      <x:c r="G318" s="70"/>
    </x:row>
    <x:row r="319" ht="15" hidden="0" customHeight="1">
      <x:c r="A319" s="70"/>
      <x:c r="B319" s="70"/>
      <x:c r="C319" s="70"/>
      <x:c r="D319" s="70"/>
      <x:c r="E319" s="70"/>
      <x:c r="F319" s="70"/>
      <x:c r="G319" s="70"/>
    </x:row>
    <x:row r="320" ht="15" hidden="0" customHeight="1">
      <x:c r="A320" s="70"/>
      <x:c r="B320" s="70"/>
      <x:c r="C320" s="70"/>
      <x:c r="D320" s="70"/>
      <x:c r="E320" s="70"/>
      <x:c r="F320" s="70"/>
      <x:c r="G320" s="70"/>
    </x:row>
    <x:row r="321" ht="15" hidden="0" customHeight="1">
      <x:c r="A321" s="70"/>
      <x:c r="B321" s="70"/>
      <x:c r="C321" s="70"/>
      <x:c r="D321" s="70"/>
      <x:c r="E321" s="70"/>
      <x:c r="F321" s="70"/>
      <x:c r="G321" s="70"/>
    </x:row>
    <x:row r="322" ht="15" hidden="0" customHeight="1">
      <x:c r="A322" s="70"/>
      <x:c r="B322" s="70"/>
      <x:c r="C322" s="70"/>
      <x:c r="D322" s="70"/>
      <x:c r="E322" s="70"/>
      <x:c r="F322" s="70"/>
      <x:c r="G322" s="70"/>
    </x:row>
    <x:row r="323" ht="15" hidden="0" customHeight="1">
      <x:c r="A323" s="70"/>
      <x:c r="B323" s="70"/>
      <x:c r="C323" s="70"/>
      <x:c r="D323" s="70"/>
      <x:c r="E323" s="70"/>
      <x:c r="F323" s="70"/>
      <x:c r="G323" s="70"/>
    </x:row>
    <x:row r="324" ht="15" hidden="0" customHeight="1">
      <x:c r="A324" s="70"/>
      <x:c r="B324" s="70"/>
      <x:c r="C324" s="70"/>
      <x:c r="D324" s="70"/>
      <x:c r="E324" s="70"/>
      <x:c r="F324" s="70"/>
      <x:c r="G324" s="70"/>
    </x:row>
    <x:row r="325" ht="15" hidden="0" customHeight="1">
      <x:c r="A325" s="70"/>
      <x:c r="B325" s="70"/>
      <x:c r="C325" s="70"/>
      <x:c r="D325" s="70"/>
      <x:c r="E325" s="70"/>
      <x:c r="F325" s="70"/>
      <x:c r="G325" s="70"/>
    </x:row>
    <x:row r="326" ht="15" hidden="0" customHeight="1">
      <x:c r="A326" s="70"/>
      <x:c r="B326" s="70"/>
      <x:c r="C326" s="70"/>
      <x:c r="D326" s="70"/>
      <x:c r="E326" s="70"/>
      <x:c r="F326" s="70"/>
      <x:c r="G326" s="70"/>
    </x:row>
    <x:row r="327" ht="15" hidden="0" customHeight="1">
      <x:c r="A327" s="70"/>
      <x:c r="B327" s="70"/>
      <x:c r="C327" s="70"/>
      <x:c r="D327" s="70"/>
      <x:c r="E327" s="70"/>
      <x:c r="F327" s="70"/>
      <x:c r="G327" s="70"/>
    </x:row>
    <x:row r="328" ht="15" hidden="0" customHeight="1">
      <x:c r="A328" s="70"/>
      <x:c r="B328" s="70"/>
      <x:c r="C328" s="70"/>
      <x:c r="D328" s="70"/>
      <x:c r="E328" s="70"/>
      <x:c r="F328" s="70"/>
      <x:c r="G328" s="70"/>
    </x:row>
    <x:row r="329" ht="15" hidden="0" customHeight="1">
      <x:c r="A329" s="70"/>
      <x:c r="B329" s="70"/>
      <x:c r="C329" s="70"/>
      <x:c r="D329" s="70"/>
      <x:c r="E329" s="70"/>
      <x:c r="F329" s="70"/>
      <x:c r="G329" s="70"/>
    </x:row>
    <x:row r="330" ht="15" hidden="0" customHeight="1">
      <x:c r="A330" s="70"/>
      <x:c r="B330" s="70"/>
      <x:c r="C330" s="70"/>
      <x:c r="D330" s="70"/>
      <x:c r="E330" s="70"/>
      <x:c r="F330" s="70"/>
      <x:c r="G330" s="70"/>
    </x:row>
    <x:row r="331" ht="15" hidden="0" customHeight="1">
      <x:c r="A331" s="70"/>
      <x:c r="B331" s="70"/>
      <x:c r="C331" s="70"/>
      <x:c r="D331" s="70"/>
      <x:c r="E331" s="70"/>
      <x:c r="F331" s="70"/>
      <x:c r="G331" s="70"/>
    </x:row>
    <x:row r="332" ht="15" hidden="0" customHeight="1">
      <x:c r="A332" s="70"/>
      <x:c r="B332" s="70"/>
      <x:c r="C332" s="70"/>
      <x:c r="D332" s="70"/>
      <x:c r="E332" s="70"/>
      <x:c r="F332" s="70"/>
      <x:c r="G332" s="70"/>
    </x:row>
    <x:row r="333" ht="15" hidden="0" customHeight="1">
      <x:c r="A333" s="70"/>
      <x:c r="B333" s="70"/>
      <x:c r="C333" s="70"/>
      <x:c r="D333" s="70"/>
      <x:c r="E333" s="70"/>
      <x:c r="F333" s="70"/>
      <x:c r="G333" s="70"/>
    </x:row>
    <x:row r="334" ht="15" hidden="0" customHeight="1">
      <x:c r="A334" s="70"/>
      <x:c r="B334" s="70"/>
      <x:c r="C334" s="70"/>
      <x:c r="D334" s="70"/>
      <x:c r="E334" s="70"/>
      <x:c r="F334" s="70"/>
      <x:c r="G334" s="70"/>
    </x:row>
    <x:row r="335" ht="15" hidden="0" customHeight="1">
      <x:c r="A335" s="70"/>
      <x:c r="B335" s="70"/>
      <x:c r="C335" s="70"/>
      <x:c r="D335" s="70"/>
      <x:c r="E335" s="70"/>
      <x:c r="F335" s="70"/>
      <x:c r="G335" s="70"/>
    </x:row>
    <x:row r="336" ht="15" hidden="0" customHeight="1">
      <x:c r="A336" s="70"/>
      <x:c r="B336" s="70"/>
      <x:c r="C336" s="70"/>
      <x:c r="D336" s="70"/>
      <x:c r="E336" s="70"/>
      <x:c r="F336" s="70"/>
      <x:c r="G336" s="70"/>
    </x:row>
    <x:row r="337" ht="15" hidden="0" customHeight="1">
      <x:c r="A337" s="70"/>
      <x:c r="B337" s="70"/>
      <x:c r="C337" s="70"/>
      <x:c r="D337" s="70"/>
      <x:c r="E337" s="70"/>
      <x:c r="F337" s="70"/>
      <x:c r="G337" s="70"/>
    </x:row>
    <x:row r="338" ht="15" hidden="0" customHeight="1">
      <x:c r="A338" s="70"/>
      <x:c r="B338" s="70"/>
      <x:c r="C338" s="70"/>
      <x:c r="D338" s="70"/>
      <x:c r="E338" s="70"/>
      <x:c r="F338" s="70"/>
      <x:c r="G338" s="70"/>
    </x:row>
    <x:row r="339" ht="15" hidden="0" customHeight="1">
      <x:c r="A339" s="70"/>
      <x:c r="B339" s="70"/>
      <x:c r="C339" s="70"/>
      <x:c r="D339" s="70"/>
      <x:c r="E339" s="70"/>
      <x:c r="F339" s="70"/>
      <x:c r="G339" s="70"/>
    </x:row>
    <x:row r="340" ht="15" hidden="0" customHeight="1">
      <x:c r="A340" s="70"/>
      <x:c r="B340" s="70"/>
      <x:c r="C340" s="70"/>
      <x:c r="D340" s="70"/>
      <x:c r="E340" s="70"/>
      <x:c r="F340" s="70"/>
      <x:c r="G340" s="70"/>
    </x:row>
    <x:row r="341" ht="15" hidden="0" customHeight="1">
      <x:c r="A341" s="70"/>
      <x:c r="B341" s="70"/>
      <x:c r="C341" s="70"/>
      <x:c r="D341" s="70"/>
      <x:c r="E341" s="70"/>
      <x:c r="F341" s="70"/>
      <x:c r="G341" s="70"/>
    </x:row>
    <x:row r="342" ht="15" hidden="0" customHeight="1">
      <x:c r="A342" s="70"/>
      <x:c r="B342" s="70"/>
      <x:c r="C342" s="70"/>
      <x:c r="D342" s="70"/>
      <x:c r="E342" s="70"/>
      <x:c r="F342" s="70"/>
      <x:c r="G342" s="70"/>
    </x:row>
    <x:row r="343" ht="15" hidden="0" customHeight="1">
      <x:c r="A343" s="70"/>
      <x:c r="B343" s="70"/>
      <x:c r="C343" s="70"/>
      <x:c r="D343" s="70"/>
      <x:c r="E343" s="70"/>
      <x:c r="F343" s="70"/>
      <x:c r="G343" s="70"/>
    </x:row>
    <x:row r="344" ht="15" hidden="0" customHeight="1">
      <x:c r="A344" s="70"/>
      <x:c r="B344" s="70"/>
      <x:c r="C344" s="70"/>
      <x:c r="D344" s="70"/>
      <x:c r="E344" s="70"/>
      <x:c r="F344" s="70"/>
      <x:c r="G344" s="70"/>
    </x:row>
    <x:row r="345" ht="15" hidden="0" customHeight="1">
      <x:c r="A345" s="70"/>
      <x:c r="B345" s="70"/>
      <x:c r="C345" s="70"/>
      <x:c r="D345" s="70"/>
      <x:c r="E345" s="70"/>
      <x:c r="F345" s="70"/>
      <x:c r="G345" s="70"/>
    </x:row>
    <x:row r="346" ht="15" hidden="0" customHeight="1">
      <x:c r="A346" s="70"/>
      <x:c r="B346" s="70"/>
      <x:c r="C346" s="70"/>
      <x:c r="D346" s="70"/>
      <x:c r="E346" s="70"/>
      <x:c r="F346" s="70"/>
      <x:c r="G346" s="70"/>
    </x:row>
    <x:row r="347" ht="15" hidden="0" customHeight="1">
      <x:c r="A347" s="70"/>
      <x:c r="B347" s="70"/>
      <x:c r="C347" s="70"/>
      <x:c r="D347" s="70"/>
      <x:c r="E347" s="70"/>
      <x:c r="F347" s="70"/>
      <x:c r="G347" s="70"/>
    </x:row>
    <x:row r="348" ht="15" hidden="0" customHeight="1">
      <x:c r="A348" s="70"/>
      <x:c r="B348" s="70"/>
      <x:c r="C348" s="70"/>
      <x:c r="D348" s="70"/>
      <x:c r="E348" s="70"/>
      <x:c r="F348" s="70"/>
      <x:c r="G348" s="70"/>
    </x:row>
    <x:row r="349" ht="15" hidden="0" customHeight="1">
      <x:c r="A349" s="70"/>
      <x:c r="B349" s="70"/>
      <x:c r="C349" s="70"/>
      <x:c r="D349" s="70"/>
      <x:c r="E349" s="70"/>
      <x:c r="F349" s="70"/>
      <x:c r="G349" s="70"/>
    </x:row>
    <x:row r="350" ht="15" hidden="0" customHeight="1">
      <x:c r="A350" s="70"/>
      <x:c r="B350" s="70"/>
      <x:c r="C350" s="70"/>
      <x:c r="D350" s="70"/>
      <x:c r="E350" s="70"/>
      <x:c r="F350" s="70"/>
      <x:c r="G350" s="70"/>
    </x:row>
    <x:row r="351" ht="15" hidden="0" customHeight="1">
      <x:c r="A351" s="70"/>
      <x:c r="B351" s="70"/>
      <x:c r="C351" s="70"/>
      <x:c r="D351" s="70"/>
      <x:c r="E351" s="70"/>
      <x:c r="F351" s="70"/>
      <x:c r="G351" s="70"/>
    </x:row>
    <x:row r="352" ht="15" hidden="0" customHeight="1">
      <x:c r="A352" s="70"/>
      <x:c r="B352" s="70"/>
      <x:c r="C352" s="70"/>
      <x:c r="D352" s="70"/>
      <x:c r="E352" s="70"/>
      <x:c r="F352" s="70"/>
      <x:c r="G352" s="70"/>
    </x:row>
    <x:row r="353" ht="15" hidden="0" customHeight="1">
      <x:c r="A353" s="70"/>
      <x:c r="B353" s="70"/>
      <x:c r="C353" s="70"/>
      <x:c r="D353" s="70"/>
      <x:c r="E353" s="70"/>
      <x:c r="F353" s="70"/>
      <x:c r="G353" s="70"/>
    </x:row>
    <x:row r="354" ht="15" hidden="0" customHeight="1">
      <x:c r="A354" s="70"/>
      <x:c r="B354" s="70"/>
      <x:c r="C354" s="70"/>
      <x:c r="D354" s="70"/>
      <x:c r="E354" s="70"/>
      <x:c r="F354" s="70"/>
      <x:c r="G354" s="70"/>
    </x:row>
    <x:row r="355" ht="15" hidden="0" customHeight="1">
      <x:c r="A355" s="70"/>
      <x:c r="B355" s="70"/>
      <x:c r="C355" s="70"/>
      <x:c r="D355" s="70"/>
      <x:c r="E355" s="70"/>
      <x:c r="F355" s="70"/>
      <x:c r="G355" s="70"/>
    </x:row>
    <x:row r="356" ht="15" hidden="0" customHeight="1">
      <x:c r="A356" s="70"/>
      <x:c r="B356" s="70"/>
      <x:c r="C356" s="70"/>
      <x:c r="D356" s="70"/>
      <x:c r="E356" s="70"/>
      <x:c r="F356" s="70"/>
      <x:c r="G356" s="70"/>
    </x:row>
    <x:row r="357" ht="15" hidden="0" customHeight="1">
      <x:c r="A357" s="70"/>
      <x:c r="B357" s="70"/>
      <x:c r="C357" s="70"/>
      <x:c r="D357" s="70"/>
      <x:c r="E357" s="70"/>
      <x:c r="F357" s="70"/>
      <x:c r="G357" s="70"/>
    </x:row>
    <x:row r="358" ht="15" hidden="0" customHeight="1">
      <x:c r="A358" s="70"/>
      <x:c r="B358" s="70"/>
      <x:c r="C358" s="70"/>
      <x:c r="D358" s="70"/>
      <x:c r="E358" s="70"/>
      <x:c r="F358" s="70"/>
      <x:c r="G358" s="70"/>
    </x:row>
    <x:row r="359" ht="15" hidden="0" customHeight="1">
      <x:c r="A359" s="70"/>
      <x:c r="B359" s="70"/>
      <x:c r="C359" s="70"/>
      <x:c r="D359" s="70"/>
      <x:c r="E359" s="70"/>
      <x:c r="F359" s="70"/>
      <x:c r="G359" s="70"/>
    </x:row>
    <x:row r="360" ht="15" hidden="0" customHeight="1">
      <x:c r="A360" s="70"/>
      <x:c r="B360" s="70"/>
      <x:c r="C360" s="70"/>
      <x:c r="D360" s="70"/>
      <x:c r="E360" s="70"/>
      <x:c r="F360" s="70"/>
      <x:c r="G360" s="70"/>
    </x:row>
    <x:row r="361" ht="15" hidden="0" customHeight="1">
      <x:c r="A361" s="70"/>
      <x:c r="B361" s="70"/>
      <x:c r="C361" s="70"/>
      <x:c r="D361" s="70"/>
      <x:c r="E361" s="70"/>
      <x:c r="F361" s="70"/>
      <x:c r="G361" s="70"/>
    </x:row>
    <x:row r="362" ht="15" hidden="0" customHeight="1">
      <x:c r="A362" s="70"/>
      <x:c r="B362" s="70"/>
      <x:c r="C362" s="70"/>
      <x:c r="D362" s="70"/>
      <x:c r="E362" s="70"/>
      <x:c r="F362" s="70"/>
      <x:c r="G362" s="70"/>
    </x:row>
    <x:row r="363" ht="15" hidden="0" customHeight="1">
      <x:c r="A363" s="70"/>
      <x:c r="B363" s="70"/>
      <x:c r="C363" s="70"/>
      <x:c r="D363" s="70"/>
      <x:c r="E363" s="70"/>
      <x:c r="F363" s="70"/>
      <x:c r="G363" s="70"/>
    </x:row>
    <x:row r="364" ht="15" hidden="0" customHeight="1">
      <x:c r="A364" s="70"/>
      <x:c r="B364" s="70"/>
      <x:c r="C364" s="70"/>
      <x:c r="D364" s="70"/>
      <x:c r="E364" s="70"/>
      <x:c r="F364" s="70"/>
      <x:c r="G364" s="70"/>
    </x:row>
    <x:row r="365" ht="15" hidden="0" customHeight="1">
      <x:c r="A365" s="70"/>
      <x:c r="B365" s="70"/>
      <x:c r="C365" s="70"/>
      <x:c r="D365" s="70"/>
      <x:c r="E365" s="70"/>
      <x:c r="F365" s="70"/>
      <x:c r="G365" s="70"/>
    </x:row>
    <x:row r="366" ht="15" hidden="0" customHeight="1">
      <x:c r="A366" s="70"/>
      <x:c r="B366" s="70"/>
      <x:c r="C366" s="70"/>
      <x:c r="D366" s="70"/>
      <x:c r="E366" s="70"/>
      <x:c r="F366" s="70"/>
      <x:c r="G366" s="70"/>
    </x:row>
    <x:row r="367" ht="15" hidden="0" customHeight="1">
      <x:c r="A367" s="70"/>
      <x:c r="B367" s="70"/>
      <x:c r="C367" s="70"/>
      <x:c r="D367" s="70"/>
      <x:c r="E367" s="70"/>
      <x:c r="F367" s="70"/>
      <x:c r="G367" s="70"/>
    </x:row>
    <x:row r="368" ht="15" hidden="0" customHeight="1">
      <x:c r="A368" s="70"/>
      <x:c r="B368" s="70"/>
      <x:c r="C368" s="70"/>
      <x:c r="D368" s="70"/>
      <x:c r="E368" s="70"/>
      <x:c r="F368" s="70"/>
      <x:c r="G368" s="70"/>
    </x:row>
    <x:row r="369" ht="15" hidden="0" customHeight="1">
      <x:c r="A369" s="70"/>
      <x:c r="B369" s="70"/>
      <x:c r="C369" s="70"/>
      <x:c r="D369" s="70"/>
      <x:c r="E369" s="70"/>
      <x:c r="F369" s="70"/>
      <x:c r="G369" s="70"/>
    </x:row>
    <x:row r="370" ht="15" hidden="0" customHeight="1">
      <x:c r="A370" s="70"/>
      <x:c r="B370" s="70"/>
      <x:c r="C370" s="70"/>
      <x:c r="D370" s="70"/>
      <x:c r="E370" s="70"/>
      <x:c r="F370" s="70"/>
      <x:c r="G370" s="70"/>
    </x:row>
    <x:row r="371" ht="15" hidden="0" customHeight="1">
      <x:c r="A371" s="70"/>
      <x:c r="B371" s="70"/>
      <x:c r="C371" s="70"/>
      <x:c r="D371" s="70"/>
      <x:c r="E371" s="70"/>
      <x:c r="F371" s="70"/>
      <x:c r="G371" s="70"/>
    </x:row>
    <x:row r="372" ht="15" hidden="0" customHeight="1">
      <x:c r="A372" s="70"/>
      <x:c r="B372" s="70"/>
      <x:c r="C372" s="70"/>
      <x:c r="D372" s="70"/>
      <x:c r="E372" s="70"/>
      <x:c r="F372" s="70"/>
      <x:c r="G372" s="70"/>
    </x:row>
    <x:row r="373" ht="15" hidden="0" customHeight="1">
      <x:c r="A373" s="70"/>
      <x:c r="B373" s="70"/>
      <x:c r="C373" s="70"/>
      <x:c r="D373" s="70"/>
      <x:c r="E373" s="70"/>
      <x:c r="F373" s="70"/>
      <x:c r="G373" s="70"/>
    </x:row>
    <x:row r="374" ht="15" hidden="0" customHeight="1">
      <x:c r="A374" s="70"/>
      <x:c r="B374" s="70"/>
      <x:c r="C374" s="70"/>
      <x:c r="D374" s="70"/>
      <x:c r="E374" s="70"/>
      <x:c r="F374" s="70"/>
      <x:c r="G374" s="70"/>
    </x:row>
    <x:row r="375" ht="15" hidden="0" customHeight="1">
      <x:c r="A375" s="70"/>
      <x:c r="B375" s="70"/>
      <x:c r="C375" s="70"/>
      <x:c r="D375" s="70"/>
      <x:c r="E375" s="70"/>
      <x:c r="F375" s="70"/>
      <x:c r="G375" s="70"/>
    </x:row>
    <x:row r="376" ht="15" hidden="0" customHeight="1">
      <x:c r="A376" s="70"/>
      <x:c r="B376" s="70"/>
      <x:c r="C376" s="70"/>
      <x:c r="D376" s="70"/>
      <x:c r="E376" s="70"/>
      <x:c r="F376" s="70"/>
      <x:c r="G376" s="70"/>
    </x:row>
    <x:row r="377" ht="15" hidden="0" customHeight="1">
      <x:c r="A377" s="70"/>
      <x:c r="B377" s="70"/>
      <x:c r="C377" s="70"/>
      <x:c r="D377" s="70"/>
      <x:c r="E377" s="70"/>
      <x:c r="F377" s="70"/>
      <x:c r="G377" s="70"/>
    </x:row>
    <x:row r="378" ht="15" hidden="0" customHeight="1">
      <x:c r="A378" s="70"/>
      <x:c r="B378" s="70"/>
      <x:c r="C378" s="70"/>
      <x:c r="D378" s="70"/>
      <x:c r="E378" s="70"/>
      <x:c r="F378" s="70"/>
      <x:c r="G378" s="70"/>
    </x:row>
    <x:row r="379" ht="15" hidden="0" customHeight="1">
      <x:c r="A379" s="70"/>
      <x:c r="B379" s="70"/>
      <x:c r="C379" s="70"/>
      <x:c r="D379" s="70"/>
      <x:c r="E379" s="70"/>
      <x:c r="F379" s="70"/>
      <x:c r="G379" s="70"/>
    </x:row>
    <x:row r="380" ht="15" hidden="0" customHeight="1">
      <x:c r="A380" s="70"/>
      <x:c r="B380" s="70"/>
      <x:c r="C380" s="70"/>
      <x:c r="D380" s="70"/>
      <x:c r="E380" s="70"/>
      <x:c r="F380" s="70"/>
      <x:c r="G380" s="70"/>
    </x:row>
    <x:row r="381" ht="15" hidden="0" customHeight="1">
      <x:c r="A381" s="70"/>
      <x:c r="B381" s="70"/>
      <x:c r="C381" s="70"/>
      <x:c r="D381" s="70"/>
      <x:c r="E381" s="70"/>
      <x:c r="F381" s="70"/>
      <x:c r="G381" s="70"/>
    </x:row>
    <x:row r="382" ht="15" hidden="0" customHeight="1">
      <x:c r="A382" s="70"/>
      <x:c r="B382" s="70"/>
      <x:c r="C382" s="70"/>
      <x:c r="D382" s="70"/>
      <x:c r="E382" s="70"/>
      <x:c r="F382" s="70"/>
      <x:c r="G382" s="70"/>
    </x:row>
    <x:row r="383" ht="15" hidden="0" customHeight="1">
      <x:c r="A383" s="70"/>
      <x:c r="B383" s="70"/>
      <x:c r="C383" s="70"/>
      <x:c r="D383" s="70"/>
      <x:c r="E383" s="70"/>
      <x:c r="F383" s="70"/>
      <x:c r="G383" s="70"/>
    </x:row>
    <x:row r="384" ht="15" hidden="0" customHeight="1">
      <x:c r="A384" s="70"/>
      <x:c r="B384" s="70"/>
      <x:c r="C384" s="70"/>
      <x:c r="D384" s="70"/>
      <x:c r="E384" s="70"/>
      <x:c r="F384" s="70"/>
      <x:c r="G384" s="70"/>
    </x:row>
    <x:row r="385" ht="15" hidden="0" customHeight="1">
      <x:c r="A385" s="70"/>
      <x:c r="B385" s="70"/>
      <x:c r="C385" s="70"/>
      <x:c r="D385" s="70"/>
      <x:c r="E385" s="70"/>
      <x:c r="F385" s="70"/>
      <x:c r="G385" s="70"/>
    </x:row>
    <x:row r="386" ht="15" hidden="0" customHeight="1">
      <x:c r="A386" s="70"/>
      <x:c r="B386" s="70"/>
      <x:c r="C386" s="70"/>
      <x:c r="D386" s="70"/>
      <x:c r="E386" s="70"/>
      <x:c r="F386" s="70"/>
      <x:c r="G386" s="70"/>
    </x:row>
    <x:row r="387" ht="15" hidden="0" customHeight="1">
      <x:c r="A387" s="70"/>
      <x:c r="B387" s="70"/>
      <x:c r="C387" s="70"/>
      <x:c r="D387" s="70"/>
      <x:c r="E387" s="70"/>
      <x:c r="F387" s="70"/>
      <x:c r="G387" s="70"/>
    </x:row>
    <x:row r="388" ht="15" hidden="0" customHeight="1">
      <x:c r="A388" s="70"/>
      <x:c r="B388" s="70"/>
      <x:c r="C388" s="70"/>
      <x:c r="D388" s="70"/>
      <x:c r="E388" s="70"/>
      <x:c r="F388" s="70"/>
      <x:c r="G388" s="70"/>
    </x:row>
    <x:row r="389" ht="15" hidden="0" customHeight="1">
      <x:c r="A389" s="70"/>
      <x:c r="B389" s="70"/>
      <x:c r="C389" s="70"/>
      <x:c r="D389" s="70"/>
      <x:c r="E389" s="70"/>
      <x:c r="F389" s="70"/>
      <x:c r="G389" s="70"/>
    </x:row>
    <x:row r="390" ht="15" hidden="0" customHeight="1">
      <x:c r="A390" s="70"/>
      <x:c r="B390" s="70"/>
      <x:c r="C390" s="70"/>
      <x:c r="D390" s="70"/>
      <x:c r="E390" s="70"/>
      <x:c r="F390" s="70"/>
      <x:c r="G390" s="70"/>
    </x:row>
    <x:row r="391" ht="15" hidden="0" customHeight="1">
      <x:c r="A391" s="70"/>
      <x:c r="B391" s="70"/>
      <x:c r="C391" s="70"/>
      <x:c r="D391" s="70"/>
      <x:c r="E391" s="70"/>
      <x:c r="F391" s="70"/>
      <x:c r="G391" s="70"/>
    </x:row>
    <x:row r="392" ht="15" hidden="0" customHeight="1">
      <x:c r="A392" s="70"/>
      <x:c r="B392" s="70"/>
      <x:c r="C392" s="70"/>
      <x:c r="D392" s="70"/>
      <x:c r="E392" s="70"/>
      <x:c r="F392" s="70"/>
      <x:c r="G392" s="70"/>
    </x:row>
    <x:row r="393" ht="15" hidden="0" customHeight="1">
      <x:c r="A393" s="70"/>
      <x:c r="B393" s="70"/>
      <x:c r="C393" s="70"/>
      <x:c r="D393" s="70"/>
      <x:c r="E393" s="70"/>
      <x:c r="F393" s="70"/>
      <x:c r="G393" s="70"/>
    </x:row>
    <x:row r="394" ht="15" hidden="0" customHeight="1">
      <x:c r="A394" s="70"/>
      <x:c r="B394" s="70"/>
      <x:c r="C394" s="70"/>
      <x:c r="D394" s="70"/>
      <x:c r="E394" s="70"/>
      <x:c r="F394" s="70"/>
      <x:c r="G394" s="70"/>
    </x:row>
    <x:row r="395" ht="15" hidden="0" customHeight="1">
      <x:c r="A395" s="70"/>
      <x:c r="B395" s="70"/>
      <x:c r="C395" s="70"/>
      <x:c r="D395" s="70"/>
      <x:c r="E395" s="70"/>
      <x:c r="F395" s="70"/>
      <x:c r="G395" s="70"/>
    </x:row>
    <x:row r="396" ht="15" hidden="0" customHeight="1">
      <x:c r="A396" s="70"/>
      <x:c r="B396" s="70"/>
      <x:c r="C396" s="70"/>
      <x:c r="D396" s="70"/>
      <x:c r="E396" s="70"/>
      <x:c r="F396" s="70"/>
      <x:c r="G396" s="70"/>
    </x:row>
    <x:row r="397" ht="15" hidden="0" customHeight="1">
      <x:c r="A397" s="70"/>
      <x:c r="B397" s="70"/>
      <x:c r="C397" s="70"/>
      <x:c r="D397" s="70"/>
      <x:c r="E397" s="70"/>
      <x:c r="F397" s="70"/>
      <x:c r="G397" s="70"/>
    </x:row>
    <x:row r="398" ht="15" hidden="0" customHeight="1">
      <x:c r="A398" s="70"/>
      <x:c r="B398" s="70"/>
      <x:c r="C398" s="70"/>
      <x:c r="D398" s="70"/>
      <x:c r="E398" s="70"/>
      <x:c r="F398" s="70"/>
      <x:c r="G398" s="70"/>
    </x:row>
    <x:row r="399" ht="15" hidden="0" customHeight="1">
      <x:c r="A399" s="70"/>
      <x:c r="B399" s="70"/>
      <x:c r="C399" s="70"/>
      <x:c r="D399" s="70"/>
      <x:c r="E399" s="70"/>
      <x:c r="F399" s="70"/>
      <x:c r="G399" s="70"/>
    </x:row>
    <x:row r="400" ht="15" hidden="0" customHeight="1">
      <x:c r="A400" s="70"/>
      <x:c r="B400" s="70"/>
      <x:c r="C400" s="70"/>
      <x:c r="D400" s="70"/>
      <x:c r="E400" s="70"/>
      <x:c r="F400" s="70"/>
      <x:c r="G400" s="70"/>
    </x:row>
  </x:sheetData>
  <x:mergeCells>
    <x:mergeCell ref="A1:G1"/>
    <x:mergeCell ref="A2:G2"/>
  </x:mergeCells>
  <x:pageMargins left="0.7" right="0.7" top="0.75" bottom="0.75" header="0.3" footer="0.3"/>
  <x:tableParts count="1">
    <x:tablePart xmlns:r="http://schemas.openxmlformats.org/officeDocument/2006/relationships" r:id="R40bf134e0dbf4179"/>
  </x:tableParts>
</x:worksheet>
</file>

<file path=xl/worksheets/sheet9.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14" hidden="0" customWidth="1"/>
    <x:col min="2" max="2" width="25" hidden="0" customWidth="1"/>
    <x:col min="3" max="3" width="26" hidden="0" customWidth="1"/>
    <x:col min="4" max="4" width="24" hidden="0" customWidth="1"/>
    <x:col min="5" max="5" width="112" hidden="0" customWidth="1"/>
  </x:cols>
  <x:sheetData>
    <x:row r="1" ht="34" customHeight="1">
      <x:c r="A1" s="3" t="str">
        <x:v>Cấp phép và quốc gia</x:v>
      </x:c>
      <x:c r="B1" s="3"/>
      <x:c r="C1" s="3"/>
      <x:c r="D1" s="3"/>
      <x:c r="E1" s="3"/>
    </x:row>
    <x:row r="2" ht="33" customHeight="1">
      <x:c r="A2" s="7" t="str">
        <x:v>Mọi country pack chưa được phê duyệt; không giả có quyền kinh doanh hoặc bảo hộ toàn cầu.</x:v>
      </x:c>
      <x:c r="B2" s="7"/>
      <x:c r="C2" s="7"/>
      <x:c r="D2" s="7"/>
      <x:c r="E2" s="7"/>
    </x:row>
    <x:row r="4" ht="28" customHeight="1">
      <x:c r="A4" s="16" t="str">
        <x:v>Mã</x:v>
      </x:c>
      <x:c r="B4" s="16" t="str">
        <x:v>Quốc gia</x:v>
      </x:c>
      <x:c r="C4" s="16" t="str">
        <x:v>Locale</x:v>
      </x:c>
      <x:c r="D4" s="16" t="str">
        <x:v>Status</x:v>
      </x:c>
      <x:c r="E4" s="16" t="str">
        <x:v>Ghi chú</x:v>
      </x:c>
    </x:row>
    <x:row r="5" ht="46" customHeight="1">
      <x:c r="A5" s="20" t="str">
        <x:v>VN</x:v>
      </x:c>
      <x:c r="B5" s="20" t="str">
        <x:v>Việt Nam</x:v>
      </x:c>
      <x:c r="C5" s="20" t="str">
        <x:v>vi-VN</x:v>
      </x:c>
      <x:c r="D5" s="20" t="str">
        <x:v>NOT_APPROVED</x:v>
      </x:c>
      <x:c r="E5" s="20" t="str">
        <x:v>Primary scope; legal applicability opinion required</x:v>
      </x:c>
    </x:row>
    <x:row r="6" ht="46" customHeight="1">
      <x:c r="A6" s="20" t="str">
        <x:v>EU-EEA</x:v>
      </x:c>
      <x:c r="B6" s="20" t="str">
        <x:v>EU/EEA</x:v>
      </x:c>
      <x:c r="C6" s="20" t="str">
        <x:v>country_specific</x:v>
      </x:c>
      <x:c r="D6" s="20" t="str">
        <x:v>NOT_APPROVED</x:v>
      </x:c>
      <x:c r="E6" s="20" t="str">
        <x:v>GDPR, AI Act consolidated timeline; local franchise/consumer rules</x:v>
      </x:c>
    </x:row>
    <x:row r="7" ht="46" customHeight="1">
      <x:c r="A7" s="20" t="str">
        <x:v>US</x:v>
      </x:c>
      <x:c r="B7" s="20" t="str">
        <x:v>Hoa Kỳ</x:v>
      </x:c>
      <x:c r="C7" s="20" t="str">
        <x:v>en-US</x:v>
      </x:c>
      <x:c r="D7" s="20" t="str">
        <x:v>NOT_APPROVED</x:v>
      </x:c>
      <x:c r="E7" s="20" t="str">
        <x:v>FTC federal franchise + state rules; privacy, children, claims counsel</x:v>
      </x:c>
    </x:row>
    <x:row r="8" ht="46" customHeight="1">
      <x:c r="A8" s="20" t="str">
        <x:v>AU</x:v>
      </x:c>
      <x:c r="B8" s="20" t="str">
        <x:v>Australia</x:v>
      </x:c>
      <x:c r="C8" s="20" t="str">
        <x:v>en-AU</x:v>
      </x:c>
      <x:c r="D8" s="20" t="str">
        <x:v>NOT_APPROVED</x:v>
      </x:c>
      <x:c r="E8" s="20" t="str">
        <x:v>Franchise Code, privacy, consumer; current duties by transaction</x:v>
      </x:c>
    </x:row>
    <x:row r="9" ht="46" customHeight="1">
      <x:c r="A9" s="20" t="str">
        <x:v>SG</x:v>
      </x:c>
      <x:c r="B9" s="20" t="str">
        <x:v>Singapore</x:v>
      </x:c>
      <x:c r="C9" s="20" t="str">
        <x:v>en-SG</x:v>
      </x:c>
      <x:c r="D9" s="20" t="str">
        <x:v>NOT_APPROVED</x:v>
      </x:c>
      <x:c r="E9" s="20" t="str">
        <x:v>PDPC source partial; dedicated full legal review pending</x:v>
      </x:c>
    </x:row>
  </x:sheetData>
  <x:mergeCells>
    <x:mergeCell ref="A1:E1"/>
    <x:mergeCell ref="A2:E2"/>
  </x:mergeCells>
  <x:pageMargins left="0.7" right="0.7" top="0.75" bottom="0.75" header="0.3" footer="0.3"/>
  <x:tableParts count="1">
    <x:tablePart xmlns:r="http://schemas.openxmlformats.org/officeDocument/2006/relationships" r:id="R4735ff87a91f4c82"/>
  </x:tableParts>
</x:worksheet>
</file>

<file path=xl/worksheets/sheet10.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36" hidden="0" customWidth="1"/>
    <x:col min="2" max="2" width="21" hidden="0" customWidth="1"/>
    <x:col min="3" max="3" width="21" hidden="0" customWidth="1"/>
    <x:col min="4" max="4" width="21" hidden="0" customWidth="1"/>
    <x:col min="5" max="5" width="29" hidden="0" customWidth="1"/>
    <x:col min="6" max="6" width="36" hidden="0" customWidth="1"/>
    <x:col min="7" max="7" width="36" hidden="0" customWidth="1"/>
  </x:cols>
  <x:sheetData>
    <x:row r="1" ht="34" customHeight="1">
      <x:c r="A1" s="3" t="str">
        <x:v>Mô hình ngân sách | Nhập đơn giá đã được duyệt</x:v>
      </x:c>
      <x:c r="B1" s="3"/>
      <x:c r="C1" s="3"/>
      <x:c r="D1" s="3"/>
      <x:c r="E1" s="3"/>
      <x:c r="F1" s="3"/>
      <x:c r="G1" s="3"/>
    </x:row>
    <x:row r="2" ht="33" customHeight="1">
      <x:c r="A2" s="7" t="str">
        <x:v>FTE và tháng là proposal. Thiếu số lượng, số tháng hoặc đơn giá giữ kết quả unavailable. Đơn giá bằng 0 được chấp nhận khi có căn cứ.</x:v>
      </x:c>
      <x:c r="B2" s="7"/>
      <x:c r="C2" s="7"/>
      <x:c r="D2" s="7"/>
      <x:c r="E2" s="7"/>
      <x:c r="F2" s="7"/>
      <x:c r="G2" s="7"/>
    </x:row>
    <x:row r="4" ht="30" customHeight="1">
      <x:c r="A4" s="11" t="str">
        <x:v>Vai trò</x:v>
      </x:c>
      <x:c r="B4" s="11" t="str">
        <x:v>FTE giả định</x:v>
      </x:c>
      <x:c r="C4" s="11" t="str">
        <x:v>Số tháng</x:v>
      </x:c>
      <x:c r="D4" s="11" t="str">
        <x:v>Đơn giá/tháng VND</x:v>
      </x:c>
      <x:c r="E4" s="11" t="str">
        <x:v>Thành tiền VND</x:v>
      </x:c>
      <x:c r="F4" s="11" t="str">
        <x:v>Tình trạng</x:v>
      </x:c>
      <x:c r="G4" s="11" t="str">
        <x:v>Ghi chú</x:v>
      </x:c>
    </x:row>
    <x:row r="5" ht="44" customHeight="1">
      <x:c r="A5" s="14" t="str">
        <x:v>Tech Lead / Backend</x:v>
      </x:c>
      <x:c r="B5" s="34" t="n">
        <x:v>1</x:v>
      </x:c>
      <x:c r="C5" s="34" t="n">
        <x:v>6</x:v>
      </x:c>
      <x:c r="D5" s="40"/>
      <x:c r="E5" s="41" t="str">
        <x:f>IF(AND(ISNUMBER(B5),B5&gt;=0,ISNUMBER(C5),C5&gt;=0,ISNUMBER(D5),D5&gt;=0),B5*C5*D5,"")</x:f>
      </x:c>
      <x:c r="F5" s="14" t="str">
        <x:f>IF(ISNUMBER(E5),"ĐÃ CÓ GIẢ ĐỊNH","CẦN NHẬP GIẢ ĐỊNH")</x:f>
        <x:v>CẦN NHẬP GIẢ ĐỊNH</x:v>
      </x:c>
      <x:c r="G5" s="14" t="str">
        <x:v>Giả định beta; có thể kiêm nhiệm sau khi duyệt</x:v>
      </x:c>
    </x:row>
    <x:row r="6" ht="44" customHeight="1">
      <x:c r="A6" s="14" t="str">
        <x:v>Backend / Data</x:v>
      </x:c>
      <x:c r="B6" s="34" t="n">
        <x:v>1</x:v>
      </x:c>
      <x:c r="C6" s="34" t="n">
        <x:v>6</x:v>
      </x:c>
      <x:c r="D6" s="40"/>
      <x:c r="E6" s="41" t="str">
        <x:f>IF(AND(ISNUMBER(B6),B6&gt;=0,ISNUMBER(C6),C6&gt;=0,ISNUMBER(D6),D6&gt;=0),B6*C6*D6,"")</x:f>
      </x:c>
      <x:c r="F6" s="14" t="str">
        <x:f>IF(ISNUMBER(E6),"ĐÃ CÓ GIẢ ĐỊNH","CẦN NHẬP GIẢ ĐỊNH")</x:f>
        <x:v>CẦN NHẬP GIẢ ĐỊNH</x:v>
      </x:c>
      <x:c r="G6" s="14" t="str">
        <x:v>Giả định beta; có thể kiêm nhiệm sau khi duyệt</x:v>
      </x:c>
    </x:row>
    <x:row r="7" ht="44" customHeight="1">
      <x:c r="A7" s="14" t="str">
        <x:v>Frontend / UX</x:v>
      </x:c>
      <x:c r="B7" s="34" t="n">
        <x:v>1</x:v>
      </x:c>
      <x:c r="C7" s="34" t="n">
        <x:v>6</x:v>
      </x:c>
      <x:c r="D7" s="40"/>
      <x:c r="E7" s="41" t="str">
        <x:f>IF(AND(ISNUMBER(B7),B7&gt;=0,ISNUMBER(C7),C7&gt;=0,ISNUMBER(D7),D7&gt;=0),B7*C7*D7,"")</x:f>
      </x:c>
      <x:c r="F7" s="14" t="str">
        <x:f>IF(ISNUMBER(E7),"ĐÃ CÓ GIẢ ĐỊNH","CẦN NHẬP GIẢ ĐỊNH")</x:f>
        <x:v>CẦN NHẬP GIẢ ĐỊNH</x:v>
      </x:c>
      <x:c r="G7" s="14" t="str">
        <x:v>Giả định beta; có thể kiêm nhiệm sau khi duyệt</x:v>
      </x:c>
    </x:row>
    <x:row r="8" ht="44" customHeight="1">
      <x:c r="A8" s="14" t="str">
        <x:v>AI / Knowledge</x:v>
      </x:c>
      <x:c r="B8" s="34" t="n">
        <x:v>1</x:v>
      </x:c>
      <x:c r="C8" s="34" t="n">
        <x:v>6</x:v>
      </x:c>
      <x:c r="D8" s="40"/>
      <x:c r="E8" s="41" t="str">
        <x:f>IF(AND(ISNUMBER(B8),B8&gt;=0,ISNUMBER(C8),C8&gt;=0,ISNUMBER(D8),D8&gt;=0),B8*C8*D8,"")</x:f>
      </x:c>
      <x:c r="F8" s="14" t="str">
        <x:f>IF(ISNUMBER(E8),"ĐÃ CÓ GIẢ ĐỊNH","CẦN NHẬP GIẢ ĐỊNH")</x:f>
        <x:v>CẦN NHẬP GIẢ ĐỊNH</x:v>
      </x:c>
      <x:c r="G8" s="14" t="str">
        <x:v>Giả định beta; có thể kiêm nhiệm sau khi duyệt</x:v>
      </x:c>
    </x:row>
    <x:row r="9" ht="44" customHeight="1">
      <x:c r="A9" s="14" t="str">
        <x:v>Report / Full-stack</x:v>
      </x:c>
      <x:c r="B9" s="34" t="n">
        <x:v>1</x:v>
      </x:c>
      <x:c r="C9" s="34" t="n">
        <x:v>6</x:v>
      </x:c>
      <x:c r="D9" s="40"/>
      <x:c r="E9" s="41" t="str">
        <x:f>IF(AND(ISNUMBER(B9),B9&gt;=0,ISNUMBER(C9),C9&gt;=0,ISNUMBER(D9),D9&gt;=0),B9*C9*D9,"")</x:f>
      </x:c>
      <x:c r="F9" s="14" t="str">
        <x:f>IF(ISNUMBER(E9),"ĐÃ CÓ GIẢ ĐỊNH","CẦN NHẬP GIẢ ĐỊNH")</x:f>
        <x:v>CẦN NHẬP GIẢ ĐỊNH</x:v>
      </x:c>
      <x:c r="G9" s="14" t="str">
        <x:v>Giả định beta; có thể kiêm nhiệm sau khi duyệt</x:v>
      </x:c>
    </x:row>
    <x:row r="10" ht="44" customHeight="1">
      <x:c r="A10" s="14" t="str">
        <x:v>QA Automation</x:v>
      </x:c>
      <x:c r="B10" s="34" t="n">
        <x:v>1</x:v>
      </x:c>
      <x:c r="C10" s="34" t="n">
        <x:v>6</x:v>
      </x:c>
      <x:c r="D10" s="40"/>
      <x:c r="E10" s="41" t="str">
        <x:f>IF(AND(ISNUMBER(B10),B10&gt;=0,ISNUMBER(C10),C10&gt;=0,ISNUMBER(D10),D10&gt;=0),B10*C10*D10,"")</x:f>
      </x:c>
      <x:c r="F10" s="14" t="str">
        <x:f>IF(ISNUMBER(E10),"ĐÃ CÓ GIẢ ĐỊNH","CẦN NHẬP GIẢ ĐỊNH")</x:f>
        <x:v>CẦN NHẬP GIẢ ĐỊNH</x:v>
      </x:c>
      <x:c r="G10" s="14" t="str">
        <x:v>Giả định beta; có thể kiêm nhiệm sau khi duyệt</x:v>
      </x:c>
    </x:row>
    <x:row r="11" ht="44" customHeight="1">
      <x:c r="A11" s="14" t="str">
        <x:v>Platform / SRE</x:v>
      </x:c>
      <x:c r="B11" s="34" t="n">
        <x:v>1</x:v>
      </x:c>
      <x:c r="C11" s="34" t="n">
        <x:v>6</x:v>
      </x:c>
      <x:c r="D11" s="40"/>
      <x:c r="E11" s="41" t="str">
        <x:f>IF(AND(ISNUMBER(B11),B11&gt;=0,ISNUMBER(C11),C11&gt;=0,ISNUMBER(D11),D11&gt;=0),B11*C11*D11,"")</x:f>
      </x:c>
      <x:c r="F11" s="14" t="str">
        <x:f>IF(ISNUMBER(E11),"ĐÃ CÓ GIẢ ĐỊNH","CẦN NHẬP GIẢ ĐỊNH")</x:f>
        <x:v>CẦN NHẬP GIẢ ĐỊNH</x:v>
      </x:c>
      <x:c r="G11" s="14" t="str">
        <x:v>Giả định beta; có thể kiêm nhiệm sau khi duyệt</x:v>
      </x:c>
    </x:row>
    <x:row r="12" ht="44" customHeight="1">
      <x:c r="A12" s="14" t="str">
        <x:v>Editorial / Product</x:v>
      </x:c>
      <x:c r="B12" s="34" t="n">
        <x:v>1</x:v>
      </x:c>
      <x:c r="C12" s="34" t="n">
        <x:v>6</x:v>
      </x:c>
      <x:c r="D12" s="40"/>
      <x:c r="E12" s="41" t="str">
        <x:f>IF(AND(ISNUMBER(B12),B12&gt;=0,ISNUMBER(C12),C12&gt;=0,ISNUMBER(D12),D12&gt;=0),B12*C12*D12,"")</x:f>
      </x:c>
      <x:c r="F12" s="14" t="str">
        <x:f>IF(ISNUMBER(E12),"ĐÃ CÓ GIẢ ĐỊNH","CẦN NHẬP GIẢ ĐỊNH")</x:f>
        <x:v>CẦN NHẬP GIẢ ĐỊNH</x:v>
      </x:c>
      <x:c r="G12" s="14" t="str">
        <x:v>Giả định beta; có thể kiêm nhiệm sau khi duyệt</x:v>
      </x:c>
    </x:row>
    <x:row r="13">
      <x:c r="D13" s="42"/>
      <x:c r="E13" s="42"/>
    </x:row>
    <x:row r="14">
      <x:c r="A14" t="str">
        <x:v>Tổng nhân sự</x:v>
      </x:c>
      <x:c r="D14" s="42"/>
      <x:c r="E14" s="42" t="str">
        <x:f>IF(COUNT(E5:E12)=8,SUM(E5:E12),"CHƯA ĐỦ GIẢ ĐỊNH")</x:f>
        <x:v>CHƯA ĐỦ GIẢ ĐỊNH</x:v>
      </x:c>
    </x:row>
    <x:row r="15">
      <x:c r="D15" s="42"/>
      <x:c r="E15" s="42"/>
    </x:row>
    <x:row r="16">
      <x:c r="D16" s="42"/>
      <x:c r="E16" s="42"/>
    </x:row>
    <x:row r="17">
      <x:c r="A17" t="str">
        <x:v>Hạ tầng / AI 6 tháng</x:v>
      </x:c>
      <x:c r="B17" s="36"/>
      <x:c r="D17" s="42"/>
      <x:c r="E17" s="42"/>
    </x:row>
    <x:row r="18">
      <x:c r="A18" t="str">
        <x:v>Pháp lý / quyền nguồn</x:v>
      </x:c>
      <x:c r="B18" s="36"/>
      <x:c r="D18" s="42"/>
      <x:c r="E18" s="42"/>
    </x:row>
    <x:row r="19">
      <x:c r="A19" t="str">
        <x:v>Security review độc lập</x:v>
      </x:c>
      <x:c r="B19" s="36"/>
      <x:c r="D19" s="42"/>
      <x:c r="E19" s="42"/>
    </x:row>
    <x:row r="20">
      <x:c r="A20" t="str">
        <x:v>Dịch / bản địa hóa</x:v>
      </x:c>
      <x:c r="B20" s="36"/>
      <x:c r="D20" s="42"/>
      <x:c r="E20" s="42"/>
    </x:row>
    <x:row r="21">
      <x:c r="A21" t="str">
        <x:v>Dự phòng (%)</x:v>
      </x:c>
      <x:c r="B21" s="37" t="n">
        <x:v>0.15</x:v>
      </x:c>
      <x:c r="D21" s="42"/>
      <x:c r="E21" s="42"/>
    </x:row>
    <x:row r="22">
      <x:c r="D22" s="42"/>
      <x:c r="E22" s="42"/>
    </x:row>
    <x:row r="23">
      <x:c r="A23" t="str">
        <x:v>Tổng ngân sách</x:v>
      </x:c>
      <x:c r="D23" s="42"/>
      <x:c r="E23" s="42" t="str">
        <x:f>IF(AND(COUNT(E5:E12)=8,COUNT(B17:B21)=5,MIN(B17:B20)&gt;=0,B21&gt;=0,B21&lt;=1),(SUM(E5:E12)+SUM(B17:B20))*(1+B21),"CHƯA ĐỦ GIẢ ĐỊNH")</x:f>
        <x:v>CHƯA ĐỦ GIẢ ĐỊNH</x:v>
      </x:c>
    </x:row>
    <x:row r="25" ht="26" customHeight="1">
      <x:c r="A25" s="31" t="str">
        <x:v>Không là báo giá thị trường. Không gồm ROI/thu nhập nhượng quyền. Nhập chi phí hợp lệ và thay số tháng theo scope trước khi dùng để quyết định.</x:v>
      </x:c>
      <x:c r="B25" s="31"/>
      <x:c r="C25" s="31"/>
      <x:c r="D25" s="31"/>
      <x:c r="E25" s="31"/>
      <x:c r="F25" s="31"/>
      <x:c r="G25" s="31"/>
    </x:row>
    <x:row r="26" ht="26" customHeight="1">
      <x:c r="A26" s="31"/>
      <x:c r="B26" s="31"/>
      <x:c r="C26" s="31"/>
      <x:c r="D26" s="31"/>
      <x:c r="E26" s="31"/>
      <x:c r="F26" s="31"/>
      <x:c r="G26" s="31"/>
    </x:row>
  </x:sheetData>
  <x:mergeCells>
    <x:mergeCell ref="A1:G1"/>
    <x:mergeCell ref="A2:G2"/>
    <x:mergeCell ref="A25:G26"/>
  </x:mergeCells>
  <x:pageMargins left="0.7" right="0.7" top="0.75" bottom="0.75" header="0.3" footer="0.3"/>
</x:worksheet>
</file>

<file path=xl/worksheets/sheet1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0" hidden="0" customWidth="1"/>
    <x:col min="2" max="2" width="22" hidden="0" customWidth="1"/>
    <x:col min="3" max="3" width="22" hidden="0" customWidth="1"/>
    <x:col min="4" max="4" width="22" hidden="0" customWidth="1"/>
    <x:col min="5" max="5" width="22" hidden="0" customWidth="1"/>
    <x:col min="6" max="6" width="20" hidden="0" customWidth="1"/>
    <x:col min="7" max="7" width="20" hidden="0" customWidth="1"/>
    <x:col min="8" max="8" width="20" hidden="0" customWidth="1"/>
  </x:cols>
  <x:sheetData>
    <x:row r="1" ht="34" customHeight="1">
      <x:c r="A1" s="3" t="str">
        <x:v>LIFE CODE OS | Tổng quan bàn giao</x:v>
      </x:c>
      <x:c r="B1" s="3"/>
      <x:c r="C1" s="3"/>
      <x:c r="D1" s="3"/>
      <x:c r="E1" s="3"/>
      <x:c r="F1" s="3"/>
      <x:c r="G1" s="3"/>
      <x:c r="H1" s="3"/>
    </x:row>
    <x:row r="2" ht="33" customHeight="1">
      <x:c r="A2" s="7" t="str">
        <x:v>Bản hợp nhất 20/10. Số liệu là trạng thái kế hoạch; release HOLD, chưa có production receipt.</x:v>
      </x:c>
      <x:c r="B2" s="7"/>
      <x:c r="C2" s="7"/>
      <x:c r="D2" s="7"/>
      <x:c r="E2" s="7"/>
      <x:c r="F2" s="7"/>
      <x:c r="G2" s="7"/>
      <x:c r="H2" s="7"/>
    </x:row>
    <x:row r="4" ht="28" customHeight="1">
      <x:c r="A4" s="11" t="str">
        <x:v>Công việc</x:v>
      </x:c>
      <x:c r="B4" s="11" t="str">
        <x:v>Đã DONE</x:v>
      </x:c>
      <x:c r="C4" s="11" t="str">
        <x:v>Gates verified</x:v>
      </x:c>
      <x:c r="D4" s="11" t="str">
        <x:v>Q đã duyệt</x:v>
      </x:c>
    </x:row>
    <x:row r="5" ht="45" customHeight="1">
      <x:c r="A5" s="47" t="n">
        <x:f>COUNTA(Backlog!A5:A160)</x:f>
        <x:v>156</x:v>
      </x:c>
      <x:c r="B5" s="47" t="n">
        <x:f>COUNTIFS(Backlog!F5:F160,"DONE")</x:f>
        <x:v>0</x:v>
      </x:c>
      <x:c r="C5" s="47" t="n">
        <x:f>COUNTIFS(Gates!D5:D16,"VERIFIED_CURRENT")</x:f>
        <x:v>0</x:v>
      </x:c>
      <x:c r="D5" s="47" t="n">
        <x:f>COUNTIFS(Decisions!C5:C24,"APPROVE")+COUNTIFS(Decisions!C5:C24,"APPROVE_WITH_CONDITIONS")</x:f>
        <x:v>0</x:v>
      </x:c>
    </x:row>
    <x:row r="8">
      <x:c r="A8" s="11" t="str">
        <x:v>Phase</x:v>
      </x:c>
      <x:c r="B8" s="11" t="str">
        <x:v>Công việc</x:v>
      </x:c>
      <x:c r="C8" s="11" t="str">
        <x:v>Ngày công thấp</x:v>
      </x:c>
      <x:c r="D8" s="11" t="str">
        <x:v>Ngày công cao</x:v>
      </x:c>
      <x:c r="E8" s="11" t="str">
        <x:v>DONE</x:v>
      </x:c>
    </x:row>
    <x:row r="9" ht="25" customHeight="1">
      <x:c r="A9" t="str">
        <x:v>P0</x:v>
      </x:c>
      <x:c r="B9" t="n">
        <x:f>COUNTIFS(Backlog!B$5:B$160,A9)</x:f>
        <x:v>10</x:v>
      </x:c>
      <x:c r="C9" t="n">
        <x:f>SUMIFS(Backlog!G$5:G$160,Backlog!B$5:B$160,A9)</x:f>
        <x:v>10</x:v>
      </x:c>
      <x:c r="D9" t="n">
        <x:f>SUMIFS(Backlog!H$5:H$160,Backlog!B$5:B$160,A9)</x:f>
        <x:v>20</x:v>
      </x:c>
      <x:c r="E9" t="n">
        <x:f>COUNTIFS(Backlog!B$5:B$160,A9,Backlog!F$5:F$160,"DONE")</x:f>
        <x:v>0</x:v>
      </x:c>
    </x:row>
    <x:row r="10" ht="25" customHeight="1">
      <x:c r="A10" t="str">
        <x:v>A</x:v>
      </x:c>
      <x:c r="B10" t="n">
        <x:f>COUNTIFS(Backlog!B$5:B$160,A10)</x:f>
        <x:v>14</x:v>
      </x:c>
      <x:c r="C10" t="n">
        <x:f>SUMIFS(Backlog!G$5:G$160,Backlog!B$5:B$160,A10)</x:f>
        <x:v>39</x:v>
      </x:c>
      <x:c r="D10" t="n">
        <x:f>SUMIFS(Backlog!H$5:H$160,Backlog!B$5:B$160,A10)</x:f>
        <x:v>89</x:v>
      </x:c>
      <x:c r="E10" t="n">
        <x:f>COUNTIFS(Backlog!B$5:B$160,A10,Backlog!F$5:F$160,"DONE")</x:f>
        <x:v>0</x:v>
      </x:c>
    </x:row>
    <x:row r="11" ht="25" customHeight="1">
      <x:c r="A11" t="str">
        <x:v>B</x:v>
      </x:c>
      <x:c r="B11" t="n">
        <x:f>COUNTIFS(Backlog!B$5:B$160,A11)</x:f>
        <x:v>23</x:v>
      </x:c>
      <x:c r="C11" t="n">
        <x:f>SUMIFS(Backlog!G$5:G$160,Backlog!B$5:B$160,A11)</x:f>
        <x:v>75</x:v>
      </x:c>
      <x:c r="D11" t="n">
        <x:f>SUMIFS(Backlog!H$5:H$160,Backlog!B$5:B$160,A11)</x:f>
        <x:v>170</x:v>
      </x:c>
      <x:c r="E11" t="n">
        <x:f>COUNTIFS(Backlog!B$5:B$160,A11,Backlog!F$5:F$160,"DONE")</x:f>
        <x:v>0</x:v>
      </x:c>
    </x:row>
    <x:row r="12" ht="25" customHeight="1">
      <x:c r="A12" t="str">
        <x:v>C</x:v>
      </x:c>
      <x:c r="B12" t="n">
        <x:f>COUNTIFS(Backlog!B$5:B$160,A12)</x:f>
        <x:v>49</x:v>
      </x:c>
      <x:c r="C12" t="n">
        <x:f>SUMIFS(Backlog!G$5:G$160,Backlog!B$5:B$160,A12)</x:f>
        <x:v>166</x:v>
      </x:c>
      <x:c r="D12" t="n">
        <x:f>SUMIFS(Backlog!H$5:H$160,Backlog!B$5:B$160,A12)</x:f>
        <x:v>376</x:v>
      </x:c>
      <x:c r="E12" t="n">
        <x:f>COUNTIFS(Backlog!B$5:B$160,A12,Backlog!F$5:F$160,"DONE")</x:f>
        <x:v>0</x:v>
      </x:c>
    </x:row>
    <x:row r="13" ht="25" customHeight="1">
      <x:c r="A13" t="str">
        <x:v>D</x:v>
      </x:c>
      <x:c r="B13" t="n">
        <x:f>COUNTIFS(Backlog!B$5:B$160,A13)</x:f>
        <x:v>30</x:v>
      </x:c>
      <x:c r="C13" t="n">
        <x:f>SUMIFS(Backlog!G$5:G$160,Backlog!B$5:B$160,A13)</x:f>
        <x:v>81</x:v>
      </x:c>
      <x:c r="D13" t="n">
        <x:f>SUMIFS(Backlog!H$5:H$160,Backlog!B$5:B$160,A13)</x:f>
        <x:v>192</x:v>
      </x:c>
      <x:c r="E13" t="n">
        <x:f>COUNTIFS(Backlog!B$5:B$160,A13,Backlog!F$5:F$160,"DONE")</x:f>
        <x:v>0</x:v>
      </x:c>
    </x:row>
    <x:row r="14" ht="25" customHeight="1">
      <x:c r="A14" t="str">
        <x:v>E</x:v>
      </x:c>
      <x:c r="B14" t="n">
        <x:f>COUNTIFS(Backlog!B$5:B$160,A14)</x:f>
        <x:v>20</x:v>
      </x:c>
      <x:c r="C14" t="n">
        <x:f>SUMIFS(Backlog!G$5:G$160,Backlog!B$5:B$160,A14)</x:f>
        <x:v>54</x:v>
      </x:c>
      <x:c r="D14" t="n">
        <x:f>SUMIFS(Backlog!H$5:H$160,Backlog!B$5:B$160,A14)</x:f>
        <x:v>128</x:v>
      </x:c>
      <x:c r="E14" t="n">
        <x:f>COUNTIFS(Backlog!B$5:B$160,A14,Backlog!F$5:F$160,"DONE")</x:f>
        <x:v>0</x:v>
      </x:c>
    </x:row>
    <x:row r="15" ht="25" customHeight="1">
      <x:c r="A15" t="str">
        <x:v>F</x:v>
      </x:c>
      <x:c r="B15" t="n">
        <x:f>COUNTIFS(Backlog!B$5:B$160,A15)</x:f>
        <x:v>10</x:v>
      </x:c>
      <x:c r="C15" t="n">
        <x:f>SUMIFS(Backlog!G$5:G$160,Backlog!B$5:B$160,A15)</x:f>
        <x:v>27</x:v>
      </x:c>
      <x:c r="D15" t="n">
        <x:f>SUMIFS(Backlog!H$5:H$160,Backlog!B$5:B$160,A15)</x:f>
        <x:v>64</x:v>
      </x:c>
      <x:c r="E15" t="n">
        <x:f>COUNTIFS(Backlog!B$5:B$160,A15,Backlog!F$5:F$160,"DONE")</x:f>
        <x:v>0</x:v>
      </x:c>
    </x:row>
    <x:row r="17" ht="26" customHeight="1">
      <x:c r="A17" s="50" t="str">
        <x:v>Tổng</x:v>
      </x:c>
      <x:c r="B17" s="50" t="n">
        <x:f>SUM(B9:B15)</x:f>
        <x:v>156</x:v>
      </x:c>
      <x:c r="C17" s="50" t="n">
        <x:f>SUM(C9:C15)</x:f>
        <x:v>452</x:v>
      </x:c>
      <x:c r="D17" s="50" t="n">
        <x:f>SUM(D9:D15)</x:f>
        <x:v>1039</x:v>
      </x:c>
      <x:c r="E17" s="50" t="n">
        <x:f>SUM(E9:E15)</x:f>
        <x:v>0</x:v>
      </x:c>
    </x:row>
    <x:row r="20" ht="30" customHeight="1">
      <x:c r="A20" s="31" t="str">
        <x:v>SOURCE: main 99b4027… | audit 336ef35a… | deployed SHA chưa có receipt</x:v>
      </x:c>
      <x:c r="B20" s="31"/>
      <x:c r="C20" s="31"/>
      <x:c r="D20" s="31"/>
      <x:c r="E20" s="31"/>
      <x:c r="F20" s="31"/>
      <x:c r="G20" s="31"/>
      <x:c r="H20" s="31"/>
    </x:row>
    <x:row r="22" ht="26" customHeight="1">
      <x:c r="A22" s="53" t="str">
        <x:v>Bắt đầu từ DEV_START_HERE. Demo/test local không thay auth, payment, migration và restore trên staging.</x:v>
      </x:c>
      <x:c r="B22" s="53"/>
      <x:c r="C22" s="53"/>
      <x:c r="D22" s="53"/>
      <x:c r="E22" s="53"/>
      <x:c r="F22" s="53"/>
      <x:c r="G22" s="53"/>
      <x:c r="H22" s="53"/>
    </x:row>
    <x:row r="23" ht="26" customHeight="1">
      <x:c r="A23" s="53"/>
      <x:c r="B23" s="53"/>
      <x:c r="C23" s="53"/>
      <x:c r="D23" s="53"/>
      <x:c r="E23" s="53"/>
      <x:c r="F23" s="53"/>
      <x:c r="G23" s="53"/>
      <x:c r="H23" s="53"/>
    </x:row>
  </x:sheetData>
  <x:mergeCells>
    <x:mergeCell ref="A1:H1"/>
    <x:mergeCell ref="A2:H2"/>
    <x:mergeCell ref="A20:H20"/>
    <x:mergeCell ref="A22:H23"/>
  </x:mergeCells>
  <x:pageMargins left="0.7" right="0.7" top="0.75" bottom="0.75" header="0.3" footer="0.3"/>
</x:worksheet>
</file>

<file path=xl/worksheets/sheet12.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12" hidden="0" customWidth="1"/>
    <x:col min="2" max="2" width="35" hidden="0" customWidth="1"/>
    <x:col min="3" max="3" width="25" hidden="0" customWidth="1"/>
    <x:col min="4" max="4" width="34" hidden="0" customWidth="1"/>
    <x:col min="5" max="5" width="85" hidden="0" customWidth="1"/>
    <x:col min="6" max="6" width="28" hidden="0" customWidth="1"/>
  </x:cols>
  <x:sheetData>
    <x:row r="1" ht="30" customHeight="1">
      <x:c r="A1" s="75" t="str">
        <x:v>FPOS RG0 đến RG13</x:v>
      </x:c>
      <x:c r="B1" s="75"/>
      <x:c r="C1" s="75"/>
      <x:c r="D1" s="75"/>
      <x:c r="E1" s="75"/>
      <x:c r="F1" s="75"/>
    </x:row>
    <x:row r="4" ht="36" customHeight="1">
      <x:c r="A4" s="68" t="str">
        <x:v>ID</x:v>
      </x:c>
      <x:c r="B4" s="68" t="str">
        <x:v>Gate</x:v>
      </x:c>
      <x:c r="C4" s="68" t="str">
        <x:v>Gate sản phẩm</x:v>
      </x:c>
      <x:c r="D4" s="68" t="str">
        <x:v>Vai trò</x:v>
      </x:c>
      <x:c r="E4" s="68" t="str">
        <x:v>Evidence</x:v>
      </x:c>
      <x:c r="F4" s="68" t="str">
        <x:v>Trạng thái</x:v>
      </x:c>
    </x:row>
    <x:row r="5" ht="15" hidden="0" customHeight="1">
      <x:c r="A5" s="56" t="str">
        <x:v>RG0</x:v>
      </x:c>
      <x:c r="B5" s="56" t="str">
        <x:v>Source and baseline</x:v>
      </x:c>
      <x:c r="C5" s="56" t="str">
        <x:v>G01</x:v>
      </x:c>
      <x:c r="D5" s="56" t="str">
        <x:v>Tech Lead</x:v>
      </x:c>
      <x:c r="E5" s="56" t="str">
        <x:v>Path/remote/branch/full SHA/clean-tree; artifact digest; exact environment</x:v>
      </x:c>
      <x:c r="F5" s="56" t="str">
        <x:v>NOT_CHECKED</x:v>
      </x:c>
    </x:row>
    <x:row r="6" ht="36" hidden="0" customHeight="1">
      <x:c r="A6" s="56" t="str">
        <x:v>RG1</x:v>
      </x:c>
      <x:c r="B6" s="56" t="str">
        <x:v>Governance product and business</x:v>
      </x:c>
      <x:c r="C6" s="56" t="str">
        <x:v>G04
G06
G12</x:v>
      </x:c>
      <x:c r="D6" s="56" t="str">
        <x:v>Founder + Product + Legal</x:v>
      </x:c>
      <x:c r="E6" s="56" t="str">
        <x:v>Charter; requirement acceptance; Q decisions; rights; scope/budget/service entity</x:v>
      </x:c>
      <x:c r="F6" s="56" t="str">
        <x:v>NOT_CHECKED</x:v>
      </x:c>
    </x:row>
    <x:row r="7" ht="36" hidden="0" customHeight="1">
      <x:c r="A7" s="56" t="str">
        <x:v>RG2</x:v>
      </x:c>
      <x:c r="B7" s="56" t="str">
        <x:v>Architecture design and brand</x:v>
      </x:c>
      <x:c r="C7" s="56" t="str">
        <x:v>G01
G06
G08</x:v>
      </x:c>
      <x:c r="D7" s="56" t="str">
        <x:v>Architect + UX + Founder</x:v>
      </x:c>
      <x:c r="E7" s="56" t="str">
        <x:v>Approved ADRs; data flow; accessibility; brand and public claim review</x:v>
      </x:c>
      <x:c r="F7" s="56" t="str">
        <x:v>NOT_CHECKED</x:v>
      </x:c>
    </x:row>
    <x:row r="8" ht="24" hidden="0" customHeight="1">
      <x:c r="A8" s="56" t="str">
        <x:v>RG3</x:v>
      </x:c>
      <x:c r="B8" s="56" t="str">
        <x:v>AI system</x:v>
      </x:c>
      <x:c r="C8" s="56" t="str">
        <x:v>G06
G08</x:v>
      </x:c>
      <x:c r="D8" s="56" t="str">
        <x:v>AI Lead + Method Lead + Security</x:v>
      </x:c>
      <x:c r="E8" s="56" t="str">
        <x:v>Model/prompt/source versions; evals; ACL retrieval; costs; kill switch; human escalation</x:v>
      </x:c>
      <x:c r="F8" s="56" t="str">
        <x:v>NOT_CHECKED</x:v>
      </x:c>
    </x:row>
    <x:row r="9" ht="24" hidden="0" customHeight="1">
      <x:c r="A9" s="56" t="str">
        <x:v>RG4</x:v>
      </x:c>
      <x:c r="B9" s="56" t="str">
        <x:v>Infrastructure and environments</x:v>
      </x:c>
      <x:c r="C9" s="56" t="str">
        <x:v>G01
G10</x:v>
      </x:c>
      <x:c r="D9" s="56" t="str">
        <x:v>Platform + SRE</x:v>
      </x:c>
      <x:c r="E9" s="56" t="str">
        <x:v>Resource/account/region/bindings; isolation; secrets controls; backup; cost caps</x:v>
      </x:c>
      <x:c r="F9" s="56" t="str">
        <x:v>NOT_CHECKED</x:v>
      </x:c>
    </x:row>
    <x:row r="10" ht="24" hidden="0" customHeight="1">
      <x:c r="A10" s="56" t="str">
        <x:v>RG5</x:v>
      </x:c>
      <x:c r="B10" s="56" t="str">
        <x:v>Development and DevOps</x:v>
      </x:c>
      <x:c r="C10" s="56" t="str">
        <x:v>G01
G11</x:v>
      </x:c>
      <x:c r="D10" s="56" t="str">
        <x:v>Tech Lead + QA</x:v>
      </x:c>
      <x:c r="E10" s="56" t="str">
        <x:v>Protected branch; required checks; pinned build; artifact allowlist; no dirty deploy</x:v>
      </x:c>
      <x:c r="F10" s="56" t="str">
        <x:v>NOT_CHECKED</x:v>
      </x:c>
    </x:row>
    <x:row r="11" ht="36" hidden="0" customHeight="1">
      <x:c r="A11" s="56" t="str">
        <x:v>RG6</x:v>
      </x:c>
      <x:c r="B11" s="56" t="str">
        <x:v>Documentation</x:v>
      </x:c>
      <x:c r="C11" s="56" t="str">
        <x:v>G04
G06
G12</x:v>
      </x:c>
      <x:c r="D11" s="56" t="str">
        <x:v>Product + Docs Owner</x:v>
      </x:c>
      <x:c r="E11" s="56" t="str">
        <x:v>Authority/supersession; runbooks; API/schema; user/support docs; read coverage</x:v>
      </x:c>
      <x:c r="F11" s="56" t="str">
        <x:v>NOT_CHECKED</x:v>
      </x:c>
    </x:row>
    <x:row r="12" ht="72" hidden="0" customHeight="1">
      <x:c r="A12" s="56" t="str">
        <x:v>RG7</x:v>
      </x:c>
      <x:c r="B12" s="56" t="str">
        <x:v>Implementation data integration</x:v>
      </x:c>
      <x:c r="C12" s="56" t="str">
        <x:v>G02
G03
G05
G06
G07
G09</x:v>
      </x:c>
      <x:c r="D12" s="56" t="str">
        <x:v>Backend + Data + QA</x:v>
      </x:c>
      <x:c r="E12" s="56" t="str">
        <x:v>Object/tenant grants; method golden cases; migrations/reconciliation; payment and deletion</x:v>
      </x:c>
      <x:c r="F12" s="56" t="str">
        <x:v>NOT_CHECKED</x:v>
      </x:c>
    </x:row>
    <x:row r="13" ht="48" hidden="0" customHeight="1">
      <x:c r="A13" s="56" t="str">
        <x:v>RG8</x:v>
      </x:c>
      <x:c r="B13" s="56" t="str">
        <x:v>Verification and security</x:v>
      </x:c>
      <x:c r="C13" s="56" t="str">
        <x:v>G02
G03
G08
G11</x:v>
      </x:c>
      <x:c r="D13" s="56" t="str">
        <x:v>Independent QA + Security</x:v>
      </x:c>
      <x:c r="E13" s="56" t="str">
        <x:v>Unit/property/contract/browser/e2e; negative auth; pentest/retest; counts and skips</x:v>
      </x:c>
      <x:c r="F13" s="56" t="str">
        <x:v>NOT_CHECKED</x:v>
      </x:c>
    </x:row>
    <x:row r="14" ht="48" hidden="0" customHeight="1">
      <x:c r="A14" s="56" t="str">
        <x:v>RG9</x:v>
      </x:c>
      <x:c r="B14" s="56" t="str">
        <x:v>Staging and rehearsal</x:v>
      </x:c>
      <x:c r="C14" s="56" t="str">
        <x:v>G01
G07
G09
G10</x:v>
      </x:c>
      <x:c r="D14" s="56" t="str">
        <x:v>Release Lead + SRE</x:v>
      </x:c>
      <x:c r="E14" s="56" t="str">
        <x:v>Staging RC; auth/payment sandbox; load; restore/rollback; immutable rehearsal receipt</x:v>
      </x:c>
      <x:c r="F14" s="56" t="str">
        <x:v>NOT_CHECKED</x:v>
      </x:c>
    </x:row>
    <x:row r="15" ht="36" hidden="0" customHeight="1">
      <x:c r="A15" s="56" t="str">
        <x:v>RG10</x:v>
      </x:c>
      <x:c r="B15" s="56" t="str">
        <x:v>Production authorization</x:v>
      </x:c>
      <x:c r="C15" s="56" t="str">
        <x:v>G01
G04
G12</x:v>
      </x:c>
      <x:c r="D15" s="56" t="str">
        <x:v>Founder + Release Authority</x:v>
      </x:c>
      <x:c r="E15" s="56" t="str">
        <x:v>Exact RC and scope; functional approvals; authorized operator/change window</x:v>
      </x:c>
      <x:c r="F15" s="56" t="str">
        <x:v>NOT_CHECKED</x:v>
      </x:c>
    </x:row>
    <x:row r="16" ht="48" hidden="0" customHeight="1">
      <x:c r="A16" s="56" t="str">
        <x:v>RG11</x:v>
      </x:c>
      <x:c r="B16" s="56" t="str">
        <x:v>Post deploy verification</x:v>
      </x:c>
      <x:c r="C16" s="56" t="str">
        <x:v>G01
G02
G03
G10</x:v>
      </x:c>
      <x:c r="D16" s="56" t="str">
        <x:v>SRE + QA</x:v>
      </x:c>
      <x:c r="E16" s="56" t="str">
        <x:v>Provider deployment IDs map digest; domain routes; allowlisted smoke and failure paths</x:v>
      </x:c>
      <x:c r="F16" s="56" t="str">
        <x:v>NOT_CHECKED</x:v>
      </x:c>
    </x:row>
    <x:row r="17" ht="36" hidden="0" customHeight="1">
      <x:c r="A17" s="56" t="str">
        <x:v>RG12</x:v>
      </x:c>
      <x:c r="B17" s="56" t="str">
        <x:v>Cleanup and handoff</x:v>
      </x:c>
      <x:c r="C17" s="56" t="str">
        <x:v>G05
G07
G12</x:v>
      </x:c>
      <x:c r="D17" s="56" t="str">
        <x:v>SRE + Support + Privacy</x:v>
      </x:c>
      <x:c r="E17" s="56" t="str">
        <x:v>Temporary access removed; legacy disposition; support/escalation; cost/monitor/DR ownership</x:v>
      </x:c>
      <x:c r="F17" s="56" t="str">
        <x:v>NOT_CHECKED</x:v>
      </x:c>
    </x:row>
    <x:row r="18" ht="36" hidden="0" customHeight="1">
      <x:c r="A18" s="56" t="str">
        <x:v>RG13</x:v>
      </x:c>
      <x:c r="B18" s="56" t="str">
        <x:v>Founder domain sign off</x:v>
      </x:c>
      <x:c r="C18" s="56" t="str">
        <x:v>G01
G04
G12</x:v>
      </x:c>
      <x:c r="D18" s="56" t="str">
        <x:v>Founder</x:v>
      </x:c>
      <x:c r="E18" s="56" t="str">
        <x:v>Domain + exact release/capabilities + environment receipt + explicit decision</x:v>
      </x:c>
      <x:c r="F18" s="56" t="str">
        <x:v>NOT_CHECKED</x:v>
      </x:c>
    </x:row>
    <x:row r="19" ht="15" hidden="0" customHeight="1">
      <x:c r="A19" s="70"/>
      <x:c r="B19" s="70"/>
      <x:c r="C19" s="70"/>
      <x:c r="D19" s="70"/>
      <x:c r="E19" s="70"/>
      <x:c r="F19" s="70"/>
    </x:row>
    <x:row r="20" ht="15" hidden="0" customHeight="1">
      <x:c r="A20" s="70"/>
      <x:c r="B20" s="70"/>
      <x:c r="C20" s="70"/>
      <x:c r="D20" s="70"/>
      <x:c r="E20" s="70"/>
      <x:c r="F20" s="70"/>
    </x:row>
    <x:row r="21" ht="15" hidden="0" customHeight="1">
      <x:c r="A21" s="70"/>
      <x:c r="B21" s="70"/>
      <x:c r="C21" s="70"/>
      <x:c r="D21" s="70"/>
      <x:c r="E21" s="70"/>
      <x:c r="F21" s="70"/>
    </x:row>
    <x:row r="22" ht="15" hidden="0" customHeight="1">
      <x:c r="A22" s="70"/>
      <x:c r="B22" s="70"/>
      <x:c r="C22" s="70"/>
      <x:c r="D22" s="70"/>
      <x:c r="E22" s="70"/>
      <x:c r="F22" s="70"/>
    </x:row>
    <x:row r="23" ht="15" hidden="0" customHeight="1">
      <x:c r="A23" s="70"/>
      <x:c r="B23" s="70"/>
      <x:c r="C23" s="70"/>
      <x:c r="D23" s="70"/>
      <x:c r="E23" s="70"/>
      <x:c r="F23" s="70"/>
    </x:row>
    <x:row r="24" ht="15" hidden="0" customHeight="1">
      <x:c r="A24" s="70"/>
      <x:c r="B24" s="70"/>
      <x:c r="C24" s="70"/>
      <x:c r="D24" s="70"/>
      <x:c r="E24" s="70"/>
      <x:c r="F24" s="70"/>
    </x:row>
    <x:row r="25" ht="15" hidden="0" customHeight="1">
      <x:c r="A25" s="70"/>
      <x:c r="B25" s="70"/>
      <x:c r="C25" s="70"/>
      <x:c r="D25" s="70"/>
      <x:c r="E25" s="70"/>
      <x:c r="F25" s="70"/>
    </x:row>
    <x:row r="26" ht="15" hidden="0" customHeight="1">
      <x:c r="A26" s="70"/>
      <x:c r="B26" s="70"/>
      <x:c r="C26" s="70"/>
      <x:c r="D26" s="70"/>
      <x:c r="E26" s="70"/>
      <x:c r="F26" s="70"/>
    </x:row>
    <x:row r="27" ht="15" hidden="0" customHeight="1">
      <x:c r="A27" s="70"/>
      <x:c r="B27" s="70"/>
      <x:c r="C27" s="70"/>
      <x:c r="D27" s="70"/>
      <x:c r="E27" s="70"/>
      <x:c r="F27" s="70"/>
    </x:row>
    <x:row r="28" ht="15" hidden="0" customHeight="1">
      <x:c r="A28" s="70"/>
      <x:c r="B28" s="70"/>
      <x:c r="C28" s="70"/>
      <x:c r="D28" s="70"/>
      <x:c r="E28" s="70"/>
      <x:c r="F28" s="70"/>
    </x:row>
    <x:row r="29" ht="15" hidden="0" customHeight="1">
      <x:c r="A29" s="70"/>
      <x:c r="B29" s="70"/>
      <x:c r="C29" s="70"/>
      <x:c r="D29" s="70"/>
      <x:c r="E29" s="70"/>
      <x:c r="F29" s="70"/>
    </x:row>
    <x:row r="30" ht="15" hidden="0" customHeight="1">
      <x:c r="A30" s="70"/>
      <x:c r="B30" s="70"/>
      <x:c r="C30" s="70"/>
      <x:c r="D30" s="70"/>
      <x:c r="E30" s="70"/>
      <x:c r="F30" s="70"/>
    </x:row>
    <x:row r="31" ht="15" hidden="0" customHeight="1">
      <x:c r="A31" s="70"/>
      <x:c r="B31" s="70"/>
      <x:c r="C31" s="70"/>
      <x:c r="D31" s="70"/>
      <x:c r="E31" s="70"/>
      <x:c r="F31" s="70"/>
    </x:row>
    <x:row r="32" ht="15" hidden="0" customHeight="1">
      <x:c r="A32" s="70"/>
      <x:c r="B32" s="70"/>
      <x:c r="C32" s="70"/>
      <x:c r="D32" s="70"/>
      <x:c r="E32" s="70"/>
      <x:c r="F32" s="70"/>
    </x:row>
    <x:row r="33" ht="15" hidden="0" customHeight="1">
      <x:c r="A33" s="70"/>
      <x:c r="B33" s="70"/>
      <x:c r="C33" s="70"/>
      <x:c r="D33" s="70"/>
      <x:c r="E33" s="70"/>
      <x:c r="F33" s="70"/>
    </x:row>
    <x:row r="34" ht="15" hidden="0" customHeight="1">
      <x:c r="A34" s="70"/>
      <x:c r="B34" s="70"/>
      <x:c r="C34" s="70"/>
      <x:c r="D34" s="70"/>
      <x:c r="E34" s="70"/>
      <x:c r="F34" s="70"/>
    </x:row>
    <x:row r="35" ht="15" hidden="0" customHeight="1">
      <x:c r="A35" s="70"/>
      <x:c r="B35" s="70"/>
      <x:c r="C35" s="70"/>
      <x:c r="D35" s="70"/>
      <x:c r="E35" s="70"/>
      <x:c r="F35" s="70"/>
    </x:row>
    <x:row r="36" ht="15" hidden="0" customHeight="1">
      <x:c r="A36" s="70"/>
      <x:c r="B36" s="70"/>
      <x:c r="C36" s="70"/>
      <x:c r="D36" s="70"/>
      <x:c r="E36" s="70"/>
      <x:c r="F36" s="70"/>
    </x:row>
    <x:row r="37" ht="15" hidden="0" customHeight="1">
      <x:c r="A37" s="70"/>
      <x:c r="B37" s="70"/>
      <x:c r="C37" s="70"/>
      <x:c r="D37" s="70"/>
      <x:c r="E37" s="70"/>
      <x:c r="F37" s="70"/>
    </x:row>
    <x:row r="38" ht="15" hidden="0" customHeight="1">
      <x:c r="A38" s="70"/>
      <x:c r="B38" s="70"/>
      <x:c r="C38" s="70"/>
      <x:c r="D38" s="70"/>
      <x:c r="E38" s="70"/>
      <x:c r="F38" s="70"/>
    </x:row>
    <x:row r="39" ht="15" hidden="0" customHeight="1">
      <x:c r="A39" s="70"/>
      <x:c r="B39" s="70"/>
      <x:c r="C39" s="70"/>
      <x:c r="D39" s="70"/>
      <x:c r="E39" s="70"/>
      <x:c r="F39" s="70"/>
    </x:row>
    <x:row r="40" ht="15" hidden="0" customHeight="1">
      <x:c r="A40" s="70"/>
      <x:c r="B40" s="70"/>
      <x:c r="C40" s="70"/>
      <x:c r="D40" s="70"/>
      <x:c r="E40" s="70"/>
      <x:c r="F40" s="70"/>
    </x:row>
    <x:row r="41" ht="15" hidden="0" customHeight="1">
      <x:c r="A41" s="70"/>
      <x:c r="B41" s="70"/>
      <x:c r="C41" s="70"/>
      <x:c r="D41" s="70"/>
      <x:c r="E41" s="70"/>
      <x:c r="F41" s="70"/>
    </x:row>
    <x:row r="42" ht="15" hidden="0" customHeight="1">
      <x:c r="A42" s="70"/>
      <x:c r="B42" s="70"/>
      <x:c r="C42" s="70"/>
      <x:c r="D42" s="70"/>
      <x:c r="E42" s="70"/>
      <x:c r="F42" s="70"/>
    </x:row>
    <x:row r="43" ht="15" hidden="0" customHeight="1">
      <x:c r="A43" s="70"/>
      <x:c r="B43" s="70"/>
      <x:c r="C43" s="70"/>
      <x:c r="D43" s="70"/>
      <x:c r="E43" s="70"/>
      <x:c r="F43" s="70"/>
    </x:row>
    <x:row r="44" ht="15" hidden="0" customHeight="1">
      <x:c r="A44" s="70"/>
      <x:c r="B44" s="70"/>
      <x:c r="C44" s="70"/>
      <x:c r="D44" s="70"/>
      <x:c r="E44" s="70"/>
      <x:c r="F44" s="70"/>
    </x:row>
    <x:row r="45" ht="15" hidden="0" customHeight="1">
      <x:c r="A45" s="70"/>
      <x:c r="B45" s="70"/>
      <x:c r="C45" s="70"/>
      <x:c r="D45" s="70"/>
      <x:c r="E45" s="70"/>
      <x:c r="F45" s="70"/>
    </x:row>
    <x:row r="46" ht="15" hidden="0" customHeight="1">
      <x:c r="A46" s="70"/>
      <x:c r="B46" s="70"/>
      <x:c r="C46" s="70"/>
      <x:c r="D46" s="70"/>
      <x:c r="E46" s="70"/>
      <x:c r="F46" s="70"/>
    </x:row>
    <x:row r="47" ht="15" hidden="0" customHeight="1">
      <x:c r="A47" s="70"/>
      <x:c r="B47" s="70"/>
      <x:c r="C47" s="70"/>
      <x:c r="D47" s="70"/>
      <x:c r="E47" s="70"/>
      <x:c r="F47" s="70"/>
    </x:row>
    <x:row r="48" ht="15" hidden="0" customHeight="1">
      <x:c r="A48" s="70"/>
      <x:c r="B48" s="70"/>
      <x:c r="C48" s="70"/>
      <x:c r="D48" s="70"/>
      <x:c r="E48" s="70"/>
      <x:c r="F48" s="70"/>
    </x:row>
    <x:row r="49" ht="15" hidden="0" customHeight="1">
      <x:c r="A49" s="70"/>
      <x:c r="B49" s="70"/>
      <x:c r="C49" s="70"/>
      <x:c r="D49" s="70"/>
      <x:c r="E49" s="70"/>
      <x:c r="F49" s="70"/>
    </x:row>
    <x:row r="50" ht="15" hidden="0" customHeight="1">
      <x:c r="A50" s="70"/>
      <x:c r="B50" s="70"/>
      <x:c r="C50" s="70"/>
      <x:c r="D50" s="70"/>
      <x:c r="E50" s="70"/>
      <x:c r="F50" s="70"/>
    </x:row>
    <x:row r="51" ht="15" hidden="0" customHeight="1">
      <x:c r="A51" s="70"/>
      <x:c r="B51" s="70"/>
      <x:c r="C51" s="70"/>
      <x:c r="D51" s="70"/>
      <x:c r="E51" s="70"/>
      <x:c r="F51" s="70"/>
    </x:row>
    <x:row r="52" ht="15" hidden="0" customHeight="1">
      <x:c r="A52" s="70"/>
      <x:c r="B52" s="70"/>
      <x:c r="C52" s="70"/>
      <x:c r="D52" s="70"/>
      <x:c r="E52" s="70"/>
      <x:c r="F52" s="70"/>
    </x:row>
    <x:row r="53" ht="15" hidden="0" customHeight="1">
      <x:c r="A53" s="70"/>
      <x:c r="B53" s="70"/>
      <x:c r="C53" s="70"/>
      <x:c r="D53" s="70"/>
      <x:c r="E53" s="70"/>
      <x:c r="F53" s="70"/>
    </x:row>
    <x:row r="54" ht="15" hidden="0" customHeight="1">
      <x:c r="A54" s="70"/>
      <x:c r="B54" s="70"/>
      <x:c r="C54" s="70"/>
      <x:c r="D54" s="70"/>
      <x:c r="E54" s="70"/>
      <x:c r="F54" s="70"/>
    </x:row>
    <x:row r="55" ht="15" hidden="0" customHeight="1">
      <x:c r="A55" s="70"/>
      <x:c r="B55" s="70"/>
      <x:c r="C55" s="70"/>
      <x:c r="D55" s="70"/>
      <x:c r="E55" s="70"/>
      <x:c r="F55" s="70"/>
    </x:row>
    <x:row r="56" ht="15" hidden="0" customHeight="1">
      <x:c r="A56" s="70"/>
      <x:c r="B56" s="70"/>
      <x:c r="C56" s="70"/>
      <x:c r="D56" s="70"/>
      <x:c r="E56" s="70"/>
      <x:c r="F56" s="70"/>
    </x:row>
    <x:row r="57" ht="15" hidden="0" customHeight="1">
      <x:c r="A57" s="70"/>
      <x:c r="B57" s="70"/>
      <x:c r="C57" s="70"/>
      <x:c r="D57" s="70"/>
      <x:c r="E57" s="70"/>
      <x:c r="F57" s="70"/>
    </x:row>
    <x:row r="58" ht="15" hidden="0" customHeight="1">
      <x:c r="A58" s="70"/>
      <x:c r="B58" s="70"/>
      <x:c r="C58" s="70"/>
      <x:c r="D58" s="70"/>
      <x:c r="E58" s="70"/>
      <x:c r="F58" s="70"/>
    </x:row>
    <x:row r="59" ht="15" hidden="0" customHeight="1">
      <x:c r="A59" s="70"/>
      <x:c r="B59" s="70"/>
      <x:c r="C59" s="70"/>
      <x:c r="D59" s="70"/>
      <x:c r="E59" s="70"/>
      <x:c r="F59" s="70"/>
    </x:row>
    <x:row r="60" ht="15" hidden="0" customHeight="1">
      <x:c r="A60" s="70"/>
      <x:c r="B60" s="70"/>
      <x:c r="C60" s="70"/>
      <x:c r="D60" s="70"/>
      <x:c r="E60" s="70"/>
      <x:c r="F60" s="70"/>
    </x:row>
    <x:row r="61" ht="15" hidden="0" customHeight="1">
      <x:c r="A61" s="70"/>
      <x:c r="B61" s="70"/>
      <x:c r="C61" s="70"/>
      <x:c r="D61" s="70"/>
      <x:c r="E61" s="70"/>
      <x:c r="F61" s="70"/>
    </x:row>
    <x:row r="62" ht="15" hidden="0" customHeight="1">
      <x:c r="A62" s="70"/>
      <x:c r="B62" s="70"/>
      <x:c r="C62" s="70"/>
      <x:c r="D62" s="70"/>
      <x:c r="E62" s="70"/>
      <x:c r="F62" s="70"/>
    </x:row>
    <x:row r="63" ht="15" hidden="0" customHeight="1">
      <x:c r="A63" s="70"/>
      <x:c r="B63" s="70"/>
      <x:c r="C63" s="70"/>
      <x:c r="D63" s="70"/>
      <x:c r="E63" s="70"/>
      <x:c r="F63" s="70"/>
    </x:row>
    <x:row r="64" ht="15" hidden="0" customHeight="1">
      <x:c r="A64" s="70"/>
      <x:c r="B64" s="70"/>
      <x:c r="C64" s="70"/>
      <x:c r="D64" s="70"/>
      <x:c r="E64" s="70"/>
      <x:c r="F64" s="70"/>
    </x:row>
    <x:row r="65" ht="15" hidden="0" customHeight="1">
      <x:c r="A65" s="70"/>
      <x:c r="B65" s="70"/>
      <x:c r="C65" s="70"/>
      <x:c r="D65" s="70"/>
      <x:c r="E65" s="70"/>
      <x:c r="F65" s="70"/>
    </x:row>
    <x:row r="66" ht="15" hidden="0" customHeight="1">
      <x:c r="A66" s="70"/>
      <x:c r="B66" s="70"/>
      <x:c r="C66" s="70"/>
      <x:c r="D66" s="70"/>
      <x:c r="E66" s="70"/>
      <x:c r="F66" s="70"/>
    </x:row>
    <x:row r="67" ht="15" hidden="0" customHeight="1">
      <x:c r="A67" s="70"/>
      <x:c r="B67" s="70"/>
      <x:c r="C67" s="70"/>
      <x:c r="D67" s="70"/>
      <x:c r="E67" s="70"/>
      <x:c r="F67" s="70"/>
    </x:row>
    <x:row r="68" ht="15" hidden="0" customHeight="1">
      <x:c r="A68" s="70"/>
      <x:c r="B68" s="70"/>
      <x:c r="C68" s="70"/>
      <x:c r="D68" s="70"/>
      <x:c r="E68" s="70"/>
      <x:c r="F68" s="70"/>
    </x:row>
    <x:row r="69" ht="15" hidden="0" customHeight="1">
      <x:c r="A69" s="70"/>
      <x:c r="B69" s="70"/>
      <x:c r="C69" s="70"/>
      <x:c r="D69" s="70"/>
      <x:c r="E69" s="70"/>
      <x:c r="F69" s="70"/>
    </x:row>
    <x:row r="70" ht="15" hidden="0" customHeight="1">
      <x:c r="A70" s="70"/>
      <x:c r="B70" s="70"/>
      <x:c r="C70" s="70"/>
      <x:c r="D70" s="70"/>
      <x:c r="E70" s="70"/>
      <x:c r="F70" s="70"/>
    </x:row>
    <x:row r="71" ht="15" hidden="0" customHeight="1">
      <x:c r="A71" s="70"/>
      <x:c r="B71" s="70"/>
      <x:c r="C71" s="70"/>
      <x:c r="D71" s="70"/>
      <x:c r="E71" s="70"/>
      <x:c r="F71" s="70"/>
    </x:row>
    <x:row r="72" ht="15" hidden="0" customHeight="1">
      <x:c r="A72" s="70"/>
      <x:c r="B72" s="70"/>
      <x:c r="C72" s="70"/>
      <x:c r="D72" s="70"/>
      <x:c r="E72" s="70"/>
      <x:c r="F72" s="70"/>
    </x:row>
    <x:row r="73" ht="15" hidden="0" customHeight="1">
      <x:c r="A73" s="70"/>
      <x:c r="B73" s="70"/>
      <x:c r="C73" s="70"/>
      <x:c r="D73" s="70"/>
      <x:c r="E73" s="70"/>
      <x:c r="F73" s="70"/>
    </x:row>
    <x:row r="74" ht="15" hidden="0" customHeight="1">
      <x:c r="A74" s="70"/>
      <x:c r="B74" s="70"/>
      <x:c r="C74" s="70"/>
      <x:c r="D74" s="70"/>
      <x:c r="E74" s="70"/>
      <x:c r="F74" s="70"/>
    </x:row>
    <x:row r="75" ht="15" hidden="0" customHeight="1">
      <x:c r="A75" s="70"/>
      <x:c r="B75" s="70"/>
      <x:c r="C75" s="70"/>
      <x:c r="D75" s="70"/>
      <x:c r="E75" s="70"/>
      <x:c r="F75" s="70"/>
    </x:row>
    <x:row r="76" ht="15" hidden="0" customHeight="1">
      <x:c r="A76" s="70"/>
      <x:c r="B76" s="70"/>
      <x:c r="C76" s="70"/>
      <x:c r="D76" s="70"/>
      <x:c r="E76" s="70"/>
      <x:c r="F76" s="70"/>
    </x:row>
    <x:row r="77" ht="15" hidden="0" customHeight="1">
      <x:c r="A77" s="70"/>
      <x:c r="B77" s="70"/>
      <x:c r="C77" s="70"/>
      <x:c r="D77" s="70"/>
      <x:c r="E77" s="70"/>
      <x:c r="F77" s="70"/>
    </x:row>
    <x:row r="78" ht="15" hidden="0" customHeight="1">
      <x:c r="A78" s="70"/>
      <x:c r="B78" s="70"/>
      <x:c r="C78" s="70"/>
      <x:c r="D78" s="70"/>
      <x:c r="E78" s="70"/>
      <x:c r="F78" s="70"/>
    </x:row>
    <x:row r="79" ht="15" hidden="0" customHeight="1">
      <x:c r="A79" s="70"/>
      <x:c r="B79" s="70"/>
      <x:c r="C79" s="70"/>
      <x:c r="D79" s="70"/>
      <x:c r="E79" s="70"/>
      <x:c r="F79" s="70"/>
    </x:row>
    <x:row r="80" ht="15" hidden="0" customHeight="1">
      <x:c r="A80" s="70"/>
      <x:c r="B80" s="70"/>
      <x:c r="C80" s="70"/>
      <x:c r="D80" s="70"/>
      <x:c r="E80" s="70"/>
      <x:c r="F80" s="70"/>
    </x:row>
    <x:row r="81" ht="15" hidden="0" customHeight="1">
      <x:c r="A81" s="70"/>
      <x:c r="B81" s="70"/>
      <x:c r="C81" s="70"/>
      <x:c r="D81" s="70"/>
      <x:c r="E81" s="70"/>
      <x:c r="F81" s="70"/>
    </x:row>
    <x:row r="82" ht="15" hidden="0" customHeight="1">
      <x:c r="A82" s="70"/>
      <x:c r="B82" s="70"/>
      <x:c r="C82" s="70"/>
      <x:c r="D82" s="70"/>
      <x:c r="E82" s="70"/>
      <x:c r="F82" s="70"/>
    </x:row>
    <x:row r="83" ht="15" hidden="0" customHeight="1">
      <x:c r="A83" s="70"/>
      <x:c r="B83" s="70"/>
      <x:c r="C83" s="70"/>
      <x:c r="D83" s="70"/>
      <x:c r="E83" s="70"/>
      <x:c r="F83" s="70"/>
    </x:row>
    <x:row r="84" ht="15" hidden="0" customHeight="1">
      <x:c r="A84" s="70"/>
      <x:c r="B84" s="70"/>
      <x:c r="C84" s="70"/>
      <x:c r="D84" s="70"/>
      <x:c r="E84" s="70"/>
      <x:c r="F84" s="70"/>
    </x:row>
    <x:row r="85" ht="15" hidden="0" customHeight="1">
      <x:c r="A85" s="70"/>
      <x:c r="B85" s="70"/>
      <x:c r="C85" s="70"/>
      <x:c r="D85" s="70"/>
      <x:c r="E85" s="70"/>
      <x:c r="F85" s="70"/>
    </x:row>
    <x:row r="86" ht="15" hidden="0" customHeight="1">
      <x:c r="A86" s="70"/>
      <x:c r="B86" s="70"/>
      <x:c r="C86" s="70"/>
      <x:c r="D86" s="70"/>
      <x:c r="E86" s="70"/>
      <x:c r="F86" s="70"/>
    </x:row>
    <x:row r="87" ht="15" hidden="0" customHeight="1">
      <x:c r="A87" s="70"/>
      <x:c r="B87" s="70"/>
      <x:c r="C87" s="70"/>
      <x:c r="D87" s="70"/>
      <x:c r="E87" s="70"/>
      <x:c r="F87" s="70"/>
    </x:row>
    <x:row r="88" ht="15" hidden="0" customHeight="1">
      <x:c r="A88" s="70"/>
      <x:c r="B88" s="70"/>
      <x:c r="C88" s="70"/>
      <x:c r="D88" s="70"/>
      <x:c r="E88" s="70"/>
      <x:c r="F88" s="70"/>
    </x:row>
    <x:row r="89" ht="15" hidden="0" customHeight="1">
      <x:c r="A89" s="70"/>
      <x:c r="B89" s="70"/>
      <x:c r="C89" s="70"/>
      <x:c r="D89" s="70"/>
      <x:c r="E89" s="70"/>
      <x:c r="F89" s="70"/>
    </x:row>
    <x:row r="90" ht="15" hidden="0" customHeight="1">
      <x:c r="A90" s="70"/>
      <x:c r="B90" s="70"/>
      <x:c r="C90" s="70"/>
      <x:c r="D90" s="70"/>
      <x:c r="E90" s="70"/>
      <x:c r="F90" s="70"/>
    </x:row>
    <x:row r="91" ht="15" hidden="0" customHeight="1">
      <x:c r="A91" s="70"/>
      <x:c r="B91" s="70"/>
      <x:c r="C91" s="70"/>
      <x:c r="D91" s="70"/>
      <x:c r="E91" s="70"/>
      <x:c r="F91" s="70"/>
    </x:row>
    <x:row r="92" ht="15" hidden="0" customHeight="1">
      <x:c r="A92" s="70"/>
      <x:c r="B92" s="70"/>
      <x:c r="C92" s="70"/>
      <x:c r="D92" s="70"/>
      <x:c r="E92" s="70"/>
      <x:c r="F92" s="70"/>
    </x:row>
    <x:row r="93" ht="15" hidden="0" customHeight="1">
      <x:c r="A93" s="70"/>
      <x:c r="B93" s="70"/>
      <x:c r="C93" s="70"/>
      <x:c r="D93" s="70"/>
      <x:c r="E93" s="70"/>
      <x:c r="F93" s="70"/>
    </x:row>
    <x:row r="94" ht="15" hidden="0" customHeight="1">
      <x:c r="A94" s="70"/>
      <x:c r="B94" s="70"/>
      <x:c r="C94" s="70"/>
      <x:c r="D94" s="70"/>
      <x:c r="E94" s="70"/>
      <x:c r="F94" s="70"/>
    </x:row>
    <x:row r="95" ht="15" hidden="0" customHeight="1">
      <x:c r="A95" s="70"/>
      <x:c r="B95" s="70"/>
      <x:c r="C95" s="70"/>
      <x:c r="D95" s="70"/>
      <x:c r="E95" s="70"/>
      <x:c r="F95" s="70"/>
    </x:row>
    <x:row r="96" ht="15" hidden="0" customHeight="1">
      <x:c r="A96" s="70"/>
      <x:c r="B96" s="70"/>
      <x:c r="C96" s="70"/>
      <x:c r="D96" s="70"/>
      <x:c r="E96" s="70"/>
      <x:c r="F96" s="70"/>
    </x:row>
    <x:row r="97" ht="15" hidden="0" customHeight="1">
      <x:c r="A97" s="70"/>
      <x:c r="B97" s="70"/>
      <x:c r="C97" s="70"/>
      <x:c r="D97" s="70"/>
      <x:c r="E97" s="70"/>
      <x:c r="F97" s="70"/>
    </x:row>
    <x:row r="98" ht="15" hidden="0" customHeight="1">
      <x:c r="A98" s="70"/>
      <x:c r="B98" s="70"/>
      <x:c r="C98" s="70"/>
      <x:c r="D98" s="70"/>
      <x:c r="E98" s="70"/>
      <x:c r="F98" s="70"/>
    </x:row>
    <x:row r="99" ht="15" hidden="0" customHeight="1">
      <x:c r="A99" s="70"/>
      <x:c r="B99" s="70"/>
      <x:c r="C99" s="70"/>
      <x:c r="D99" s="70"/>
      <x:c r="E99" s="70"/>
      <x:c r="F99" s="70"/>
    </x:row>
    <x:row r="100" ht="15" hidden="0" customHeight="1">
      <x:c r="A100" s="70"/>
      <x:c r="B100" s="70"/>
      <x:c r="C100" s="70"/>
      <x:c r="D100" s="70"/>
      <x:c r="E100" s="70"/>
      <x:c r="F100" s="70"/>
    </x:row>
    <x:row r="101" ht="15" hidden="0" customHeight="1">
      <x:c r="A101" s="70"/>
      <x:c r="B101" s="70"/>
      <x:c r="C101" s="70"/>
      <x:c r="D101" s="70"/>
      <x:c r="E101" s="70"/>
      <x:c r="F101" s="70"/>
    </x:row>
    <x:row r="102" ht="15" hidden="0" customHeight="1">
      <x:c r="A102" s="70"/>
      <x:c r="B102" s="70"/>
      <x:c r="C102" s="70"/>
      <x:c r="D102" s="70"/>
      <x:c r="E102" s="70"/>
      <x:c r="F102" s="70"/>
    </x:row>
    <x:row r="103" ht="15" hidden="0" customHeight="1">
      <x:c r="A103" s="70"/>
      <x:c r="B103" s="70"/>
      <x:c r="C103" s="70"/>
      <x:c r="D103" s="70"/>
      <x:c r="E103" s="70"/>
      <x:c r="F103" s="70"/>
    </x:row>
    <x:row r="104" ht="15" hidden="0" customHeight="1">
      <x:c r="A104" s="70"/>
      <x:c r="B104" s="70"/>
      <x:c r="C104" s="70"/>
      <x:c r="D104" s="70"/>
      <x:c r="E104" s="70"/>
      <x:c r="F104" s="70"/>
    </x:row>
    <x:row r="105" ht="15" hidden="0" customHeight="1">
      <x:c r="A105" s="70"/>
      <x:c r="B105" s="70"/>
      <x:c r="C105" s="70"/>
      <x:c r="D105" s="70"/>
      <x:c r="E105" s="70"/>
      <x:c r="F105" s="70"/>
    </x:row>
    <x:row r="106" ht="15" hidden="0" customHeight="1">
      <x:c r="A106" s="70"/>
      <x:c r="B106" s="70"/>
      <x:c r="C106" s="70"/>
      <x:c r="D106" s="70"/>
      <x:c r="E106" s="70"/>
      <x:c r="F106" s="70"/>
    </x:row>
    <x:row r="107" ht="15" hidden="0" customHeight="1">
      <x:c r="A107" s="70"/>
      <x:c r="B107" s="70"/>
      <x:c r="C107" s="70"/>
      <x:c r="D107" s="70"/>
      <x:c r="E107" s="70"/>
      <x:c r="F107" s="70"/>
    </x:row>
    <x:row r="108" ht="15" hidden="0" customHeight="1">
      <x:c r="A108" s="70"/>
      <x:c r="B108" s="70"/>
      <x:c r="C108" s="70"/>
      <x:c r="D108" s="70"/>
      <x:c r="E108" s="70"/>
      <x:c r="F108" s="70"/>
    </x:row>
    <x:row r="109" ht="15" hidden="0" customHeight="1">
      <x:c r="A109" s="70"/>
      <x:c r="B109" s="70"/>
      <x:c r="C109" s="70"/>
      <x:c r="D109" s="70"/>
      <x:c r="E109" s="70"/>
      <x:c r="F109" s="70"/>
    </x:row>
    <x:row r="110" ht="15" hidden="0" customHeight="1">
      <x:c r="A110" s="70"/>
      <x:c r="B110" s="70"/>
      <x:c r="C110" s="70"/>
      <x:c r="D110" s="70"/>
      <x:c r="E110" s="70"/>
      <x:c r="F110" s="70"/>
    </x:row>
    <x:row r="111" ht="15" hidden="0" customHeight="1">
      <x:c r="A111" s="70"/>
      <x:c r="B111" s="70"/>
      <x:c r="C111" s="70"/>
      <x:c r="D111" s="70"/>
      <x:c r="E111" s="70"/>
      <x:c r="F111" s="70"/>
    </x:row>
    <x:row r="112" ht="15" hidden="0" customHeight="1">
      <x:c r="A112" s="70"/>
      <x:c r="B112" s="70"/>
      <x:c r="C112" s="70"/>
      <x:c r="D112" s="70"/>
      <x:c r="E112" s="70"/>
      <x:c r="F112" s="70"/>
    </x:row>
    <x:row r="113" ht="15" hidden="0" customHeight="1">
      <x:c r="A113" s="70"/>
      <x:c r="B113" s="70"/>
      <x:c r="C113" s="70"/>
      <x:c r="D113" s="70"/>
      <x:c r="E113" s="70"/>
      <x:c r="F113" s="70"/>
    </x:row>
    <x:row r="114" ht="15" hidden="0" customHeight="1">
      <x:c r="A114" s="70"/>
      <x:c r="B114" s="70"/>
      <x:c r="C114" s="70"/>
      <x:c r="D114" s="70"/>
      <x:c r="E114" s="70"/>
      <x:c r="F114" s="70"/>
    </x:row>
    <x:row r="115" ht="15" hidden="0" customHeight="1">
      <x:c r="A115" s="70"/>
      <x:c r="B115" s="70"/>
      <x:c r="C115" s="70"/>
      <x:c r="D115" s="70"/>
      <x:c r="E115" s="70"/>
      <x:c r="F115" s="70"/>
    </x:row>
    <x:row r="116" ht="15" hidden="0" customHeight="1">
      <x:c r="A116" s="70"/>
      <x:c r="B116" s="70"/>
      <x:c r="C116" s="70"/>
      <x:c r="D116" s="70"/>
      <x:c r="E116" s="70"/>
      <x:c r="F116" s="70"/>
    </x:row>
    <x:row r="117" ht="15" hidden="0" customHeight="1">
      <x:c r="A117" s="70"/>
      <x:c r="B117" s="70"/>
      <x:c r="C117" s="70"/>
      <x:c r="D117" s="70"/>
      <x:c r="E117" s="70"/>
      <x:c r="F117" s="70"/>
    </x:row>
    <x:row r="118" ht="15" hidden="0" customHeight="1">
      <x:c r="A118" s="70"/>
      <x:c r="B118" s="70"/>
      <x:c r="C118" s="70"/>
      <x:c r="D118" s="70"/>
      <x:c r="E118" s="70"/>
      <x:c r="F118" s="70"/>
    </x:row>
    <x:row r="119" ht="15" hidden="0" customHeight="1">
      <x:c r="A119" s="70"/>
      <x:c r="B119" s="70"/>
      <x:c r="C119" s="70"/>
      <x:c r="D119" s="70"/>
      <x:c r="E119" s="70"/>
      <x:c r="F119" s="70"/>
    </x:row>
    <x:row r="120" ht="15" hidden="0" customHeight="1">
      <x:c r="A120" s="70"/>
      <x:c r="B120" s="70"/>
      <x:c r="C120" s="70"/>
      <x:c r="D120" s="70"/>
      <x:c r="E120" s="70"/>
      <x:c r="F120" s="70"/>
    </x:row>
    <x:row r="121" ht="15" hidden="0" customHeight="1">
      <x:c r="A121" s="70"/>
      <x:c r="B121" s="70"/>
      <x:c r="C121" s="70"/>
      <x:c r="D121" s="70"/>
      <x:c r="E121" s="70"/>
      <x:c r="F121" s="70"/>
    </x:row>
    <x:row r="122" ht="15" hidden="0" customHeight="1">
      <x:c r="A122" s="70"/>
      <x:c r="B122" s="70"/>
      <x:c r="C122" s="70"/>
      <x:c r="D122" s="70"/>
      <x:c r="E122" s="70"/>
      <x:c r="F122" s="70"/>
    </x:row>
    <x:row r="123" ht="15" hidden="0" customHeight="1">
      <x:c r="A123" s="70"/>
      <x:c r="B123" s="70"/>
      <x:c r="C123" s="70"/>
      <x:c r="D123" s="70"/>
      <x:c r="E123" s="70"/>
      <x:c r="F123" s="70"/>
    </x:row>
    <x:row r="124" ht="15" hidden="0" customHeight="1">
      <x:c r="A124" s="70"/>
      <x:c r="B124" s="70"/>
      <x:c r="C124" s="70"/>
      <x:c r="D124" s="70"/>
      <x:c r="E124" s="70"/>
      <x:c r="F124" s="70"/>
    </x:row>
    <x:row r="125" ht="15" hidden="0" customHeight="1">
      <x:c r="A125" s="70"/>
      <x:c r="B125" s="70"/>
      <x:c r="C125" s="70"/>
      <x:c r="D125" s="70"/>
      <x:c r="E125" s="70"/>
      <x:c r="F125" s="70"/>
    </x:row>
    <x:row r="126" ht="15" hidden="0" customHeight="1">
      <x:c r="A126" s="70"/>
      <x:c r="B126" s="70"/>
      <x:c r="C126" s="70"/>
      <x:c r="D126" s="70"/>
      <x:c r="E126" s="70"/>
      <x:c r="F126" s="70"/>
    </x:row>
    <x:row r="127" ht="15" hidden="0" customHeight="1">
      <x:c r="A127" s="70"/>
      <x:c r="B127" s="70"/>
      <x:c r="C127" s="70"/>
      <x:c r="D127" s="70"/>
      <x:c r="E127" s="70"/>
      <x:c r="F127" s="70"/>
    </x:row>
    <x:row r="128" ht="15" hidden="0" customHeight="1">
      <x:c r="A128" s="70"/>
      <x:c r="B128" s="70"/>
      <x:c r="C128" s="70"/>
      <x:c r="D128" s="70"/>
      <x:c r="E128" s="70"/>
      <x:c r="F128" s="70"/>
    </x:row>
    <x:row r="129" ht="15" hidden="0" customHeight="1">
      <x:c r="A129" s="70"/>
      <x:c r="B129" s="70"/>
      <x:c r="C129" s="70"/>
      <x:c r="D129" s="70"/>
      <x:c r="E129" s="70"/>
      <x:c r="F129" s="70"/>
    </x:row>
    <x:row r="130" ht="15" hidden="0" customHeight="1">
      <x:c r="A130" s="70"/>
      <x:c r="B130" s="70"/>
      <x:c r="C130" s="70"/>
      <x:c r="D130" s="70"/>
      <x:c r="E130" s="70"/>
      <x:c r="F130" s="70"/>
    </x:row>
    <x:row r="131" ht="15" hidden="0" customHeight="1">
      <x:c r="A131" s="70"/>
      <x:c r="B131" s="70"/>
      <x:c r="C131" s="70"/>
      <x:c r="D131" s="70"/>
      <x:c r="E131" s="70"/>
      <x:c r="F131" s="70"/>
    </x:row>
    <x:row r="132" ht="15" hidden="0" customHeight="1">
      <x:c r="A132" s="70"/>
      <x:c r="B132" s="70"/>
      <x:c r="C132" s="70"/>
      <x:c r="D132" s="70"/>
      <x:c r="E132" s="70"/>
      <x:c r="F132" s="70"/>
    </x:row>
    <x:row r="133" ht="15" hidden="0" customHeight="1">
      <x:c r="A133" s="70"/>
      <x:c r="B133" s="70"/>
      <x:c r="C133" s="70"/>
      <x:c r="D133" s="70"/>
      <x:c r="E133" s="70"/>
      <x:c r="F133" s="70"/>
    </x:row>
    <x:row r="134" ht="15" hidden="0" customHeight="1">
      <x:c r="A134" s="70"/>
      <x:c r="B134" s="70"/>
      <x:c r="C134" s="70"/>
      <x:c r="D134" s="70"/>
      <x:c r="E134" s="70"/>
      <x:c r="F134" s="70"/>
    </x:row>
    <x:row r="135" ht="15" hidden="0" customHeight="1">
      <x:c r="A135" s="70"/>
      <x:c r="B135" s="70"/>
      <x:c r="C135" s="70"/>
      <x:c r="D135" s="70"/>
      <x:c r="E135" s="70"/>
      <x:c r="F135" s="70"/>
    </x:row>
    <x:row r="136" ht="15" hidden="0" customHeight="1">
      <x:c r="A136" s="70"/>
      <x:c r="B136" s="70"/>
      <x:c r="C136" s="70"/>
      <x:c r="D136" s="70"/>
      <x:c r="E136" s="70"/>
      <x:c r="F136" s="70"/>
    </x:row>
    <x:row r="137" ht="15" hidden="0" customHeight="1">
      <x:c r="A137" s="70"/>
      <x:c r="B137" s="70"/>
      <x:c r="C137" s="70"/>
      <x:c r="D137" s="70"/>
      <x:c r="E137" s="70"/>
      <x:c r="F137" s="70"/>
    </x:row>
    <x:row r="138" ht="15" hidden="0" customHeight="1">
      <x:c r="A138" s="70"/>
      <x:c r="B138" s="70"/>
      <x:c r="C138" s="70"/>
      <x:c r="D138" s="70"/>
      <x:c r="E138" s="70"/>
      <x:c r="F138" s="70"/>
    </x:row>
    <x:row r="139" ht="15" hidden="0" customHeight="1">
      <x:c r="A139" s="70"/>
      <x:c r="B139" s="70"/>
      <x:c r="C139" s="70"/>
      <x:c r="D139" s="70"/>
      <x:c r="E139" s="70"/>
      <x:c r="F139" s="70"/>
    </x:row>
    <x:row r="140" ht="15" hidden="0" customHeight="1">
      <x:c r="A140" s="70"/>
      <x:c r="B140" s="70"/>
      <x:c r="C140" s="70"/>
      <x:c r="D140" s="70"/>
      <x:c r="E140" s="70"/>
      <x:c r="F140" s="70"/>
    </x:row>
    <x:row r="141" ht="15" hidden="0" customHeight="1">
      <x:c r="A141" s="70"/>
      <x:c r="B141" s="70"/>
      <x:c r="C141" s="70"/>
      <x:c r="D141" s="70"/>
      <x:c r="E141" s="70"/>
      <x:c r="F141" s="70"/>
    </x:row>
    <x:row r="142" ht="15" hidden="0" customHeight="1">
      <x:c r="A142" s="70"/>
      <x:c r="B142" s="70"/>
      <x:c r="C142" s="70"/>
      <x:c r="D142" s="70"/>
      <x:c r="E142" s="70"/>
      <x:c r="F142" s="70"/>
    </x:row>
    <x:row r="143" ht="15" hidden="0" customHeight="1">
      <x:c r="A143" s="70"/>
      <x:c r="B143" s="70"/>
      <x:c r="C143" s="70"/>
      <x:c r="D143" s="70"/>
      <x:c r="E143" s="70"/>
      <x:c r="F143" s="70"/>
    </x:row>
    <x:row r="144" ht="15" hidden="0" customHeight="1">
      <x:c r="A144" s="70"/>
      <x:c r="B144" s="70"/>
      <x:c r="C144" s="70"/>
      <x:c r="D144" s="70"/>
      <x:c r="E144" s="70"/>
      <x:c r="F144" s="70"/>
    </x:row>
    <x:row r="145" ht="15" hidden="0" customHeight="1">
      <x:c r="A145" s="70"/>
      <x:c r="B145" s="70"/>
      <x:c r="C145" s="70"/>
      <x:c r="D145" s="70"/>
      <x:c r="E145" s="70"/>
      <x:c r="F145" s="70"/>
    </x:row>
    <x:row r="146" ht="15" hidden="0" customHeight="1">
      <x:c r="A146" s="70"/>
      <x:c r="B146" s="70"/>
      <x:c r="C146" s="70"/>
      <x:c r="D146" s="70"/>
      <x:c r="E146" s="70"/>
      <x:c r="F146" s="70"/>
    </x:row>
    <x:row r="147" ht="15" hidden="0" customHeight="1">
      <x:c r="A147" s="70"/>
      <x:c r="B147" s="70"/>
      <x:c r="C147" s="70"/>
      <x:c r="D147" s="70"/>
      <x:c r="E147" s="70"/>
      <x:c r="F147" s="70"/>
    </x:row>
    <x:row r="148" ht="15" hidden="0" customHeight="1">
      <x:c r="A148" s="70"/>
      <x:c r="B148" s="70"/>
      <x:c r="C148" s="70"/>
      <x:c r="D148" s="70"/>
      <x:c r="E148" s="70"/>
      <x:c r="F148" s="70"/>
    </x:row>
    <x:row r="149" ht="15" hidden="0" customHeight="1">
      <x:c r="A149" s="70"/>
      <x:c r="B149" s="70"/>
      <x:c r="C149" s="70"/>
      <x:c r="D149" s="70"/>
      <x:c r="E149" s="70"/>
      <x:c r="F149" s="70"/>
    </x:row>
    <x:row r="150" ht="15" hidden="0" customHeight="1">
      <x:c r="A150" s="70"/>
      <x:c r="B150" s="70"/>
      <x:c r="C150" s="70"/>
      <x:c r="D150" s="70"/>
      <x:c r="E150" s="70"/>
      <x:c r="F150" s="70"/>
    </x:row>
    <x:row r="151" ht="15" hidden="0" customHeight="1">
      <x:c r="A151" s="70"/>
      <x:c r="B151" s="70"/>
      <x:c r="C151" s="70"/>
      <x:c r="D151" s="70"/>
      <x:c r="E151" s="70"/>
      <x:c r="F151" s="70"/>
    </x:row>
    <x:row r="152" ht="15" hidden="0" customHeight="1">
      <x:c r="A152" s="70"/>
      <x:c r="B152" s="70"/>
      <x:c r="C152" s="70"/>
      <x:c r="D152" s="70"/>
      <x:c r="E152" s="70"/>
      <x:c r="F152" s="70"/>
    </x:row>
    <x:row r="153" ht="15" hidden="0" customHeight="1">
      <x:c r="A153" s="70"/>
      <x:c r="B153" s="70"/>
      <x:c r="C153" s="70"/>
      <x:c r="D153" s="70"/>
      <x:c r="E153" s="70"/>
      <x:c r="F153" s="70"/>
    </x:row>
    <x:row r="154" ht="15" hidden="0" customHeight="1">
      <x:c r="A154" s="70"/>
      <x:c r="B154" s="70"/>
      <x:c r="C154" s="70"/>
      <x:c r="D154" s="70"/>
      <x:c r="E154" s="70"/>
      <x:c r="F154" s="70"/>
    </x:row>
    <x:row r="155" ht="15" hidden="0" customHeight="1">
      <x:c r="A155" s="70"/>
      <x:c r="B155" s="70"/>
      <x:c r="C155" s="70"/>
      <x:c r="D155" s="70"/>
      <x:c r="E155" s="70"/>
      <x:c r="F155" s="70"/>
    </x:row>
    <x:row r="156" ht="15" hidden="0" customHeight="1">
      <x:c r="A156" s="70"/>
      <x:c r="B156" s="70"/>
      <x:c r="C156" s="70"/>
      <x:c r="D156" s="70"/>
      <x:c r="E156" s="70"/>
      <x:c r="F156" s="70"/>
    </x:row>
    <x:row r="157" ht="15" hidden="0" customHeight="1">
      <x:c r="A157" s="70"/>
      <x:c r="B157" s="70"/>
      <x:c r="C157" s="70"/>
      <x:c r="D157" s="70"/>
      <x:c r="E157" s="70"/>
      <x:c r="F157" s="70"/>
    </x:row>
    <x:row r="158" ht="15" hidden="0" customHeight="1">
      <x:c r="A158" s="70"/>
      <x:c r="B158" s="70"/>
      <x:c r="C158" s="70"/>
      <x:c r="D158" s="70"/>
      <x:c r="E158" s="70"/>
      <x:c r="F158" s="70"/>
    </x:row>
    <x:row r="159" ht="15" hidden="0" customHeight="1">
      <x:c r="A159" s="70"/>
      <x:c r="B159" s="70"/>
      <x:c r="C159" s="70"/>
      <x:c r="D159" s="70"/>
      <x:c r="E159" s="70"/>
      <x:c r="F159" s="70"/>
    </x:row>
    <x:row r="160" ht="15" hidden="0" customHeight="1">
      <x:c r="A160" s="70"/>
      <x:c r="B160" s="70"/>
      <x:c r="C160" s="70"/>
      <x:c r="D160" s="70"/>
      <x:c r="E160" s="70"/>
      <x:c r="F160" s="70"/>
    </x:row>
    <x:row r="161" ht="15" hidden="0" customHeight="1">
      <x:c r="A161" s="70"/>
      <x:c r="B161" s="70"/>
      <x:c r="C161" s="70"/>
      <x:c r="D161" s="70"/>
      <x:c r="E161" s="70"/>
      <x:c r="F161" s="70"/>
    </x:row>
    <x:row r="162" ht="15" hidden="0" customHeight="1">
      <x:c r="A162" s="70"/>
      <x:c r="B162" s="70"/>
      <x:c r="C162" s="70"/>
      <x:c r="D162" s="70"/>
      <x:c r="E162" s="70"/>
      <x:c r="F162" s="70"/>
    </x:row>
    <x:row r="163" ht="15" hidden="0" customHeight="1">
      <x:c r="A163" s="70"/>
      <x:c r="B163" s="70"/>
      <x:c r="C163" s="70"/>
      <x:c r="D163" s="70"/>
      <x:c r="E163" s="70"/>
      <x:c r="F163" s="70"/>
    </x:row>
    <x:row r="164" ht="15" hidden="0" customHeight="1">
      <x:c r="A164" s="70"/>
      <x:c r="B164" s="70"/>
      <x:c r="C164" s="70"/>
      <x:c r="D164" s="70"/>
      <x:c r="E164" s="70"/>
      <x:c r="F164" s="70"/>
    </x:row>
    <x:row r="165" ht="15" hidden="0" customHeight="1">
      <x:c r="A165" s="70"/>
      <x:c r="B165" s="70"/>
      <x:c r="C165" s="70"/>
      <x:c r="D165" s="70"/>
      <x:c r="E165" s="70"/>
      <x:c r="F165" s="70"/>
    </x:row>
    <x:row r="166" ht="15" hidden="0" customHeight="1">
      <x:c r="A166" s="70"/>
      <x:c r="B166" s="70"/>
      <x:c r="C166" s="70"/>
      <x:c r="D166" s="70"/>
      <x:c r="E166" s="70"/>
      <x:c r="F166" s="70"/>
    </x:row>
    <x:row r="167" ht="15" hidden="0" customHeight="1">
      <x:c r="A167" s="70"/>
      <x:c r="B167" s="70"/>
      <x:c r="C167" s="70"/>
      <x:c r="D167" s="70"/>
      <x:c r="E167" s="70"/>
      <x:c r="F167" s="70"/>
    </x:row>
    <x:row r="168" ht="15" hidden="0" customHeight="1">
      <x:c r="A168" s="70"/>
      <x:c r="B168" s="70"/>
      <x:c r="C168" s="70"/>
      <x:c r="D168" s="70"/>
      <x:c r="E168" s="70"/>
      <x:c r="F168" s="70"/>
    </x:row>
    <x:row r="169" ht="15" hidden="0" customHeight="1">
      <x:c r="A169" s="70"/>
      <x:c r="B169" s="70"/>
      <x:c r="C169" s="70"/>
      <x:c r="D169" s="70"/>
      <x:c r="E169" s="70"/>
      <x:c r="F169" s="70"/>
    </x:row>
    <x:row r="170" ht="15" hidden="0" customHeight="1">
      <x:c r="A170" s="70"/>
      <x:c r="B170" s="70"/>
      <x:c r="C170" s="70"/>
      <x:c r="D170" s="70"/>
      <x:c r="E170" s="70"/>
      <x:c r="F170" s="70"/>
    </x:row>
    <x:row r="171" ht="15" hidden="0" customHeight="1">
      <x:c r="A171" s="70"/>
      <x:c r="B171" s="70"/>
      <x:c r="C171" s="70"/>
      <x:c r="D171" s="70"/>
      <x:c r="E171" s="70"/>
      <x:c r="F171" s="70"/>
    </x:row>
    <x:row r="172" ht="15" hidden="0" customHeight="1">
      <x:c r="A172" s="70"/>
      <x:c r="B172" s="70"/>
      <x:c r="C172" s="70"/>
      <x:c r="D172" s="70"/>
      <x:c r="E172" s="70"/>
      <x:c r="F172" s="70"/>
    </x:row>
    <x:row r="173" ht="15" hidden="0" customHeight="1">
      <x:c r="A173" s="70"/>
      <x:c r="B173" s="70"/>
      <x:c r="C173" s="70"/>
      <x:c r="D173" s="70"/>
      <x:c r="E173" s="70"/>
      <x:c r="F173" s="70"/>
    </x:row>
    <x:row r="174" ht="15" hidden="0" customHeight="1">
      <x:c r="A174" s="70"/>
      <x:c r="B174" s="70"/>
      <x:c r="C174" s="70"/>
      <x:c r="D174" s="70"/>
      <x:c r="E174" s="70"/>
      <x:c r="F174" s="70"/>
    </x:row>
    <x:row r="175" ht="15" hidden="0" customHeight="1">
      <x:c r="A175" s="70"/>
      <x:c r="B175" s="70"/>
      <x:c r="C175" s="70"/>
      <x:c r="D175" s="70"/>
      <x:c r="E175" s="70"/>
      <x:c r="F175" s="70"/>
    </x:row>
    <x:row r="176" ht="15" hidden="0" customHeight="1">
      <x:c r="A176" s="70"/>
      <x:c r="B176" s="70"/>
      <x:c r="C176" s="70"/>
      <x:c r="D176" s="70"/>
      <x:c r="E176" s="70"/>
      <x:c r="F176" s="70"/>
    </x:row>
    <x:row r="177" ht="15" hidden="0" customHeight="1">
      <x:c r="A177" s="70"/>
      <x:c r="B177" s="70"/>
      <x:c r="C177" s="70"/>
      <x:c r="D177" s="70"/>
      <x:c r="E177" s="70"/>
      <x:c r="F177" s="70"/>
    </x:row>
    <x:row r="178" ht="15" hidden="0" customHeight="1">
      <x:c r="A178" s="70"/>
      <x:c r="B178" s="70"/>
      <x:c r="C178" s="70"/>
      <x:c r="D178" s="70"/>
      <x:c r="E178" s="70"/>
      <x:c r="F178" s="70"/>
    </x:row>
    <x:row r="179" ht="15" hidden="0" customHeight="1">
      <x:c r="A179" s="70"/>
      <x:c r="B179" s="70"/>
      <x:c r="C179" s="70"/>
      <x:c r="D179" s="70"/>
      <x:c r="E179" s="70"/>
      <x:c r="F179" s="70"/>
    </x:row>
    <x:row r="180" ht="15" hidden="0" customHeight="1">
      <x:c r="A180" s="70"/>
      <x:c r="B180" s="70"/>
      <x:c r="C180" s="70"/>
      <x:c r="D180" s="70"/>
      <x:c r="E180" s="70"/>
      <x:c r="F180" s="70"/>
    </x:row>
    <x:row r="181" ht="15" hidden="0" customHeight="1">
      <x:c r="A181" s="70"/>
      <x:c r="B181" s="70"/>
      <x:c r="C181" s="70"/>
      <x:c r="D181" s="70"/>
      <x:c r="E181" s="70"/>
      <x:c r="F181" s="70"/>
    </x:row>
    <x:row r="182" ht="15" hidden="0" customHeight="1">
      <x:c r="A182" s="70"/>
      <x:c r="B182" s="70"/>
      <x:c r="C182" s="70"/>
      <x:c r="D182" s="70"/>
      <x:c r="E182" s="70"/>
      <x:c r="F182" s="70"/>
    </x:row>
    <x:row r="183" ht="15" hidden="0" customHeight="1">
      <x:c r="A183" s="70"/>
      <x:c r="B183" s="70"/>
      <x:c r="C183" s="70"/>
      <x:c r="D183" s="70"/>
      <x:c r="E183" s="70"/>
      <x:c r="F183" s="70"/>
    </x:row>
    <x:row r="184" ht="15" hidden="0" customHeight="1">
      <x:c r="A184" s="70"/>
      <x:c r="B184" s="70"/>
      <x:c r="C184" s="70"/>
      <x:c r="D184" s="70"/>
      <x:c r="E184" s="70"/>
      <x:c r="F184" s="70"/>
    </x:row>
    <x:row r="185" ht="15" hidden="0" customHeight="1">
      <x:c r="A185" s="70"/>
      <x:c r="B185" s="70"/>
      <x:c r="C185" s="70"/>
      <x:c r="D185" s="70"/>
      <x:c r="E185" s="70"/>
      <x:c r="F185" s="70"/>
    </x:row>
    <x:row r="186" ht="15" hidden="0" customHeight="1">
      <x:c r="A186" s="70"/>
      <x:c r="B186" s="70"/>
      <x:c r="C186" s="70"/>
      <x:c r="D186" s="70"/>
      <x:c r="E186" s="70"/>
      <x:c r="F186" s="70"/>
    </x:row>
    <x:row r="187" ht="15" hidden="0" customHeight="1">
      <x:c r="A187" s="70"/>
      <x:c r="B187" s="70"/>
      <x:c r="C187" s="70"/>
      <x:c r="D187" s="70"/>
      <x:c r="E187" s="70"/>
      <x:c r="F187" s="70"/>
    </x:row>
    <x:row r="188" ht="15" hidden="0" customHeight="1">
      <x:c r="A188" s="70"/>
      <x:c r="B188" s="70"/>
      <x:c r="C188" s="70"/>
      <x:c r="D188" s="70"/>
      <x:c r="E188" s="70"/>
      <x:c r="F188" s="70"/>
    </x:row>
    <x:row r="189" ht="15" hidden="0" customHeight="1">
      <x:c r="A189" s="70"/>
      <x:c r="B189" s="70"/>
      <x:c r="C189" s="70"/>
      <x:c r="D189" s="70"/>
      <x:c r="E189" s="70"/>
      <x:c r="F189" s="70"/>
    </x:row>
    <x:row r="190" ht="15" hidden="0" customHeight="1">
      <x:c r="A190" s="70"/>
      <x:c r="B190" s="70"/>
      <x:c r="C190" s="70"/>
      <x:c r="D190" s="70"/>
      <x:c r="E190" s="70"/>
      <x:c r="F190" s="70"/>
    </x:row>
    <x:row r="191" ht="15" hidden="0" customHeight="1">
      <x:c r="A191" s="70"/>
      <x:c r="B191" s="70"/>
      <x:c r="C191" s="70"/>
      <x:c r="D191" s="70"/>
      <x:c r="E191" s="70"/>
      <x:c r="F191" s="70"/>
    </x:row>
    <x:row r="192" ht="15" hidden="0" customHeight="1">
      <x:c r="A192" s="70"/>
      <x:c r="B192" s="70"/>
      <x:c r="C192" s="70"/>
      <x:c r="D192" s="70"/>
      <x:c r="E192" s="70"/>
      <x:c r="F192" s="70"/>
    </x:row>
    <x:row r="193" ht="15" hidden="0" customHeight="1">
      <x:c r="A193" s="70"/>
      <x:c r="B193" s="70"/>
      <x:c r="C193" s="70"/>
      <x:c r="D193" s="70"/>
      <x:c r="E193" s="70"/>
      <x:c r="F193" s="70"/>
    </x:row>
    <x:row r="194" ht="15" hidden="0" customHeight="1">
      <x:c r="A194" s="70"/>
      <x:c r="B194" s="70"/>
      <x:c r="C194" s="70"/>
      <x:c r="D194" s="70"/>
      <x:c r="E194" s="70"/>
      <x:c r="F194" s="70"/>
    </x:row>
    <x:row r="195" ht="15" hidden="0" customHeight="1">
      <x:c r="A195" s="70"/>
      <x:c r="B195" s="70"/>
      <x:c r="C195" s="70"/>
      <x:c r="D195" s="70"/>
      <x:c r="E195" s="70"/>
      <x:c r="F195" s="70"/>
    </x:row>
    <x:row r="196" ht="15" hidden="0" customHeight="1">
      <x:c r="A196" s="70"/>
      <x:c r="B196" s="70"/>
      <x:c r="C196" s="70"/>
      <x:c r="D196" s="70"/>
      <x:c r="E196" s="70"/>
      <x:c r="F196" s="70"/>
    </x:row>
    <x:row r="197" ht="15" hidden="0" customHeight="1">
      <x:c r="A197" s="70"/>
      <x:c r="B197" s="70"/>
      <x:c r="C197" s="70"/>
      <x:c r="D197" s="70"/>
      <x:c r="E197" s="70"/>
      <x:c r="F197" s="70"/>
    </x:row>
    <x:row r="198" ht="15" hidden="0" customHeight="1">
      <x:c r="A198" s="70"/>
      <x:c r="B198" s="70"/>
      <x:c r="C198" s="70"/>
      <x:c r="D198" s="70"/>
      <x:c r="E198" s="70"/>
      <x:c r="F198" s="70"/>
    </x:row>
    <x:row r="199" ht="15" hidden="0" customHeight="1">
      <x:c r="A199" s="70"/>
      <x:c r="B199" s="70"/>
      <x:c r="C199" s="70"/>
      <x:c r="D199" s="70"/>
      <x:c r="E199" s="70"/>
      <x:c r="F199" s="70"/>
    </x:row>
    <x:row r="200" ht="15" hidden="0" customHeight="1">
      <x:c r="A200" s="70"/>
      <x:c r="B200" s="70"/>
      <x:c r="C200" s="70"/>
      <x:c r="D200" s="70"/>
      <x:c r="E200" s="70"/>
      <x:c r="F200" s="70"/>
    </x:row>
    <x:row r="201" ht="15" hidden="0" customHeight="1">
      <x:c r="A201" s="70"/>
      <x:c r="B201" s="70"/>
      <x:c r="C201" s="70"/>
      <x:c r="D201" s="70"/>
      <x:c r="E201" s="70"/>
      <x:c r="F201" s="70"/>
    </x:row>
    <x:row r="202" ht="15" hidden="0" customHeight="1">
      <x:c r="A202" s="70"/>
      <x:c r="B202" s="70"/>
      <x:c r="C202" s="70"/>
      <x:c r="D202" s="70"/>
      <x:c r="E202" s="70"/>
      <x:c r="F202" s="70"/>
    </x:row>
    <x:row r="203" ht="15" hidden="0" customHeight="1">
      <x:c r="A203" s="70"/>
      <x:c r="B203" s="70"/>
      <x:c r="C203" s="70"/>
      <x:c r="D203" s="70"/>
      <x:c r="E203" s="70"/>
      <x:c r="F203" s="70"/>
    </x:row>
    <x:row r="204" ht="15" hidden="0" customHeight="1">
      <x:c r="A204" s="70"/>
      <x:c r="B204" s="70"/>
      <x:c r="C204" s="70"/>
      <x:c r="D204" s="70"/>
      <x:c r="E204" s="70"/>
      <x:c r="F204" s="70"/>
    </x:row>
    <x:row r="205" ht="15" hidden="0" customHeight="1">
      <x:c r="A205" s="70"/>
      <x:c r="B205" s="70"/>
      <x:c r="C205" s="70"/>
      <x:c r="D205" s="70"/>
      <x:c r="E205" s="70"/>
      <x:c r="F205" s="70"/>
    </x:row>
    <x:row r="206" ht="15" hidden="0" customHeight="1">
      <x:c r="A206" s="70"/>
      <x:c r="B206" s="70"/>
      <x:c r="C206" s="70"/>
      <x:c r="D206" s="70"/>
      <x:c r="E206" s="70"/>
      <x:c r="F206" s="70"/>
    </x:row>
    <x:row r="207" ht="15" hidden="0" customHeight="1">
      <x:c r="A207" s="70"/>
      <x:c r="B207" s="70"/>
      <x:c r="C207" s="70"/>
      <x:c r="D207" s="70"/>
      <x:c r="E207" s="70"/>
      <x:c r="F207" s="70"/>
    </x:row>
    <x:row r="208" ht="15" hidden="0" customHeight="1">
      <x:c r="A208" s="70"/>
      <x:c r="B208" s="70"/>
      <x:c r="C208" s="70"/>
      <x:c r="D208" s="70"/>
      <x:c r="E208" s="70"/>
      <x:c r="F208" s="70"/>
    </x:row>
    <x:row r="209" ht="15" hidden="0" customHeight="1">
      <x:c r="A209" s="70"/>
      <x:c r="B209" s="70"/>
      <x:c r="C209" s="70"/>
      <x:c r="D209" s="70"/>
      <x:c r="E209" s="70"/>
      <x:c r="F209" s="70"/>
    </x:row>
    <x:row r="210" ht="15" hidden="0" customHeight="1">
      <x:c r="A210" s="70"/>
      <x:c r="B210" s="70"/>
      <x:c r="C210" s="70"/>
      <x:c r="D210" s="70"/>
      <x:c r="E210" s="70"/>
      <x:c r="F210" s="70"/>
    </x:row>
    <x:row r="211" ht="15" hidden="0" customHeight="1">
      <x:c r="A211" s="70"/>
      <x:c r="B211" s="70"/>
      <x:c r="C211" s="70"/>
      <x:c r="D211" s="70"/>
      <x:c r="E211" s="70"/>
      <x:c r="F211" s="70"/>
    </x:row>
    <x:row r="212" ht="15" hidden="0" customHeight="1">
      <x:c r="A212" s="70"/>
      <x:c r="B212" s="70"/>
      <x:c r="C212" s="70"/>
      <x:c r="D212" s="70"/>
      <x:c r="E212" s="70"/>
      <x:c r="F212" s="70"/>
    </x:row>
    <x:row r="213" ht="15" hidden="0" customHeight="1">
      <x:c r="A213" s="70"/>
      <x:c r="B213" s="70"/>
      <x:c r="C213" s="70"/>
      <x:c r="D213" s="70"/>
      <x:c r="E213" s="70"/>
      <x:c r="F213" s="70"/>
    </x:row>
    <x:row r="214" ht="15" hidden="0" customHeight="1">
      <x:c r="A214" s="70"/>
      <x:c r="B214" s="70"/>
      <x:c r="C214" s="70"/>
      <x:c r="D214" s="70"/>
      <x:c r="E214" s="70"/>
      <x:c r="F214" s="70"/>
    </x:row>
    <x:row r="215" ht="15" hidden="0" customHeight="1">
      <x:c r="A215" s="70"/>
      <x:c r="B215" s="70"/>
      <x:c r="C215" s="70"/>
      <x:c r="D215" s="70"/>
      <x:c r="E215" s="70"/>
      <x:c r="F215" s="70"/>
    </x:row>
    <x:row r="216" ht="15" hidden="0" customHeight="1">
      <x:c r="A216" s="70"/>
      <x:c r="B216" s="70"/>
      <x:c r="C216" s="70"/>
      <x:c r="D216" s="70"/>
      <x:c r="E216" s="70"/>
      <x:c r="F216" s="70"/>
    </x:row>
    <x:row r="217" ht="15" hidden="0" customHeight="1">
      <x:c r="A217" s="70"/>
      <x:c r="B217" s="70"/>
      <x:c r="C217" s="70"/>
      <x:c r="D217" s="70"/>
      <x:c r="E217" s="70"/>
      <x:c r="F217" s="70"/>
    </x:row>
    <x:row r="218" ht="15" hidden="0" customHeight="1">
      <x:c r="A218" s="70"/>
      <x:c r="B218" s="70"/>
      <x:c r="C218" s="70"/>
      <x:c r="D218" s="70"/>
      <x:c r="E218" s="70"/>
      <x:c r="F218" s="70"/>
    </x:row>
    <x:row r="219" ht="15" hidden="0" customHeight="1">
      <x:c r="A219" s="70"/>
      <x:c r="B219" s="70"/>
      <x:c r="C219" s="70"/>
      <x:c r="D219" s="70"/>
      <x:c r="E219" s="70"/>
      <x:c r="F219" s="70"/>
    </x:row>
    <x:row r="220" ht="15" hidden="0" customHeight="1">
      <x:c r="A220" s="70"/>
      <x:c r="B220" s="70"/>
      <x:c r="C220" s="70"/>
      <x:c r="D220" s="70"/>
      <x:c r="E220" s="70"/>
      <x:c r="F220" s="70"/>
    </x:row>
    <x:row r="221" ht="15" hidden="0" customHeight="1">
      <x:c r="A221" s="70"/>
      <x:c r="B221" s="70"/>
      <x:c r="C221" s="70"/>
      <x:c r="D221" s="70"/>
      <x:c r="E221" s="70"/>
      <x:c r="F221" s="70"/>
    </x:row>
    <x:row r="222" ht="15" hidden="0" customHeight="1">
      <x:c r="A222" s="70"/>
      <x:c r="B222" s="70"/>
      <x:c r="C222" s="70"/>
      <x:c r="D222" s="70"/>
      <x:c r="E222" s="70"/>
      <x:c r="F222" s="70"/>
    </x:row>
    <x:row r="223" ht="15" hidden="0" customHeight="1">
      <x:c r="A223" s="70"/>
      <x:c r="B223" s="70"/>
      <x:c r="C223" s="70"/>
      <x:c r="D223" s="70"/>
      <x:c r="E223" s="70"/>
      <x:c r="F223" s="70"/>
    </x:row>
    <x:row r="224" ht="15" hidden="0" customHeight="1">
      <x:c r="A224" s="70"/>
      <x:c r="B224" s="70"/>
      <x:c r="C224" s="70"/>
      <x:c r="D224" s="70"/>
      <x:c r="E224" s="70"/>
      <x:c r="F224" s="70"/>
    </x:row>
    <x:row r="225" ht="15" hidden="0" customHeight="1">
      <x:c r="A225" s="70"/>
      <x:c r="B225" s="70"/>
      <x:c r="C225" s="70"/>
      <x:c r="D225" s="70"/>
      <x:c r="E225" s="70"/>
      <x:c r="F225" s="70"/>
    </x:row>
    <x:row r="226" ht="15" hidden="0" customHeight="1">
      <x:c r="A226" s="70"/>
      <x:c r="B226" s="70"/>
      <x:c r="C226" s="70"/>
      <x:c r="D226" s="70"/>
      <x:c r="E226" s="70"/>
      <x:c r="F226" s="70"/>
    </x:row>
    <x:row r="227" ht="15" hidden="0" customHeight="1">
      <x:c r="A227" s="70"/>
      <x:c r="B227" s="70"/>
      <x:c r="C227" s="70"/>
      <x:c r="D227" s="70"/>
      <x:c r="E227" s="70"/>
      <x:c r="F227" s="70"/>
    </x:row>
    <x:row r="228" ht="15" hidden="0" customHeight="1">
      <x:c r="A228" s="70"/>
      <x:c r="B228" s="70"/>
      <x:c r="C228" s="70"/>
      <x:c r="D228" s="70"/>
      <x:c r="E228" s="70"/>
      <x:c r="F228" s="70"/>
    </x:row>
    <x:row r="229" ht="15" hidden="0" customHeight="1">
      <x:c r="A229" s="70"/>
      <x:c r="B229" s="70"/>
      <x:c r="C229" s="70"/>
      <x:c r="D229" s="70"/>
      <x:c r="E229" s="70"/>
      <x:c r="F229" s="70"/>
    </x:row>
    <x:row r="230" ht="15" hidden="0" customHeight="1">
      <x:c r="A230" s="70"/>
      <x:c r="B230" s="70"/>
      <x:c r="C230" s="70"/>
      <x:c r="D230" s="70"/>
      <x:c r="E230" s="70"/>
      <x:c r="F230" s="70"/>
    </x:row>
    <x:row r="231" ht="15" hidden="0" customHeight="1">
      <x:c r="A231" s="70"/>
      <x:c r="B231" s="70"/>
      <x:c r="C231" s="70"/>
      <x:c r="D231" s="70"/>
      <x:c r="E231" s="70"/>
      <x:c r="F231" s="70"/>
    </x:row>
    <x:row r="232" ht="15" hidden="0" customHeight="1">
      <x:c r="A232" s="70"/>
      <x:c r="B232" s="70"/>
      <x:c r="C232" s="70"/>
      <x:c r="D232" s="70"/>
      <x:c r="E232" s="70"/>
      <x:c r="F232" s="70"/>
    </x:row>
    <x:row r="233" ht="15" hidden="0" customHeight="1">
      <x:c r="A233" s="70"/>
      <x:c r="B233" s="70"/>
      <x:c r="C233" s="70"/>
      <x:c r="D233" s="70"/>
      <x:c r="E233" s="70"/>
      <x:c r="F233" s="70"/>
    </x:row>
    <x:row r="234" ht="15" hidden="0" customHeight="1">
      <x:c r="A234" s="70"/>
      <x:c r="B234" s="70"/>
      <x:c r="C234" s="70"/>
      <x:c r="D234" s="70"/>
      <x:c r="E234" s="70"/>
      <x:c r="F234" s="70"/>
    </x:row>
    <x:row r="235" ht="15" hidden="0" customHeight="1">
      <x:c r="A235" s="70"/>
      <x:c r="B235" s="70"/>
      <x:c r="C235" s="70"/>
      <x:c r="D235" s="70"/>
      <x:c r="E235" s="70"/>
      <x:c r="F235" s="70"/>
    </x:row>
    <x:row r="236" ht="15" hidden="0" customHeight="1">
      <x:c r="A236" s="70"/>
      <x:c r="B236" s="70"/>
      <x:c r="C236" s="70"/>
      <x:c r="D236" s="70"/>
      <x:c r="E236" s="70"/>
      <x:c r="F236" s="70"/>
    </x:row>
    <x:row r="237" ht="15" hidden="0" customHeight="1">
      <x:c r="A237" s="70"/>
      <x:c r="B237" s="70"/>
      <x:c r="C237" s="70"/>
      <x:c r="D237" s="70"/>
      <x:c r="E237" s="70"/>
      <x:c r="F237" s="70"/>
    </x:row>
    <x:row r="238" ht="15" hidden="0" customHeight="1">
      <x:c r="A238" s="70"/>
      <x:c r="B238" s="70"/>
      <x:c r="C238" s="70"/>
      <x:c r="D238" s="70"/>
      <x:c r="E238" s="70"/>
      <x:c r="F238" s="70"/>
    </x:row>
    <x:row r="239" ht="15" hidden="0" customHeight="1">
      <x:c r="A239" s="70"/>
      <x:c r="B239" s="70"/>
      <x:c r="C239" s="70"/>
      <x:c r="D239" s="70"/>
      <x:c r="E239" s="70"/>
      <x:c r="F239" s="70"/>
    </x:row>
    <x:row r="240" ht="15" hidden="0" customHeight="1">
      <x:c r="A240" s="70"/>
      <x:c r="B240" s="70"/>
      <x:c r="C240" s="70"/>
      <x:c r="D240" s="70"/>
      <x:c r="E240" s="70"/>
      <x:c r="F240" s="70"/>
    </x:row>
    <x:row r="241" ht="15" hidden="0" customHeight="1">
      <x:c r="A241" s="70"/>
      <x:c r="B241" s="70"/>
      <x:c r="C241" s="70"/>
      <x:c r="D241" s="70"/>
      <x:c r="E241" s="70"/>
      <x:c r="F241" s="70"/>
    </x:row>
    <x:row r="242" ht="15" hidden="0" customHeight="1">
      <x:c r="A242" s="70"/>
      <x:c r="B242" s="70"/>
      <x:c r="C242" s="70"/>
      <x:c r="D242" s="70"/>
      <x:c r="E242" s="70"/>
      <x:c r="F242" s="70"/>
    </x:row>
    <x:row r="243" ht="15" hidden="0" customHeight="1">
      <x:c r="A243" s="70"/>
      <x:c r="B243" s="70"/>
      <x:c r="C243" s="70"/>
      <x:c r="D243" s="70"/>
      <x:c r="E243" s="70"/>
      <x:c r="F243" s="70"/>
    </x:row>
    <x:row r="244" ht="15" hidden="0" customHeight="1">
      <x:c r="A244" s="70"/>
      <x:c r="B244" s="70"/>
      <x:c r="C244" s="70"/>
      <x:c r="D244" s="70"/>
      <x:c r="E244" s="70"/>
      <x:c r="F244" s="70"/>
    </x:row>
    <x:row r="245" ht="15" hidden="0" customHeight="1">
      <x:c r="A245" s="70"/>
      <x:c r="B245" s="70"/>
      <x:c r="C245" s="70"/>
      <x:c r="D245" s="70"/>
      <x:c r="E245" s="70"/>
      <x:c r="F245" s="70"/>
    </x:row>
    <x:row r="246" ht="15" hidden="0" customHeight="1">
      <x:c r="A246" s="70"/>
      <x:c r="B246" s="70"/>
      <x:c r="C246" s="70"/>
      <x:c r="D246" s="70"/>
      <x:c r="E246" s="70"/>
      <x:c r="F246" s="70"/>
    </x:row>
    <x:row r="247" ht="15" hidden="0" customHeight="1">
      <x:c r="A247" s="70"/>
      <x:c r="B247" s="70"/>
      <x:c r="C247" s="70"/>
      <x:c r="D247" s="70"/>
      <x:c r="E247" s="70"/>
      <x:c r="F247" s="70"/>
    </x:row>
    <x:row r="248" ht="15" hidden="0" customHeight="1">
      <x:c r="A248" s="70"/>
      <x:c r="B248" s="70"/>
      <x:c r="C248" s="70"/>
      <x:c r="D248" s="70"/>
      <x:c r="E248" s="70"/>
      <x:c r="F248" s="70"/>
    </x:row>
    <x:row r="249" ht="15" hidden="0" customHeight="1">
      <x:c r="A249" s="70"/>
      <x:c r="B249" s="70"/>
      <x:c r="C249" s="70"/>
      <x:c r="D249" s="70"/>
      <x:c r="E249" s="70"/>
      <x:c r="F249" s="70"/>
    </x:row>
    <x:row r="250" ht="15" hidden="0" customHeight="1">
      <x:c r="A250" s="70"/>
      <x:c r="B250" s="70"/>
      <x:c r="C250" s="70"/>
      <x:c r="D250" s="70"/>
      <x:c r="E250" s="70"/>
      <x:c r="F250" s="70"/>
    </x:row>
    <x:row r="251" ht="15" hidden="0" customHeight="1">
      <x:c r="A251" s="70"/>
      <x:c r="B251" s="70"/>
      <x:c r="C251" s="70"/>
      <x:c r="D251" s="70"/>
      <x:c r="E251" s="70"/>
      <x:c r="F251" s="70"/>
    </x:row>
    <x:row r="252" ht="15" hidden="0" customHeight="1">
      <x:c r="A252" s="70"/>
      <x:c r="B252" s="70"/>
      <x:c r="C252" s="70"/>
      <x:c r="D252" s="70"/>
      <x:c r="E252" s="70"/>
      <x:c r="F252" s="70"/>
    </x:row>
    <x:row r="253" ht="15" hidden="0" customHeight="1">
      <x:c r="A253" s="70"/>
      <x:c r="B253" s="70"/>
      <x:c r="C253" s="70"/>
      <x:c r="D253" s="70"/>
      <x:c r="E253" s="70"/>
      <x:c r="F253" s="70"/>
    </x:row>
    <x:row r="254" ht="15" hidden="0" customHeight="1">
      <x:c r="A254" s="70"/>
      <x:c r="B254" s="70"/>
      <x:c r="C254" s="70"/>
      <x:c r="D254" s="70"/>
      <x:c r="E254" s="70"/>
      <x:c r="F254" s="70"/>
    </x:row>
    <x:row r="255" ht="15" hidden="0" customHeight="1">
      <x:c r="A255" s="70"/>
      <x:c r="B255" s="70"/>
      <x:c r="C255" s="70"/>
      <x:c r="D255" s="70"/>
      <x:c r="E255" s="70"/>
      <x:c r="F255" s="70"/>
    </x:row>
    <x:row r="256" ht="15" hidden="0" customHeight="1">
      <x:c r="A256" s="70"/>
      <x:c r="B256" s="70"/>
      <x:c r="C256" s="70"/>
      <x:c r="D256" s="70"/>
      <x:c r="E256" s="70"/>
      <x:c r="F256" s="70"/>
    </x:row>
    <x:row r="257" ht="15" hidden="0" customHeight="1">
      <x:c r="A257" s="70"/>
      <x:c r="B257" s="70"/>
      <x:c r="C257" s="70"/>
      <x:c r="D257" s="70"/>
      <x:c r="E257" s="70"/>
      <x:c r="F257" s="70"/>
    </x:row>
    <x:row r="258" ht="15" hidden="0" customHeight="1">
      <x:c r="A258" s="70"/>
      <x:c r="B258" s="70"/>
      <x:c r="C258" s="70"/>
      <x:c r="D258" s="70"/>
      <x:c r="E258" s="70"/>
      <x:c r="F258" s="70"/>
    </x:row>
    <x:row r="259" ht="15" hidden="0" customHeight="1">
      <x:c r="A259" s="70"/>
      <x:c r="B259" s="70"/>
      <x:c r="C259" s="70"/>
      <x:c r="D259" s="70"/>
      <x:c r="E259" s="70"/>
      <x:c r="F259" s="70"/>
    </x:row>
    <x:row r="260" ht="15" hidden="0" customHeight="1">
      <x:c r="A260" s="70"/>
      <x:c r="B260" s="70"/>
      <x:c r="C260" s="70"/>
      <x:c r="D260" s="70"/>
      <x:c r="E260" s="70"/>
      <x:c r="F260" s="70"/>
    </x:row>
    <x:row r="261" ht="15" hidden="0" customHeight="1">
      <x:c r="A261" s="70"/>
      <x:c r="B261" s="70"/>
      <x:c r="C261" s="70"/>
      <x:c r="D261" s="70"/>
      <x:c r="E261" s="70"/>
      <x:c r="F261" s="70"/>
    </x:row>
    <x:row r="262" ht="15" hidden="0" customHeight="1">
      <x:c r="A262" s="70"/>
      <x:c r="B262" s="70"/>
      <x:c r="C262" s="70"/>
      <x:c r="D262" s="70"/>
      <x:c r="E262" s="70"/>
      <x:c r="F262" s="70"/>
    </x:row>
    <x:row r="263" ht="15" hidden="0" customHeight="1">
      <x:c r="A263" s="70"/>
      <x:c r="B263" s="70"/>
      <x:c r="C263" s="70"/>
      <x:c r="D263" s="70"/>
      <x:c r="E263" s="70"/>
      <x:c r="F263" s="70"/>
    </x:row>
    <x:row r="264" ht="15" hidden="0" customHeight="1">
      <x:c r="A264" s="70"/>
      <x:c r="B264" s="70"/>
      <x:c r="C264" s="70"/>
      <x:c r="D264" s="70"/>
      <x:c r="E264" s="70"/>
      <x:c r="F264" s="70"/>
    </x:row>
    <x:row r="265" ht="15" hidden="0" customHeight="1">
      <x:c r="A265" s="70"/>
      <x:c r="B265" s="70"/>
      <x:c r="C265" s="70"/>
      <x:c r="D265" s="70"/>
      <x:c r="E265" s="70"/>
      <x:c r="F265" s="70"/>
    </x:row>
    <x:row r="266" ht="15" hidden="0" customHeight="1">
      <x:c r="A266" s="70"/>
      <x:c r="B266" s="70"/>
      <x:c r="C266" s="70"/>
      <x:c r="D266" s="70"/>
      <x:c r="E266" s="70"/>
      <x:c r="F266" s="70"/>
    </x:row>
    <x:row r="267" ht="15" hidden="0" customHeight="1">
      <x:c r="A267" s="70"/>
      <x:c r="B267" s="70"/>
      <x:c r="C267" s="70"/>
      <x:c r="D267" s="70"/>
      <x:c r="E267" s="70"/>
      <x:c r="F267" s="70"/>
    </x:row>
    <x:row r="268" ht="15" hidden="0" customHeight="1">
      <x:c r="A268" s="70"/>
      <x:c r="B268" s="70"/>
      <x:c r="C268" s="70"/>
      <x:c r="D268" s="70"/>
      <x:c r="E268" s="70"/>
      <x:c r="F268" s="70"/>
    </x:row>
    <x:row r="269" ht="15" hidden="0" customHeight="1">
      <x:c r="A269" s="70"/>
      <x:c r="B269" s="70"/>
      <x:c r="C269" s="70"/>
      <x:c r="D269" s="70"/>
      <x:c r="E269" s="70"/>
      <x:c r="F269" s="70"/>
    </x:row>
    <x:row r="270" ht="15" hidden="0" customHeight="1">
      <x:c r="A270" s="70"/>
      <x:c r="B270" s="70"/>
      <x:c r="C270" s="70"/>
      <x:c r="D270" s="70"/>
      <x:c r="E270" s="70"/>
      <x:c r="F270" s="70"/>
    </x:row>
    <x:row r="271" ht="15" hidden="0" customHeight="1">
      <x:c r="A271" s="70"/>
      <x:c r="B271" s="70"/>
      <x:c r="C271" s="70"/>
      <x:c r="D271" s="70"/>
      <x:c r="E271" s="70"/>
      <x:c r="F271" s="70"/>
    </x:row>
    <x:row r="272" ht="15" hidden="0" customHeight="1">
      <x:c r="A272" s="70"/>
      <x:c r="B272" s="70"/>
      <x:c r="C272" s="70"/>
      <x:c r="D272" s="70"/>
      <x:c r="E272" s="70"/>
      <x:c r="F272" s="70"/>
    </x:row>
    <x:row r="273" ht="15" hidden="0" customHeight="1">
      <x:c r="A273" s="70"/>
      <x:c r="B273" s="70"/>
      <x:c r="C273" s="70"/>
      <x:c r="D273" s="70"/>
      <x:c r="E273" s="70"/>
      <x:c r="F273" s="70"/>
    </x:row>
    <x:row r="274" ht="15" hidden="0" customHeight="1">
      <x:c r="A274" s="70"/>
      <x:c r="B274" s="70"/>
      <x:c r="C274" s="70"/>
      <x:c r="D274" s="70"/>
      <x:c r="E274" s="70"/>
      <x:c r="F274" s="70"/>
    </x:row>
    <x:row r="275" ht="15" hidden="0" customHeight="1">
      <x:c r="A275" s="70"/>
      <x:c r="B275" s="70"/>
      <x:c r="C275" s="70"/>
      <x:c r="D275" s="70"/>
      <x:c r="E275" s="70"/>
      <x:c r="F275" s="70"/>
    </x:row>
    <x:row r="276" ht="15" hidden="0" customHeight="1">
      <x:c r="A276" s="70"/>
      <x:c r="B276" s="70"/>
      <x:c r="C276" s="70"/>
      <x:c r="D276" s="70"/>
      <x:c r="E276" s="70"/>
      <x:c r="F276" s="70"/>
    </x:row>
    <x:row r="277" ht="15" hidden="0" customHeight="1">
      <x:c r="A277" s="70"/>
      <x:c r="B277" s="70"/>
      <x:c r="C277" s="70"/>
      <x:c r="D277" s="70"/>
      <x:c r="E277" s="70"/>
      <x:c r="F277" s="70"/>
    </x:row>
    <x:row r="278" ht="15" hidden="0" customHeight="1">
      <x:c r="A278" s="70"/>
      <x:c r="B278" s="70"/>
      <x:c r="C278" s="70"/>
      <x:c r="D278" s="70"/>
      <x:c r="E278" s="70"/>
      <x:c r="F278" s="70"/>
    </x:row>
    <x:row r="279" ht="15" hidden="0" customHeight="1">
      <x:c r="A279" s="70"/>
      <x:c r="B279" s="70"/>
      <x:c r="C279" s="70"/>
      <x:c r="D279" s="70"/>
      <x:c r="E279" s="70"/>
      <x:c r="F279" s="70"/>
    </x:row>
    <x:row r="280" ht="15" hidden="0" customHeight="1">
      <x:c r="A280" s="70"/>
      <x:c r="B280" s="70"/>
      <x:c r="C280" s="70"/>
      <x:c r="D280" s="70"/>
      <x:c r="E280" s="70"/>
      <x:c r="F280" s="70"/>
    </x:row>
    <x:row r="281" ht="15" hidden="0" customHeight="1">
      <x:c r="A281" s="70"/>
      <x:c r="B281" s="70"/>
      <x:c r="C281" s="70"/>
      <x:c r="D281" s="70"/>
      <x:c r="E281" s="70"/>
      <x:c r="F281" s="70"/>
    </x:row>
    <x:row r="282" ht="15" hidden="0" customHeight="1">
      <x:c r="A282" s="70"/>
      <x:c r="B282" s="70"/>
      <x:c r="C282" s="70"/>
      <x:c r="D282" s="70"/>
      <x:c r="E282" s="70"/>
      <x:c r="F282" s="70"/>
    </x:row>
    <x:row r="283" ht="15" hidden="0" customHeight="1">
      <x:c r="A283" s="70"/>
      <x:c r="B283" s="70"/>
      <x:c r="C283" s="70"/>
      <x:c r="D283" s="70"/>
      <x:c r="E283" s="70"/>
      <x:c r="F283" s="70"/>
    </x:row>
    <x:row r="284" ht="15" hidden="0" customHeight="1">
      <x:c r="A284" s="70"/>
      <x:c r="B284" s="70"/>
      <x:c r="C284" s="70"/>
      <x:c r="D284" s="70"/>
      <x:c r="E284" s="70"/>
      <x:c r="F284" s="70"/>
    </x:row>
    <x:row r="285" ht="15" hidden="0" customHeight="1">
      <x:c r="A285" s="70"/>
      <x:c r="B285" s="70"/>
      <x:c r="C285" s="70"/>
      <x:c r="D285" s="70"/>
      <x:c r="E285" s="70"/>
      <x:c r="F285" s="70"/>
    </x:row>
    <x:row r="286" ht="15" hidden="0" customHeight="1">
      <x:c r="A286" s="70"/>
      <x:c r="B286" s="70"/>
      <x:c r="C286" s="70"/>
      <x:c r="D286" s="70"/>
      <x:c r="E286" s="70"/>
      <x:c r="F286" s="70"/>
    </x:row>
    <x:row r="287" ht="15" hidden="0" customHeight="1">
      <x:c r="A287" s="70"/>
      <x:c r="B287" s="70"/>
      <x:c r="C287" s="70"/>
      <x:c r="D287" s="70"/>
      <x:c r="E287" s="70"/>
      <x:c r="F287" s="70"/>
    </x:row>
    <x:row r="288" ht="15" hidden="0" customHeight="1">
      <x:c r="A288" s="70"/>
      <x:c r="B288" s="70"/>
      <x:c r="C288" s="70"/>
      <x:c r="D288" s="70"/>
      <x:c r="E288" s="70"/>
      <x:c r="F288" s="70"/>
    </x:row>
    <x:row r="289" ht="15" hidden="0" customHeight="1">
      <x:c r="A289" s="70"/>
      <x:c r="B289" s="70"/>
      <x:c r="C289" s="70"/>
      <x:c r="D289" s="70"/>
      <x:c r="E289" s="70"/>
      <x:c r="F289" s="70"/>
    </x:row>
    <x:row r="290" ht="15" hidden="0" customHeight="1">
      <x:c r="A290" s="70"/>
      <x:c r="B290" s="70"/>
      <x:c r="C290" s="70"/>
      <x:c r="D290" s="70"/>
      <x:c r="E290" s="70"/>
      <x:c r="F290" s="70"/>
    </x:row>
    <x:row r="291" ht="15" hidden="0" customHeight="1">
      <x:c r="A291" s="70"/>
      <x:c r="B291" s="70"/>
      <x:c r="C291" s="70"/>
      <x:c r="D291" s="70"/>
      <x:c r="E291" s="70"/>
      <x:c r="F291" s="70"/>
    </x:row>
    <x:row r="292" ht="15" hidden="0" customHeight="1">
      <x:c r="A292" s="70"/>
      <x:c r="B292" s="70"/>
      <x:c r="C292" s="70"/>
      <x:c r="D292" s="70"/>
      <x:c r="E292" s="70"/>
      <x:c r="F292" s="70"/>
    </x:row>
    <x:row r="293" ht="15" hidden="0" customHeight="1">
      <x:c r="A293" s="70"/>
      <x:c r="B293" s="70"/>
      <x:c r="C293" s="70"/>
      <x:c r="D293" s="70"/>
      <x:c r="E293" s="70"/>
      <x:c r="F293" s="70"/>
    </x:row>
    <x:row r="294" ht="15" hidden="0" customHeight="1">
      <x:c r="A294" s="70"/>
      <x:c r="B294" s="70"/>
      <x:c r="C294" s="70"/>
      <x:c r="D294" s="70"/>
      <x:c r="E294" s="70"/>
      <x:c r="F294" s="70"/>
    </x:row>
    <x:row r="295" ht="15" hidden="0" customHeight="1">
      <x:c r="A295" s="70"/>
      <x:c r="B295" s="70"/>
      <x:c r="C295" s="70"/>
      <x:c r="D295" s="70"/>
      <x:c r="E295" s="70"/>
      <x:c r="F295" s="70"/>
    </x:row>
    <x:row r="296" ht="15" hidden="0" customHeight="1">
      <x:c r="A296" s="70"/>
      <x:c r="B296" s="70"/>
      <x:c r="C296" s="70"/>
      <x:c r="D296" s="70"/>
      <x:c r="E296" s="70"/>
      <x:c r="F296" s="70"/>
    </x:row>
    <x:row r="297" ht="15" hidden="0" customHeight="1">
      <x:c r="A297" s="70"/>
      <x:c r="B297" s="70"/>
      <x:c r="C297" s="70"/>
      <x:c r="D297" s="70"/>
      <x:c r="E297" s="70"/>
      <x:c r="F297" s="70"/>
    </x:row>
    <x:row r="298" ht="15" hidden="0" customHeight="1">
      <x:c r="A298" s="70"/>
      <x:c r="B298" s="70"/>
      <x:c r="C298" s="70"/>
      <x:c r="D298" s="70"/>
      <x:c r="E298" s="70"/>
      <x:c r="F298" s="70"/>
    </x:row>
    <x:row r="299" ht="15" hidden="0" customHeight="1">
      <x:c r="A299" s="70"/>
      <x:c r="B299" s="70"/>
      <x:c r="C299" s="70"/>
      <x:c r="D299" s="70"/>
      <x:c r="E299" s="70"/>
      <x:c r="F299" s="70"/>
    </x:row>
    <x:row r="300" ht="15" hidden="0" customHeight="1">
      <x:c r="A300" s="70"/>
      <x:c r="B300" s="70"/>
      <x:c r="C300" s="70"/>
      <x:c r="D300" s="70"/>
      <x:c r="E300" s="70"/>
      <x:c r="F300" s="70"/>
    </x:row>
    <x:row r="301" ht="15" hidden="0" customHeight="1">
      <x:c r="A301" s="70"/>
      <x:c r="B301" s="70"/>
      <x:c r="C301" s="70"/>
      <x:c r="D301" s="70"/>
      <x:c r="E301" s="70"/>
      <x:c r="F301" s="70"/>
    </x:row>
    <x:row r="302" ht="15" hidden="0" customHeight="1">
      <x:c r="A302" s="70"/>
      <x:c r="B302" s="70"/>
      <x:c r="C302" s="70"/>
      <x:c r="D302" s="70"/>
      <x:c r="E302" s="70"/>
      <x:c r="F302" s="70"/>
    </x:row>
    <x:row r="303" ht="15" hidden="0" customHeight="1">
      <x:c r="A303" s="70"/>
      <x:c r="B303" s="70"/>
      <x:c r="C303" s="70"/>
      <x:c r="D303" s="70"/>
      <x:c r="E303" s="70"/>
      <x:c r="F303" s="70"/>
    </x:row>
    <x:row r="304" ht="15" hidden="0" customHeight="1">
      <x:c r="A304" s="70"/>
      <x:c r="B304" s="70"/>
      <x:c r="C304" s="70"/>
      <x:c r="D304" s="70"/>
      <x:c r="E304" s="70"/>
      <x:c r="F304" s="70"/>
    </x:row>
    <x:row r="305" ht="15" hidden="0" customHeight="1">
      <x:c r="A305" s="70"/>
      <x:c r="B305" s="70"/>
      <x:c r="C305" s="70"/>
      <x:c r="D305" s="70"/>
      <x:c r="E305" s="70"/>
      <x:c r="F305" s="70"/>
    </x:row>
    <x:row r="306" ht="15" hidden="0" customHeight="1">
      <x:c r="A306" s="70"/>
      <x:c r="B306" s="70"/>
      <x:c r="C306" s="70"/>
      <x:c r="D306" s="70"/>
      <x:c r="E306" s="70"/>
      <x:c r="F306" s="70"/>
    </x:row>
    <x:row r="307" ht="15" hidden="0" customHeight="1">
      <x:c r="A307" s="70"/>
      <x:c r="B307" s="70"/>
      <x:c r="C307" s="70"/>
      <x:c r="D307" s="70"/>
      <x:c r="E307" s="70"/>
      <x:c r="F307" s="70"/>
    </x:row>
    <x:row r="308" ht="15" hidden="0" customHeight="1">
      <x:c r="A308" s="70"/>
      <x:c r="B308" s="70"/>
      <x:c r="C308" s="70"/>
      <x:c r="D308" s="70"/>
      <x:c r="E308" s="70"/>
      <x:c r="F308" s="70"/>
    </x:row>
    <x:row r="309" ht="15" hidden="0" customHeight="1">
      <x:c r="A309" s="70"/>
      <x:c r="B309" s="70"/>
      <x:c r="C309" s="70"/>
      <x:c r="D309" s="70"/>
      <x:c r="E309" s="70"/>
      <x:c r="F309" s="70"/>
    </x:row>
    <x:row r="310" ht="15" hidden="0" customHeight="1">
      <x:c r="A310" s="70"/>
      <x:c r="B310" s="70"/>
      <x:c r="C310" s="70"/>
      <x:c r="D310" s="70"/>
      <x:c r="E310" s="70"/>
      <x:c r="F310" s="70"/>
    </x:row>
    <x:row r="311" ht="15" hidden="0" customHeight="1">
      <x:c r="A311" s="70"/>
      <x:c r="B311" s="70"/>
      <x:c r="C311" s="70"/>
      <x:c r="D311" s="70"/>
      <x:c r="E311" s="70"/>
      <x:c r="F311" s="70"/>
    </x:row>
    <x:row r="312" ht="15" hidden="0" customHeight="1">
      <x:c r="A312" s="70"/>
      <x:c r="B312" s="70"/>
      <x:c r="C312" s="70"/>
      <x:c r="D312" s="70"/>
      <x:c r="E312" s="70"/>
      <x:c r="F312" s="70"/>
    </x:row>
    <x:row r="313" ht="15" hidden="0" customHeight="1">
      <x:c r="A313" s="70"/>
      <x:c r="B313" s="70"/>
      <x:c r="C313" s="70"/>
      <x:c r="D313" s="70"/>
      <x:c r="E313" s="70"/>
      <x:c r="F313" s="70"/>
    </x:row>
    <x:row r="314" ht="15" hidden="0" customHeight="1">
      <x:c r="A314" s="70"/>
      <x:c r="B314" s="70"/>
      <x:c r="C314" s="70"/>
      <x:c r="D314" s="70"/>
      <x:c r="E314" s="70"/>
      <x:c r="F314" s="70"/>
    </x:row>
    <x:row r="315" ht="15" hidden="0" customHeight="1">
      <x:c r="A315" s="70"/>
      <x:c r="B315" s="70"/>
      <x:c r="C315" s="70"/>
      <x:c r="D315" s="70"/>
      <x:c r="E315" s="70"/>
      <x:c r="F315" s="70"/>
    </x:row>
    <x:row r="316" ht="15" hidden="0" customHeight="1">
      <x:c r="A316" s="70"/>
      <x:c r="B316" s="70"/>
      <x:c r="C316" s="70"/>
      <x:c r="D316" s="70"/>
      <x:c r="E316" s="70"/>
      <x:c r="F316" s="70"/>
    </x:row>
    <x:row r="317" ht="15" hidden="0" customHeight="1">
      <x:c r="A317" s="70"/>
      <x:c r="B317" s="70"/>
      <x:c r="C317" s="70"/>
      <x:c r="D317" s="70"/>
      <x:c r="E317" s="70"/>
      <x:c r="F317" s="70"/>
    </x:row>
    <x:row r="318" ht="15" hidden="0" customHeight="1">
      <x:c r="A318" s="70"/>
      <x:c r="B318" s="70"/>
      <x:c r="C318" s="70"/>
      <x:c r="D318" s="70"/>
      <x:c r="E318" s="70"/>
      <x:c r="F318" s="70"/>
    </x:row>
    <x:row r="319" ht="15" hidden="0" customHeight="1">
      <x:c r="A319" s="70"/>
      <x:c r="B319" s="70"/>
      <x:c r="C319" s="70"/>
      <x:c r="D319" s="70"/>
      <x:c r="E319" s="70"/>
      <x:c r="F319" s="70"/>
    </x:row>
    <x:row r="320" ht="15" hidden="0" customHeight="1">
      <x:c r="A320" s="70"/>
      <x:c r="B320" s="70"/>
      <x:c r="C320" s="70"/>
      <x:c r="D320" s="70"/>
      <x:c r="E320" s="70"/>
      <x:c r="F320" s="70"/>
    </x:row>
    <x:row r="321" ht="15" hidden="0" customHeight="1">
      <x:c r="A321" s="70"/>
      <x:c r="B321" s="70"/>
      <x:c r="C321" s="70"/>
      <x:c r="D321" s="70"/>
      <x:c r="E321" s="70"/>
      <x:c r="F321" s="70"/>
    </x:row>
    <x:row r="322" ht="15" hidden="0" customHeight="1">
      <x:c r="A322" s="70"/>
      <x:c r="B322" s="70"/>
      <x:c r="C322" s="70"/>
      <x:c r="D322" s="70"/>
      <x:c r="E322" s="70"/>
      <x:c r="F322" s="70"/>
    </x:row>
    <x:row r="323" ht="15" hidden="0" customHeight="1">
      <x:c r="A323" s="70"/>
      <x:c r="B323" s="70"/>
      <x:c r="C323" s="70"/>
      <x:c r="D323" s="70"/>
      <x:c r="E323" s="70"/>
      <x:c r="F323" s="70"/>
    </x:row>
    <x:row r="324" ht="15" hidden="0" customHeight="1">
      <x:c r="A324" s="70"/>
      <x:c r="B324" s="70"/>
      <x:c r="C324" s="70"/>
      <x:c r="D324" s="70"/>
      <x:c r="E324" s="70"/>
      <x:c r="F324" s="70"/>
    </x:row>
    <x:row r="325" ht="15" hidden="0" customHeight="1">
      <x:c r="A325" s="70"/>
      <x:c r="B325" s="70"/>
      <x:c r="C325" s="70"/>
      <x:c r="D325" s="70"/>
      <x:c r="E325" s="70"/>
      <x:c r="F325" s="70"/>
    </x:row>
    <x:row r="326" ht="15" hidden="0" customHeight="1">
      <x:c r="A326" s="70"/>
      <x:c r="B326" s="70"/>
      <x:c r="C326" s="70"/>
      <x:c r="D326" s="70"/>
      <x:c r="E326" s="70"/>
      <x:c r="F326" s="70"/>
    </x:row>
    <x:row r="327" ht="15" hidden="0" customHeight="1">
      <x:c r="A327" s="70"/>
      <x:c r="B327" s="70"/>
      <x:c r="C327" s="70"/>
      <x:c r="D327" s="70"/>
      <x:c r="E327" s="70"/>
      <x:c r="F327" s="70"/>
    </x:row>
    <x:row r="328" ht="15" hidden="0" customHeight="1">
      <x:c r="A328" s="70"/>
      <x:c r="B328" s="70"/>
      <x:c r="C328" s="70"/>
      <x:c r="D328" s="70"/>
      <x:c r="E328" s="70"/>
      <x:c r="F328" s="70"/>
    </x:row>
    <x:row r="329" ht="15" hidden="0" customHeight="1">
      <x:c r="A329" s="70"/>
      <x:c r="B329" s="70"/>
      <x:c r="C329" s="70"/>
      <x:c r="D329" s="70"/>
      <x:c r="E329" s="70"/>
      <x:c r="F329" s="70"/>
    </x:row>
    <x:row r="330" ht="15" hidden="0" customHeight="1">
      <x:c r="A330" s="70"/>
      <x:c r="B330" s="70"/>
      <x:c r="C330" s="70"/>
      <x:c r="D330" s="70"/>
      <x:c r="E330" s="70"/>
      <x:c r="F330" s="70"/>
    </x:row>
    <x:row r="331" ht="15" hidden="0" customHeight="1">
      <x:c r="A331" s="70"/>
      <x:c r="B331" s="70"/>
      <x:c r="C331" s="70"/>
      <x:c r="D331" s="70"/>
      <x:c r="E331" s="70"/>
      <x:c r="F331" s="70"/>
    </x:row>
    <x:row r="332" ht="15" hidden="0" customHeight="1">
      <x:c r="A332" s="70"/>
      <x:c r="B332" s="70"/>
      <x:c r="C332" s="70"/>
      <x:c r="D332" s="70"/>
      <x:c r="E332" s="70"/>
      <x:c r="F332" s="70"/>
    </x:row>
    <x:row r="333" ht="15" hidden="0" customHeight="1">
      <x:c r="A333" s="70"/>
      <x:c r="B333" s="70"/>
      <x:c r="C333" s="70"/>
      <x:c r="D333" s="70"/>
      <x:c r="E333" s="70"/>
      <x:c r="F333" s="70"/>
    </x:row>
    <x:row r="334" ht="15" hidden="0" customHeight="1">
      <x:c r="A334" s="70"/>
      <x:c r="B334" s="70"/>
      <x:c r="C334" s="70"/>
      <x:c r="D334" s="70"/>
      <x:c r="E334" s="70"/>
      <x:c r="F334" s="70"/>
    </x:row>
    <x:row r="335" ht="15" hidden="0" customHeight="1">
      <x:c r="A335" s="70"/>
      <x:c r="B335" s="70"/>
      <x:c r="C335" s="70"/>
      <x:c r="D335" s="70"/>
      <x:c r="E335" s="70"/>
      <x:c r="F335" s="70"/>
    </x:row>
    <x:row r="336" ht="15" hidden="0" customHeight="1">
      <x:c r="A336" s="70"/>
      <x:c r="B336" s="70"/>
      <x:c r="C336" s="70"/>
      <x:c r="D336" s="70"/>
      <x:c r="E336" s="70"/>
      <x:c r="F336" s="70"/>
    </x:row>
    <x:row r="337" ht="15" hidden="0" customHeight="1">
      <x:c r="A337" s="70"/>
      <x:c r="B337" s="70"/>
      <x:c r="C337" s="70"/>
      <x:c r="D337" s="70"/>
      <x:c r="E337" s="70"/>
      <x:c r="F337" s="70"/>
    </x:row>
    <x:row r="338" ht="15" hidden="0" customHeight="1">
      <x:c r="A338" s="70"/>
      <x:c r="B338" s="70"/>
      <x:c r="C338" s="70"/>
      <x:c r="D338" s="70"/>
      <x:c r="E338" s="70"/>
      <x:c r="F338" s="70"/>
    </x:row>
    <x:row r="339" ht="15" hidden="0" customHeight="1">
      <x:c r="A339" s="70"/>
      <x:c r="B339" s="70"/>
      <x:c r="C339" s="70"/>
      <x:c r="D339" s="70"/>
      <x:c r="E339" s="70"/>
      <x:c r="F339" s="70"/>
    </x:row>
    <x:row r="340" ht="15" hidden="0" customHeight="1">
      <x:c r="A340" s="70"/>
      <x:c r="B340" s="70"/>
      <x:c r="C340" s="70"/>
      <x:c r="D340" s="70"/>
      <x:c r="E340" s="70"/>
      <x:c r="F340" s="70"/>
    </x:row>
    <x:row r="341" ht="15" hidden="0" customHeight="1">
      <x:c r="A341" s="70"/>
      <x:c r="B341" s="70"/>
      <x:c r="C341" s="70"/>
      <x:c r="D341" s="70"/>
      <x:c r="E341" s="70"/>
      <x:c r="F341" s="70"/>
    </x:row>
    <x:row r="342" ht="15" hidden="0" customHeight="1">
      <x:c r="A342" s="70"/>
      <x:c r="B342" s="70"/>
      <x:c r="C342" s="70"/>
      <x:c r="D342" s="70"/>
      <x:c r="E342" s="70"/>
      <x:c r="F342" s="70"/>
    </x:row>
    <x:row r="343" ht="15" hidden="0" customHeight="1">
      <x:c r="A343" s="70"/>
      <x:c r="B343" s="70"/>
      <x:c r="C343" s="70"/>
      <x:c r="D343" s="70"/>
      <x:c r="E343" s="70"/>
      <x:c r="F343" s="70"/>
    </x:row>
    <x:row r="344" ht="15" hidden="0" customHeight="1">
      <x:c r="A344" s="70"/>
      <x:c r="B344" s="70"/>
      <x:c r="C344" s="70"/>
      <x:c r="D344" s="70"/>
      <x:c r="E344" s="70"/>
      <x:c r="F344" s="70"/>
    </x:row>
    <x:row r="345" ht="15" hidden="0" customHeight="1">
      <x:c r="A345" s="70"/>
      <x:c r="B345" s="70"/>
      <x:c r="C345" s="70"/>
      <x:c r="D345" s="70"/>
      <x:c r="E345" s="70"/>
      <x:c r="F345" s="70"/>
    </x:row>
    <x:row r="346" ht="15" hidden="0" customHeight="1">
      <x:c r="A346" s="70"/>
      <x:c r="B346" s="70"/>
      <x:c r="C346" s="70"/>
      <x:c r="D346" s="70"/>
      <x:c r="E346" s="70"/>
      <x:c r="F346" s="70"/>
    </x:row>
    <x:row r="347" ht="15" hidden="0" customHeight="1">
      <x:c r="A347" s="70"/>
      <x:c r="B347" s="70"/>
      <x:c r="C347" s="70"/>
      <x:c r="D347" s="70"/>
      <x:c r="E347" s="70"/>
      <x:c r="F347" s="70"/>
    </x:row>
    <x:row r="348" ht="15" hidden="0" customHeight="1">
      <x:c r="A348" s="70"/>
      <x:c r="B348" s="70"/>
      <x:c r="C348" s="70"/>
      <x:c r="D348" s="70"/>
      <x:c r="E348" s="70"/>
      <x:c r="F348" s="70"/>
    </x:row>
    <x:row r="349" ht="15" hidden="0" customHeight="1">
      <x:c r="A349" s="70"/>
      <x:c r="B349" s="70"/>
      <x:c r="C349" s="70"/>
      <x:c r="D349" s="70"/>
      <x:c r="E349" s="70"/>
      <x:c r="F349" s="70"/>
    </x:row>
    <x:row r="350" ht="15" hidden="0" customHeight="1">
      <x:c r="A350" s="70"/>
      <x:c r="B350" s="70"/>
      <x:c r="C350" s="70"/>
      <x:c r="D350" s="70"/>
      <x:c r="E350" s="70"/>
      <x:c r="F350" s="70"/>
    </x:row>
    <x:row r="351" ht="15" hidden="0" customHeight="1">
      <x:c r="A351" s="70"/>
      <x:c r="B351" s="70"/>
      <x:c r="C351" s="70"/>
      <x:c r="D351" s="70"/>
      <x:c r="E351" s="70"/>
      <x:c r="F351" s="70"/>
    </x:row>
    <x:row r="352" ht="15" hidden="0" customHeight="1">
      <x:c r="A352" s="70"/>
      <x:c r="B352" s="70"/>
      <x:c r="C352" s="70"/>
      <x:c r="D352" s="70"/>
      <x:c r="E352" s="70"/>
      <x:c r="F352" s="70"/>
    </x:row>
    <x:row r="353" ht="15" hidden="0" customHeight="1">
      <x:c r="A353" s="70"/>
      <x:c r="B353" s="70"/>
      <x:c r="C353" s="70"/>
      <x:c r="D353" s="70"/>
      <x:c r="E353" s="70"/>
      <x:c r="F353" s="70"/>
    </x:row>
    <x:row r="354" ht="15" hidden="0" customHeight="1">
      <x:c r="A354" s="70"/>
      <x:c r="B354" s="70"/>
      <x:c r="C354" s="70"/>
      <x:c r="D354" s="70"/>
      <x:c r="E354" s="70"/>
      <x:c r="F354" s="70"/>
    </x:row>
    <x:row r="355" ht="15" hidden="0" customHeight="1">
      <x:c r="A355" s="70"/>
      <x:c r="B355" s="70"/>
      <x:c r="C355" s="70"/>
      <x:c r="D355" s="70"/>
      <x:c r="E355" s="70"/>
      <x:c r="F355" s="70"/>
    </x:row>
    <x:row r="356" ht="15" hidden="0" customHeight="1">
      <x:c r="A356" s="70"/>
      <x:c r="B356" s="70"/>
      <x:c r="C356" s="70"/>
      <x:c r="D356" s="70"/>
      <x:c r="E356" s="70"/>
      <x:c r="F356" s="70"/>
    </x:row>
    <x:row r="357" ht="15" hidden="0" customHeight="1">
      <x:c r="A357" s="70"/>
      <x:c r="B357" s="70"/>
      <x:c r="C357" s="70"/>
      <x:c r="D357" s="70"/>
      <x:c r="E357" s="70"/>
      <x:c r="F357" s="70"/>
    </x:row>
    <x:row r="358" ht="15" hidden="0" customHeight="1">
      <x:c r="A358" s="70"/>
      <x:c r="B358" s="70"/>
      <x:c r="C358" s="70"/>
      <x:c r="D358" s="70"/>
      <x:c r="E358" s="70"/>
      <x:c r="F358" s="70"/>
    </x:row>
    <x:row r="359" ht="15" hidden="0" customHeight="1">
      <x:c r="A359" s="70"/>
      <x:c r="B359" s="70"/>
      <x:c r="C359" s="70"/>
      <x:c r="D359" s="70"/>
      <x:c r="E359" s="70"/>
      <x:c r="F359" s="70"/>
    </x:row>
    <x:row r="360" ht="15" hidden="0" customHeight="1">
      <x:c r="A360" s="70"/>
      <x:c r="B360" s="70"/>
      <x:c r="C360" s="70"/>
      <x:c r="D360" s="70"/>
      <x:c r="E360" s="70"/>
      <x:c r="F360" s="70"/>
    </x:row>
    <x:row r="361" ht="15" hidden="0" customHeight="1">
      <x:c r="A361" s="70"/>
      <x:c r="B361" s="70"/>
      <x:c r="C361" s="70"/>
      <x:c r="D361" s="70"/>
      <x:c r="E361" s="70"/>
      <x:c r="F361" s="70"/>
    </x:row>
    <x:row r="362" ht="15" hidden="0" customHeight="1">
      <x:c r="A362" s="70"/>
      <x:c r="B362" s="70"/>
      <x:c r="C362" s="70"/>
      <x:c r="D362" s="70"/>
      <x:c r="E362" s="70"/>
      <x:c r="F362" s="70"/>
    </x:row>
    <x:row r="363" ht="15" hidden="0" customHeight="1">
      <x:c r="A363" s="70"/>
      <x:c r="B363" s="70"/>
      <x:c r="C363" s="70"/>
      <x:c r="D363" s="70"/>
      <x:c r="E363" s="70"/>
      <x:c r="F363" s="70"/>
    </x:row>
    <x:row r="364" ht="15" hidden="0" customHeight="1">
      <x:c r="A364" s="70"/>
      <x:c r="B364" s="70"/>
      <x:c r="C364" s="70"/>
      <x:c r="D364" s="70"/>
      <x:c r="E364" s="70"/>
      <x:c r="F364" s="70"/>
    </x:row>
    <x:row r="365" ht="15" hidden="0" customHeight="1">
      <x:c r="A365" s="70"/>
      <x:c r="B365" s="70"/>
      <x:c r="C365" s="70"/>
      <x:c r="D365" s="70"/>
      <x:c r="E365" s="70"/>
      <x:c r="F365" s="70"/>
    </x:row>
    <x:row r="366" ht="15" hidden="0" customHeight="1">
      <x:c r="A366" s="70"/>
      <x:c r="B366" s="70"/>
      <x:c r="C366" s="70"/>
      <x:c r="D366" s="70"/>
      <x:c r="E366" s="70"/>
      <x:c r="F366" s="70"/>
    </x:row>
    <x:row r="367" ht="15" hidden="0" customHeight="1">
      <x:c r="A367" s="70"/>
      <x:c r="B367" s="70"/>
      <x:c r="C367" s="70"/>
      <x:c r="D367" s="70"/>
      <x:c r="E367" s="70"/>
      <x:c r="F367" s="70"/>
    </x:row>
    <x:row r="368" ht="15" hidden="0" customHeight="1">
      <x:c r="A368" s="70"/>
      <x:c r="B368" s="70"/>
      <x:c r="C368" s="70"/>
      <x:c r="D368" s="70"/>
      <x:c r="E368" s="70"/>
      <x:c r="F368" s="70"/>
    </x:row>
    <x:row r="369" ht="15" hidden="0" customHeight="1">
      <x:c r="A369" s="70"/>
      <x:c r="B369" s="70"/>
      <x:c r="C369" s="70"/>
      <x:c r="D369" s="70"/>
      <x:c r="E369" s="70"/>
      <x:c r="F369" s="70"/>
    </x:row>
    <x:row r="370" ht="15" hidden="0" customHeight="1">
      <x:c r="A370" s="70"/>
      <x:c r="B370" s="70"/>
      <x:c r="C370" s="70"/>
      <x:c r="D370" s="70"/>
      <x:c r="E370" s="70"/>
      <x:c r="F370" s="70"/>
    </x:row>
    <x:row r="371" ht="15" hidden="0" customHeight="1">
      <x:c r="A371" s="70"/>
      <x:c r="B371" s="70"/>
      <x:c r="C371" s="70"/>
      <x:c r="D371" s="70"/>
      <x:c r="E371" s="70"/>
      <x:c r="F371" s="70"/>
    </x:row>
    <x:row r="372" ht="15" hidden="0" customHeight="1">
      <x:c r="A372" s="70"/>
      <x:c r="B372" s="70"/>
      <x:c r="C372" s="70"/>
      <x:c r="D372" s="70"/>
      <x:c r="E372" s="70"/>
      <x:c r="F372" s="70"/>
    </x:row>
    <x:row r="373" ht="15" hidden="0" customHeight="1">
      <x:c r="A373" s="70"/>
      <x:c r="B373" s="70"/>
      <x:c r="C373" s="70"/>
      <x:c r="D373" s="70"/>
      <x:c r="E373" s="70"/>
      <x:c r="F373" s="70"/>
    </x:row>
    <x:row r="374" ht="15" hidden="0" customHeight="1">
      <x:c r="A374" s="70"/>
      <x:c r="B374" s="70"/>
      <x:c r="C374" s="70"/>
      <x:c r="D374" s="70"/>
      <x:c r="E374" s="70"/>
      <x:c r="F374" s="70"/>
    </x:row>
    <x:row r="375" ht="15" hidden="0" customHeight="1">
      <x:c r="A375" s="70"/>
      <x:c r="B375" s="70"/>
      <x:c r="C375" s="70"/>
      <x:c r="D375" s="70"/>
      <x:c r="E375" s="70"/>
      <x:c r="F375" s="70"/>
    </x:row>
    <x:row r="376" ht="15" hidden="0" customHeight="1">
      <x:c r="A376" s="70"/>
      <x:c r="B376" s="70"/>
      <x:c r="C376" s="70"/>
      <x:c r="D376" s="70"/>
      <x:c r="E376" s="70"/>
      <x:c r="F376" s="70"/>
    </x:row>
    <x:row r="377" ht="15" hidden="0" customHeight="1">
      <x:c r="A377" s="70"/>
      <x:c r="B377" s="70"/>
      <x:c r="C377" s="70"/>
      <x:c r="D377" s="70"/>
      <x:c r="E377" s="70"/>
      <x:c r="F377" s="70"/>
    </x:row>
    <x:row r="378" ht="15" hidden="0" customHeight="1">
      <x:c r="A378" s="70"/>
      <x:c r="B378" s="70"/>
      <x:c r="C378" s="70"/>
      <x:c r="D378" s="70"/>
      <x:c r="E378" s="70"/>
      <x:c r="F378" s="70"/>
    </x:row>
    <x:row r="379" ht="15" hidden="0" customHeight="1">
      <x:c r="A379" s="70"/>
      <x:c r="B379" s="70"/>
      <x:c r="C379" s="70"/>
      <x:c r="D379" s="70"/>
      <x:c r="E379" s="70"/>
      <x:c r="F379" s="70"/>
    </x:row>
    <x:row r="380" ht="15" hidden="0" customHeight="1">
      <x:c r="A380" s="70"/>
      <x:c r="B380" s="70"/>
      <x:c r="C380" s="70"/>
      <x:c r="D380" s="70"/>
      <x:c r="E380" s="70"/>
      <x:c r="F380" s="70"/>
    </x:row>
    <x:row r="381" ht="15" hidden="0" customHeight="1">
      <x:c r="A381" s="70"/>
      <x:c r="B381" s="70"/>
      <x:c r="C381" s="70"/>
      <x:c r="D381" s="70"/>
      <x:c r="E381" s="70"/>
      <x:c r="F381" s="70"/>
    </x:row>
    <x:row r="382" ht="15" hidden="0" customHeight="1">
      <x:c r="A382" s="70"/>
      <x:c r="B382" s="70"/>
      <x:c r="C382" s="70"/>
      <x:c r="D382" s="70"/>
      <x:c r="E382" s="70"/>
      <x:c r="F382" s="70"/>
    </x:row>
    <x:row r="383" ht="15" hidden="0" customHeight="1">
      <x:c r="A383" s="70"/>
      <x:c r="B383" s="70"/>
      <x:c r="C383" s="70"/>
      <x:c r="D383" s="70"/>
      <x:c r="E383" s="70"/>
      <x:c r="F383" s="70"/>
    </x:row>
    <x:row r="384" ht="15" hidden="0" customHeight="1">
      <x:c r="A384" s="70"/>
      <x:c r="B384" s="70"/>
      <x:c r="C384" s="70"/>
      <x:c r="D384" s="70"/>
      <x:c r="E384" s="70"/>
      <x:c r="F384" s="70"/>
    </x:row>
    <x:row r="385" ht="15" hidden="0" customHeight="1">
      <x:c r="A385" s="70"/>
      <x:c r="B385" s="70"/>
      <x:c r="C385" s="70"/>
      <x:c r="D385" s="70"/>
      <x:c r="E385" s="70"/>
      <x:c r="F385" s="70"/>
    </x:row>
    <x:row r="386" ht="15" hidden="0" customHeight="1">
      <x:c r="A386" s="70"/>
      <x:c r="B386" s="70"/>
      <x:c r="C386" s="70"/>
      <x:c r="D386" s="70"/>
      <x:c r="E386" s="70"/>
      <x:c r="F386" s="70"/>
    </x:row>
    <x:row r="387" ht="15" hidden="0" customHeight="1">
      <x:c r="A387" s="70"/>
      <x:c r="B387" s="70"/>
      <x:c r="C387" s="70"/>
      <x:c r="D387" s="70"/>
      <x:c r="E387" s="70"/>
      <x:c r="F387" s="70"/>
    </x:row>
    <x:row r="388" ht="15" hidden="0" customHeight="1">
      <x:c r="A388" s="70"/>
      <x:c r="B388" s="70"/>
      <x:c r="C388" s="70"/>
      <x:c r="D388" s="70"/>
      <x:c r="E388" s="70"/>
      <x:c r="F388" s="70"/>
    </x:row>
    <x:row r="389" ht="15" hidden="0" customHeight="1">
      <x:c r="A389" s="70"/>
      <x:c r="B389" s="70"/>
      <x:c r="C389" s="70"/>
      <x:c r="D389" s="70"/>
      <x:c r="E389" s="70"/>
      <x:c r="F389" s="70"/>
    </x:row>
    <x:row r="390" ht="15" hidden="0" customHeight="1">
      <x:c r="A390" s="70"/>
      <x:c r="B390" s="70"/>
      <x:c r="C390" s="70"/>
      <x:c r="D390" s="70"/>
      <x:c r="E390" s="70"/>
      <x:c r="F390" s="70"/>
    </x:row>
    <x:row r="391" ht="15" hidden="0" customHeight="1">
      <x:c r="A391" s="70"/>
      <x:c r="B391" s="70"/>
      <x:c r="C391" s="70"/>
      <x:c r="D391" s="70"/>
      <x:c r="E391" s="70"/>
      <x:c r="F391" s="70"/>
    </x:row>
    <x:row r="392" ht="15" hidden="0" customHeight="1">
      <x:c r="A392" s="70"/>
      <x:c r="B392" s="70"/>
      <x:c r="C392" s="70"/>
      <x:c r="D392" s="70"/>
      <x:c r="E392" s="70"/>
      <x:c r="F392" s="70"/>
    </x:row>
    <x:row r="393" ht="15" hidden="0" customHeight="1">
      <x:c r="A393" s="70"/>
      <x:c r="B393" s="70"/>
      <x:c r="C393" s="70"/>
      <x:c r="D393" s="70"/>
      <x:c r="E393" s="70"/>
      <x:c r="F393" s="70"/>
    </x:row>
    <x:row r="394" ht="15" hidden="0" customHeight="1">
      <x:c r="A394" s="70"/>
      <x:c r="B394" s="70"/>
      <x:c r="C394" s="70"/>
      <x:c r="D394" s="70"/>
      <x:c r="E394" s="70"/>
      <x:c r="F394" s="70"/>
    </x:row>
    <x:row r="395" ht="15" hidden="0" customHeight="1">
      <x:c r="A395" s="70"/>
      <x:c r="B395" s="70"/>
      <x:c r="C395" s="70"/>
      <x:c r="D395" s="70"/>
      <x:c r="E395" s="70"/>
      <x:c r="F395" s="70"/>
    </x:row>
    <x:row r="396" ht="15" hidden="0" customHeight="1">
      <x:c r="A396" s="70"/>
      <x:c r="B396" s="70"/>
      <x:c r="C396" s="70"/>
      <x:c r="D396" s="70"/>
      <x:c r="E396" s="70"/>
      <x:c r="F396" s="70"/>
    </x:row>
    <x:row r="397" ht="15" hidden="0" customHeight="1">
      <x:c r="A397" s="70"/>
      <x:c r="B397" s="70"/>
      <x:c r="C397" s="70"/>
      <x:c r="D397" s="70"/>
      <x:c r="E397" s="70"/>
      <x:c r="F397" s="70"/>
    </x:row>
    <x:row r="398" ht="15" hidden="0" customHeight="1">
      <x:c r="A398" s="70"/>
      <x:c r="B398" s="70"/>
      <x:c r="C398" s="70"/>
      <x:c r="D398" s="70"/>
      <x:c r="E398" s="70"/>
      <x:c r="F398" s="70"/>
    </x:row>
    <x:row r="399" ht="15" hidden="0" customHeight="1">
      <x:c r="A399" s="70"/>
      <x:c r="B399" s="70"/>
      <x:c r="C399" s="70"/>
      <x:c r="D399" s="70"/>
      <x:c r="E399" s="70"/>
      <x:c r="F399" s="70"/>
    </x:row>
    <x:row r="400" ht="15" hidden="0" customHeight="1">
      <x:c r="A400" s="70"/>
      <x:c r="B400" s="70"/>
      <x:c r="C400" s="70"/>
      <x:c r="D400" s="70"/>
      <x:c r="E400" s="70"/>
      <x:c r="F400" s="70"/>
    </x:row>
  </x:sheetData>
  <x:mergeCells>
    <x:mergeCell ref="A1:F1"/>
  </x:mergeCells>
  <x:pageMargins left="0.7" right="0.7" top="0.75" bottom="0.75" header="0.3" footer="0.3"/>
</x:worksheet>
</file>

<file path=xl/worksheets/sheet13.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24" hidden="0" customWidth="1"/>
    <x:col min="2" max="2" width="28" hidden="0" customWidth="1"/>
    <x:col min="3" max="3" width="45" hidden="0" customWidth="1"/>
    <x:col min="4" max="4" width="40" hidden="0" customWidth="1"/>
    <x:col min="5" max="5" width="45" hidden="0" customWidth="1"/>
    <x:col min="6" max="6" width="35" hidden="0" customWidth="1"/>
    <x:col min="7" max="7" width="35" hidden="0" customWidth="1"/>
    <x:col min="8" max="8" width="35" hidden="0" customWidth="1"/>
    <x:col min="9" max="9" width="35" hidden="0" customWidth="1"/>
    <x:col min="10" max="10" width="35" hidden="0" customWidth="1"/>
    <x:col min="11" max="11" width="35" hidden="0" customWidth="1"/>
    <x:col min="12" max="12" width="35" hidden="0" customWidth="1"/>
    <x:col min="13" max="13" width="35" hidden="0" customWidth="1"/>
    <x:col min="14" max="14" width="35" hidden="0" customWidth="1"/>
    <x:col min="15" max="15" width="60" hidden="0" customWidth="1"/>
  </x:cols>
  <x:sheetData>
    <x:row r="1" ht="30" customHeight="1">
      <x:c r="A1" s="75" t="str">
        <x:v>Yêu cầu và nghiệm thu</x:v>
      </x:c>
      <x:c r="B1" s="75"/>
      <x:c r="C1" s="75"/>
      <x:c r="D1" s="75"/>
      <x:c r="E1" s="75"/>
      <x:c r="F1" s="75"/>
    </x:row>
    <x:row r="4" ht="36" customHeight="1">
      <x:c r="A4" s="68" t="str">
        <x:v>trace_version</x:v>
      </x:c>
      <x:c r="B4" s="68" t="str">
        <x:v>requirement_id</x:v>
      </x:c>
      <x:c r="C4" s="68" t="str">
        <x:v>requirement_type</x:v>
      </x:c>
      <x:c r="D4" s="68" t="str">
        <x:v>requirement_statement</x:v>
      </x:c>
      <x:c r="E4" s="68" t="str">
        <x:v>product_ids</x:v>
      </x:c>
      <x:c r="F4" s="68" t="str">
        <x:v>screen_ids</x:v>
      </x:c>
      <x:c r="G4" s="68" t="str">
        <x:v>api_operation_ids</x:v>
      </x:c>
      <x:c r="H4" s="68" t="str">
        <x:v>non_api_reason</x:v>
      </x:c>
      <x:c r="I4" s="68" t="str">
        <x:v>task_ids</x:v>
      </x:c>
      <x:c r="J4" s="68" t="str">
        <x:v>test_ids</x:v>
      </x:c>
      <x:c r="K4" s="68" t="str">
        <x:v>custom_gate_ids</x:v>
      </x:c>
      <x:c r="L4" s="68" t="str">
        <x:v>evidence_path</x:v>
      </x:c>
      <x:c r="M4" s="68" t="str">
        <x:v>expected_result</x:v>
      </x:c>
      <x:c r="N4" s="68" t="str">
        <x:v>claim_status</x:v>
      </x:c>
      <x:c r="O4" s="68" t="str">
        <x:v>non_screen_reason</x:v>
      </x:c>
    </x:row>
    <x:row r="5" ht="60" hidden="0" customHeight="1">
      <x:c r="A5" s="56" t="str">
        <x:v>2026-10-20</x:v>
      </x:c>
      <x:c r="B5" s="56" t="str">
        <x:v>REQ-SCREEN-UI-01</x:v>
      </x:c>
      <x:c r="C5" s="56" t="str">
        <x:v>SCREEN</x:v>
      </x:c>
      <x:c r="D5" s="56" t="str">
        <x:v>UI-01 Trang chủ: responsive state and authorization parity</x:v>
      </x:c>
      <x:c r="E5" s="56" t="str">
        <x:v>LC-GUEST</x:v>
      </x:c>
      <x:c r="F5" s="56" t="str">
        <x:v>UI-01</x:v>
      </x:c>
      <x:c r="G5" s="56" t="str">
        <x:v>catalog</x:v>
      </x:c>
      <x:c r="H5" s="56"/>
      <x:c r="I5" s="56" t="str">
        <x:v>WEB-01
UPG-UX-001</x:v>
      </x:c>
      <x:c r="J5" s="56" t="str">
        <x:v>UIT-UI-01-PHONE
UIT-UI-01-DESKTOP
UIT-UI-01-A11Y
UIT-UI-01-OFFLINE
UIT-UI-01-NEGATIVE</x:v>
      </x:c>
      <x:c r="K5" s="56" t="str">
        <x:v>G03
G08
G12</x:v>
      </x:c>
      <x:c r="L5" s="56" t="str">
        <x:v>evidence/ui/UI-01/&lt;sha&gt;/receipt.json</x:v>
      </x:c>
      <x:c r="M5" s="56" t="str">
        <x:v>phone and desktop complete the same authorized task; all universal/category states are truthful</x:v>
      </x:c>
      <x:c r="N5" s="56" t="str">
        <x:v>NOT_CHECKED</x:v>
      </x:c>
      <x:c r="O5" s="56"/>
    </x:row>
    <x:row r="6" ht="60" hidden="0" customHeight="1">
      <x:c r="A6" s="56" t="str">
        <x:v>2026-10-20</x:v>
      </x:c>
      <x:c r="B6" s="56" t="str">
        <x:v>REQ-SCREEN-UI-02</x:v>
      </x:c>
      <x:c r="C6" s="56" t="str">
        <x:v>SCREEN</x:v>
      </x:c>
      <x:c r="D6" s="56" t="str">
        <x:v>UI-02 Giới thiệu HNH: responsive state and authorization parity</x:v>
      </x:c>
      <x:c r="E6" s="56" t="str">
        <x:v>LC-GUEST</x:v>
      </x:c>
      <x:c r="F6" s="56" t="str">
        <x:v>UI-02</x:v>
      </x:c>
      <x:c r="G6" s="56" t="str"/>
      <x:c r="H6" s="56" t="str">
        <x:v>static public content</x:v>
      </x:c>
      <x:c r="I6" s="56" t="str">
        <x:v>WEB-01
UPG-UX-001</x:v>
      </x:c>
      <x:c r="J6" s="56" t="str">
        <x:v>UIT-UI-02-PHONE
UIT-UI-02-DESKTOP
UIT-UI-02-A11Y
UIT-UI-02-OFFLINE
UIT-UI-02-NEGATIVE</x:v>
      </x:c>
      <x:c r="K6" s="56" t="str">
        <x:v>G03
G08
G12</x:v>
      </x:c>
      <x:c r="L6" s="56" t="str">
        <x:v>evidence/ui/UI-02/&lt;sha&gt;/receipt.json</x:v>
      </x:c>
      <x:c r="M6" s="56" t="str">
        <x:v>phone and desktop complete the same authorized task; all universal/category states are truthful</x:v>
      </x:c>
      <x:c r="N6" s="56" t="str">
        <x:v>NOT_CHECKED</x:v>
      </x:c>
      <x:c r="O6" s="56"/>
    </x:row>
    <x:row r="7" ht="60" hidden="0" customHeight="1">
      <x:c r="A7" s="56" t="str">
        <x:v>2026-10-20</x:v>
      </x:c>
      <x:c r="B7" s="56" t="str">
        <x:v>REQ-SCREEN-UI-03</x:v>
      </x:c>
      <x:c r="C7" s="56" t="str">
        <x:v>SCREEN</x:v>
      </x:c>
      <x:c r="D7" s="56" t="str">
        <x:v>UI-03 Danh mục9cấp: responsive state and authorization parity</x:v>
      </x:c>
      <x:c r="E7" s="56" t="str">
        <x:v>LC-GUEST</x:v>
      </x:c>
      <x:c r="F7" s="56" t="str">
        <x:v>UI-03</x:v>
      </x:c>
      <x:c r="G7" s="56" t="str">
        <x:v>catalog</x:v>
      </x:c>
      <x:c r="H7" s="56"/>
      <x:c r="I7" s="56" t="str">
        <x:v>GOV-09
UPG-UX-001</x:v>
      </x:c>
      <x:c r="J7" s="56" t="str">
        <x:v>UIT-UI-03-PHONE
UIT-UI-03-DESKTOP
UIT-UI-03-A11Y
UIT-UI-03-OFFLINE
UIT-UI-03-NEGATIVE</x:v>
      </x:c>
      <x:c r="K7" s="56" t="str">
        <x:v>G04
G06</x:v>
      </x:c>
      <x:c r="L7" s="56" t="str">
        <x:v>evidence/ui/UI-03/&lt;sha&gt;/receipt.json</x:v>
      </x:c>
      <x:c r="M7" s="56" t="str">
        <x:v>phone and desktop complete the same authorized task; all universal/category states are truthful</x:v>
      </x:c>
      <x:c r="N7" s="56" t="str">
        <x:v>NOT_CHECKED</x:v>
      </x:c>
      <x:c r="O7" s="56"/>
    </x:row>
    <x:row r="8" ht="60" hidden="0" customHeight="1">
      <x:c r="A8" s="56" t="str">
        <x:v>2026-10-20</x:v>
      </x:c>
      <x:c r="B8" s="56" t="str">
        <x:v>REQ-SCREEN-UI-04</x:v>
      </x:c>
      <x:c r="C8" s="56" t="str">
        <x:v>SCREEN</x:v>
      </x:c>
      <x:c r="D8" s="56" t="str">
        <x:v>UI-04 Thư viện phương pháp: responsive state and authorization parity</x:v>
      </x:c>
      <x:c r="E8" s="56" t="str">
        <x:v>LC-GUEST</x:v>
      </x:c>
      <x:c r="F8" s="56" t="str">
        <x:v>UI-04</x:v>
      </x:c>
      <x:c r="G8" s="56" t="str">
        <x:v>methods</x:v>
      </x:c>
      <x:c r="H8" s="56"/>
      <x:c r="I8" s="56" t="str">
        <x:v>METHOD-10
UPG-UX-001</x:v>
      </x:c>
      <x:c r="J8" s="56" t="str">
        <x:v>UIT-UI-04-PHONE
UIT-UI-04-DESKTOP
UIT-UI-04-A11Y
UIT-UI-04-OFFLINE
UIT-UI-04-NEGATIVE</x:v>
      </x:c>
      <x:c r="K8" s="56" t="str">
        <x:v>G06</x:v>
      </x:c>
      <x:c r="L8" s="56" t="str">
        <x:v>evidence/ui/UI-04/&lt;sha&gt;/receipt.json</x:v>
      </x:c>
      <x:c r="M8" s="56" t="str">
        <x:v>phone and desktop complete the same authorized task; all universal/category states are truthful</x:v>
      </x:c>
      <x:c r="N8" s="56" t="str">
        <x:v>NOT_CHECKED</x:v>
      </x:c>
      <x:c r="O8" s="56"/>
    </x:row>
    <x:row r="9" ht="60" hidden="0" customHeight="1">
      <x:c r="A9" s="56" t="str">
        <x:v>2026-10-20</x:v>
      </x:c>
      <x:c r="B9" s="56" t="str">
        <x:v>REQ-SCREEN-UI-05</x:v>
      </x:c>
      <x:c r="C9" s="56" t="str">
        <x:v>SCREEN</x:v>
      </x:c>
      <x:c r="D9" s="56" t="str">
        <x:v>UI-05 Tra bộ số miễn phí: responsive state and authorization parity</x:v>
      </x:c>
      <x:c r="E9" s="56" t="str">
        <x:v>LC-GUEST
LC-NUMBERS</x:v>
      </x:c>
      <x:c r="F9" s="56" t="str">
        <x:v>UI-05</x:v>
      </x:c>
      <x:c r="G9" s="56" t="str"/>
      <x:c r="H9" s="56" t="str">
        <x:v>local deterministic calculation</x:v>
      </x:c>
      <x:c r="I9" s="56" t="str">
        <x:v>WEB-02
UPG-UX-001</x:v>
      </x:c>
      <x:c r="J9" s="56" t="str">
        <x:v>UIT-UI-05-PHONE
UIT-UI-05-DESKTOP
UIT-UI-05-A11Y
UIT-UI-05-OFFLINE
UIT-UI-05-NEGATIVE</x:v>
      </x:c>
      <x:c r="K9" s="56" t="str">
        <x:v>G03
G08
G12</x:v>
      </x:c>
      <x:c r="L9" s="56" t="str">
        <x:v>evidence/ui/UI-05/&lt;sha&gt;/receipt.json</x:v>
      </x:c>
      <x:c r="M9" s="56" t="str">
        <x:v>phone and desktop complete the same authorized task; all universal/category states are truthful</x:v>
      </x:c>
      <x:c r="N9" s="56" t="str">
        <x:v>NOT_CHECKED</x:v>
      </x:c>
      <x:c r="O9" s="56"/>
    </x:row>
    <x:row r="10" ht="60" hidden="0" customHeight="1">
      <x:c r="A10" s="56" t="str">
        <x:v>2026-10-20</x:v>
      </x:c>
      <x:c r="B10" s="56" t="str">
        <x:v>REQ-SCREEN-UI-06</x:v>
      </x:c>
      <x:c r="C10" s="56" t="str">
        <x:v>SCREEN</x:v>
      </x:c>
      <x:c r="D10" s="56" t="str">
        <x:v>UI-06 Giá và phạm vi: responsive state and authorization parity</x:v>
      </x:c>
      <x:c r="E10" s="56" t="str">
        <x:v>LC-FREE</x:v>
      </x:c>
      <x:c r="F10" s="56" t="str">
        <x:v>UI-06</x:v>
      </x:c>
      <x:c r="G10" s="56" t="str">
        <x:v>catalog</x:v>
      </x:c>
      <x:c r="H10" s="56"/>
      <x:c r="I10" s="56" t="str">
        <x:v>COMMERCE-01
UPG-UX-001</x:v>
      </x:c>
      <x:c r="J10" s="56" t="str">
        <x:v>UIT-UI-06-PHONE
UIT-UI-06-DESKTOP
UIT-UI-06-A11Y
UIT-UI-06-OFFLINE
UIT-UI-06-NEGATIVE</x:v>
      </x:c>
      <x:c r="K10" s="56" t="str">
        <x:v>G09
G12</x:v>
      </x:c>
      <x:c r="L10" s="56" t="str">
        <x:v>evidence/ui/UI-06/&lt;sha&gt;/receipt.json</x:v>
      </x:c>
      <x:c r="M10" s="56" t="str">
        <x:v>phone and desktop complete the same authorized task; all universal/category states are truthful</x:v>
      </x:c>
      <x:c r="N10" s="56" t="str">
        <x:v>NOT_CHECKED</x:v>
      </x:c>
      <x:c r="O10" s="56"/>
    </x:row>
    <x:row r="11" ht="60" hidden="0" customHeight="1">
      <x:c r="A11" s="56" t="str">
        <x:v>2026-10-20</x:v>
      </x:c>
      <x:c r="B11" s="56" t="str">
        <x:v>REQ-SCREEN-UI-07</x:v>
      </x:c>
      <x:c r="C11" s="56" t="str">
        <x:v>SCREEN</x:v>
      </x:c>
      <x:c r="D11" s="56" t="str">
        <x:v>UI-07 Bắt đầu theo nhu cầu: responsive state and authorization parity</x:v>
      </x:c>
      <x:c r="E11" s="56" t="str">
        <x:v>LC-L1
LC-FREE</x:v>
      </x:c>
      <x:c r="F11" s="56" t="str">
        <x:v>UI-07</x:v>
      </x:c>
      <x:c r="G11" s="56" t="str">
        <x:v>createSubject</x:v>
      </x:c>
      <x:c r="H11" s="56"/>
      <x:c r="I11" s="56" t="str">
        <x:v>WEB-03
UPG-UX-001</x:v>
      </x:c>
      <x:c r="J11" s="56" t="str">
        <x:v>UIT-UI-07-PHONE
UIT-UI-07-DESKTOP
UIT-UI-07-A11Y
UIT-UI-07-OFFLINE
UIT-UI-07-NEGATIVE</x:v>
      </x:c>
      <x:c r="K11" s="56" t="str">
        <x:v>G03
G08
G12</x:v>
      </x:c>
      <x:c r="L11" s="56" t="str">
        <x:v>evidence/ui/UI-07/&lt;sha&gt;/receipt.json</x:v>
      </x:c>
      <x:c r="M11" s="56" t="str">
        <x:v>phone and desktop complete the same authorized task; all universal/category states are truthful</x:v>
      </x:c>
      <x:c r="N11" s="56" t="str">
        <x:v>NOT_CHECKED</x:v>
      </x:c>
      <x:c r="O11" s="56"/>
    </x:row>
    <x:row r="12" ht="60" hidden="0" customHeight="1">
      <x:c r="A12" s="56" t="str">
        <x:v>2026-10-20</x:v>
      </x:c>
      <x:c r="B12" s="56" t="str">
        <x:v>REQ-SCREEN-UI-08</x:v>
      </x:c>
      <x:c r="C12" s="56" t="str">
        <x:v>SCREEN</x:v>
      </x:c>
      <x:c r="D12" s="56" t="str">
        <x:v>UI-08 Đăng nhập: responsive state and authorization parity</x:v>
      </x:c>
      <x:c r="E12" s="56" t="str">
        <x:v>LC-FREE</x:v>
      </x:c>
      <x:c r="F12" s="56" t="str">
        <x:v>UI-08</x:v>
      </x:c>
      <x:c r="G12" s="56" t="str">
        <x:v>login</x:v>
      </x:c>
      <x:c r="H12" s="56"/>
      <x:c r="I12" s="56" t="str">
        <x:v>TRUST-01
UPG-UX-001</x:v>
      </x:c>
      <x:c r="J12" s="56" t="str">
        <x:v>UIT-UI-08-PHONE
UIT-UI-08-DESKTOP
UIT-UI-08-A11Y
UIT-UI-08-OFFLINE
UIT-UI-08-NEGATIVE</x:v>
      </x:c>
      <x:c r="K12" s="56" t="str">
        <x:v>G02
G03
G05</x:v>
      </x:c>
      <x:c r="L12" s="56" t="str">
        <x:v>evidence/ui/UI-08/&lt;sha&gt;/receipt.json</x:v>
      </x:c>
      <x:c r="M12" s="56" t="str">
        <x:v>phone and desktop complete the same authorized task; all universal/category states are truthful</x:v>
      </x:c>
      <x:c r="N12" s="56" t="str">
        <x:v>NOT_CHECKED</x:v>
      </x:c>
      <x:c r="O12" s="56"/>
    </x:row>
    <x:row r="13" ht="60" hidden="0" customHeight="1">
      <x:c r="A13" s="56" t="str">
        <x:v>2026-10-20</x:v>
      </x:c>
      <x:c r="B13" s="56" t="str">
        <x:v>REQ-SCREEN-UI-09</x:v>
      </x:c>
      <x:c r="C13" s="56" t="str">
        <x:v>SCREEN</x:v>
      </x:c>
      <x:c r="D13" s="56" t="str">
        <x:v>UI-09 Tổng quan: responsive state and authorization parity</x:v>
      </x:c>
      <x:c r="E13" s="56" t="str">
        <x:v>LC-L1
LC-FREE</x:v>
      </x:c>
      <x:c r="F13" s="56" t="str">
        <x:v>UI-09</x:v>
      </x:c>
      <x:c r="G13" s="56" t="str">
        <x:v>overview</x:v>
      </x:c>
      <x:c r="H13" s="56"/>
      <x:c r="I13" s="56" t="str">
        <x:v>WEB-06
UPG-UX-001</x:v>
      </x:c>
      <x:c r="J13" s="56" t="str">
        <x:v>UIT-UI-09-PHONE
UIT-UI-09-DESKTOP
UIT-UI-09-A11Y
UIT-UI-09-OFFLINE
UIT-UI-09-NEGATIVE</x:v>
      </x:c>
      <x:c r="K13" s="56" t="str">
        <x:v>G03
G08
G12</x:v>
      </x:c>
      <x:c r="L13" s="56" t="str">
        <x:v>evidence/ui/UI-09/&lt;sha&gt;/receipt.json</x:v>
      </x:c>
      <x:c r="M13" s="56" t="str">
        <x:v>phone and desktop complete the same authorized task; all universal/category states are truthful</x:v>
      </x:c>
      <x:c r="N13" s="56" t="str">
        <x:v>NOT_CHECKED</x:v>
      </x:c>
      <x:c r="O13" s="56"/>
    </x:row>
    <x:row r="14" ht="60" hidden="0" customHeight="1">
      <x:c r="A14" s="56" t="str">
        <x:v>2026-10-20</x:v>
      </x:c>
      <x:c r="B14" s="56" t="str">
        <x:v>REQ-SCREEN-UI-10</x:v>
      </x:c>
      <x:c r="C14" s="56" t="str">
        <x:v>SCREEN</x:v>
      </x:c>
      <x:c r="D14" s="56" t="str">
        <x:v>UI-10 Hồ sơ: responsive state and authorization parity</x:v>
      </x:c>
      <x:c r="E14" s="56" t="str">
        <x:v>LC-FREE</x:v>
      </x:c>
      <x:c r="F14" s="56" t="str">
        <x:v>UI-10</x:v>
      </x:c>
      <x:c r="G14" s="56" t="str">
        <x:v>subjects</x:v>
      </x:c>
      <x:c r="H14" s="56"/>
      <x:c r="I14" s="56" t="str">
        <x:v>API-02
UPG-UX-001</x:v>
      </x:c>
      <x:c r="J14" s="56" t="str">
        <x:v>UIT-UI-10-PHONE
UIT-UI-10-DESKTOP
UIT-UI-10-A11Y
UIT-UI-10-OFFLINE
UIT-UI-10-NEGATIVE</x:v>
      </x:c>
      <x:c r="K14" s="56" t="str">
        <x:v>G03
G06
G09</x:v>
      </x:c>
      <x:c r="L14" s="56" t="str">
        <x:v>evidence/ui/UI-10/&lt;sha&gt;/receipt.json</x:v>
      </x:c>
      <x:c r="M14" s="56" t="str">
        <x:v>phone and desktop complete the same authorized task; all universal/category states are truthful</x:v>
      </x:c>
      <x:c r="N14" s="56" t="str">
        <x:v>NOT_CHECKED</x:v>
      </x:c>
      <x:c r="O14" s="56"/>
    </x:row>
    <x:row r="15" ht="60" hidden="0" customHeight="1">
      <x:c r="A15" s="56" t="str">
        <x:v>2026-10-20</x:v>
      </x:c>
      <x:c r="B15" s="56" t="str">
        <x:v>REQ-SCREEN-UI-11</x:v>
      </x:c>
      <x:c r="C15" s="56" t="str">
        <x:v>SCREEN</x:v>
      </x:c>
      <x:c r="D15" s="56" t="str">
        <x:v>UI-11 Chỉnh hồ sơ: responsive state and authorization parity</x:v>
      </x:c>
      <x:c r="E15" s="56" t="str">
        <x:v>LC-L1
LC-FREE</x:v>
      </x:c>
      <x:c r="F15" s="56" t="str">
        <x:v>UI-11</x:v>
      </x:c>
      <x:c r="G15" s="56" t="str">
        <x:v>newProfileVersion</x:v>
      </x:c>
      <x:c r="H15" s="56"/>
      <x:c r="I15" s="56" t="str">
        <x:v>DATA-01
UPG-UX-001</x:v>
      </x:c>
      <x:c r="J15" s="56" t="str">
        <x:v>UIT-UI-11-PHONE
UIT-UI-11-DESKTOP
UIT-UI-11-A11Y
UIT-UI-11-OFFLINE
UIT-UI-11-NEGATIVE</x:v>
      </x:c>
      <x:c r="K15" s="56" t="str">
        <x:v>G05
G07
G10</x:v>
      </x:c>
      <x:c r="L15" s="56" t="str">
        <x:v>evidence/ui/UI-11/&lt;sha&gt;/receipt.json</x:v>
      </x:c>
      <x:c r="M15" s="56" t="str">
        <x:v>phone and desktop complete the same authorized task; all universal/category states are truthful</x:v>
      </x:c>
      <x:c r="N15" s="56" t="str">
        <x:v>NOT_CHECKED</x:v>
      </x:c>
      <x:c r="O15" s="56"/>
    </x:row>
    <x:row r="16" ht="60" hidden="0" customHeight="1">
      <x:c r="A16" s="56" t="str">
        <x:v>2026-10-20</x:v>
      </x:c>
      <x:c r="B16" s="56" t="str">
        <x:v>REQ-SCREEN-UI-12</x:v>
      </x:c>
      <x:c r="C16" s="56" t="str">
        <x:v>SCREEN</x:v>
      </x:c>
      <x:c r="D16" s="56" t="str">
        <x:v>UI-12 Giả thuyết dữ liệu: responsive state and authorization parity</x:v>
      </x:c>
      <x:c r="E16" s="56" t="str">
        <x:v>LC-FREE</x:v>
      </x:c>
      <x:c r="F16" s="56" t="str">
        <x:v>UI-12</x:v>
      </x:c>
      <x:c r="G16" s="56" t="str">
        <x:v>newHypothesis</x:v>
      </x:c>
      <x:c r="H16" s="56"/>
      <x:c r="I16" s="56" t="str">
        <x:v>DATA-01
UPG-UX-001</x:v>
      </x:c>
      <x:c r="J16" s="56" t="str">
        <x:v>UIT-UI-12-PHONE
UIT-UI-12-DESKTOP
UIT-UI-12-A11Y
UIT-UI-12-OFFLINE
UIT-UI-12-NEGATIVE</x:v>
      </x:c>
      <x:c r="K16" s="56" t="str">
        <x:v>G05
G07
G10</x:v>
      </x:c>
      <x:c r="L16" s="56" t="str">
        <x:v>evidence/ui/UI-12/&lt;sha&gt;/receipt.json</x:v>
      </x:c>
      <x:c r="M16" s="56" t="str">
        <x:v>phone and desktop complete the same authorized task; all universal/category states are truthful</x:v>
      </x:c>
      <x:c r="N16" s="56" t="str">
        <x:v>NOT_CHECKED</x:v>
      </x:c>
      <x:c r="O16" s="56"/>
    </x:row>
    <x:row r="17" ht="60" hidden="0" customHeight="1">
      <x:c r="A17" s="56" t="str">
        <x:v>2026-10-20</x:v>
      </x:c>
      <x:c r="B17" s="56" t="str">
        <x:v>REQ-SCREEN-UI-13</x:v>
      </x:c>
      <x:c r="C17" s="56" t="str">
        <x:v>SCREEN</x:v>
      </x:c>
      <x:c r="D17" s="56" t="str">
        <x:v>UI-13 Sự đồng ý: responsive state and authorization parity</x:v>
      </x:c>
      <x:c r="E17" s="56" t="str">
        <x:v>LC-L5
LC-L7
LC-L9
LC-FREE
LC-FAMILY</x:v>
      </x:c>
      <x:c r="F17" s="56" t="str">
        <x:v>UI-13</x:v>
      </x:c>
      <x:c r="G17" s="56" t="str">
        <x:v>consentDecision</x:v>
      </x:c>
      <x:c r="H17" s="56"/>
      <x:c r="I17" s="56" t="str">
        <x:v>TRUST-08
UPG-UX-001</x:v>
      </x:c>
      <x:c r="J17" s="56" t="str">
        <x:v>UIT-UI-13-PHONE
UIT-UI-13-DESKTOP
UIT-UI-13-A11Y
UIT-UI-13-OFFLINE
UIT-UI-13-NEGATIVE</x:v>
      </x:c>
      <x:c r="K17" s="56" t="str">
        <x:v>G02
G03
G05</x:v>
      </x:c>
      <x:c r="L17" s="56" t="str">
        <x:v>evidence/ui/UI-13/&lt;sha&gt;/receipt.json</x:v>
      </x:c>
      <x:c r="M17" s="56" t="str">
        <x:v>phone and desktop complete the same authorized task; all universal/category states are truthful</x:v>
      </x:c>
      <x:c r="N17" s="56" t="str">
        <x:v>NOT_CHECKED</x:v>
      </x:c>
      <x:c r="O17" s="56"/>
    </x:row>
    <x:row r="18" ht="60" hidden="0" customHeight="1">
      <x:c r="A18" s="56" t="str">
        <x:v>2026-10-20</x:v>
      </x:c>
      <x:c r="B18" s="56" t="str">
        <x:v>REQ-SCREEN-UI-14</x:v>
      </x:c>
      <x:c r="C18" s="56" t="str">
        <x:v>SCREEN</x:v>
      </x:c>
      <x:c r="D18" s="56" t="str">
        <x:v>UI-14 Chia sẻ: responsive state and authorization parity</x:v>
      </x:c>
      <x:c r="E18" s="56" t="str">
        <x:v>LC-L5
LC-L9
LC-EXPERT
LC-FAMILY</x:v>
      </x:c>
      <x:c r="F18" s="56" t="str">
        <x:v>UI-14</x:v>
      </x:c>
      <x:c r="G18" s="56" t="str">
        <x:v>grant</x:v>
      </x:c>
      <x:c r="H18" s="56"/>
      <x:c r="I18" s="56" t="str">
        <x:v>TRUST-07
UPG-UX-001</x:v>
      </x:c>
      <x:c r="J18" s="56" t="str">
        <x:v>UIT-UI-14-PHONE
UIT-UI-14-DESKTOP
UIT-UI-14-A11Y
UIT-UI-14-OFFLINE
UIT-UI-14-NEGATIVE</x:v>
      </x:c>
      <x:c r="K18" s="56" t="str">
        <x:v>G02
G03
G05</x:v>
      </x:c>
      <x:c r="L18" s="56" t="str">
        <x:v>evidence/ui/UI-14/&lt;sha&gt;/receipt.json</x:v>
      </x:c>
      <x:c r="M18" s="56" t="str">
        <x:v>phone and desktop complete the same authorized task; all universal/category states are truthful</x:v>
      </x:c>
      <x:c r="N18" s="56" t="str">
        <x:v>NOT_CHECKED</x:v>
      </x:c>
      <x:c r="O18" s="56"/>
    </x:row>
    <x:row r="19" ht="60" hidden="0" customHeight="1">
      <x:c r="A19" s="56" t="str">
        <x:v>2026-10-20</x:v>
      </x:c>
      <x:c r="B19" s="56" t="str">
        <x:v>REQ-SCREEN-UI-15</x:v>
      </x:c>
      <x:c r="C19" s="56" t="str">
        <x:v>SCREEN</x:v>
      </x:c>
      <x:c r="D19" s="56" t="str">
        <x:v>UI-15 Nhật ký: responsive state and authorization parity</x:v>
      </x:c>
      <x:c r="E19" s="56" t="str">
        <x:v>LC-L3
LC-L7
LC-FREE
LC-COMPANION</x:v>
      </x:c>
      <x:c r="F19" s="56" t="str">
        <x:v>UI-15</x:v>
      </x:c>
      <x:c r="G19" s="56" t="str">
        <x:v>observation</x:v>
      </x:c>
      <x:c r="H19" s="56"/>
      <x:c r="I19" s="56" t="str">
        <x:v>WEB-07
UPG-UX-001</x:v>
      </x:c>
      <x:c r="J19" s="56" t="str">
        <x:v>UIT-UI-15-PHONE
UIT-UI-15-DESKTOP
UIT-UI-15-A11Y
UIT-UI-15-OFFLINE
UIT-UI-15-NEGATIVE</x:v>
      </x:c>
      <x:c r="K19" s="56" t="str">
        <x:v>G03
G08
G12</x:v>
      </x:c>
      <x:c r="L19" s="56" t="str">
        <x:v>evidence/ui/UI-15/&lt;sha&gt;/receipt.json</x:v>
      </x:c>
      <x:c r="M19" s="56" t="str">
        <x:v>phone and desktop complete the same authorized task; all universal/category states are truthful</x:v>
      </x:c>
      <x:c r="N19" s="56" t="str">
        <x:v>NOT_CHECKED</x:v>
      </x:c>
      <x:c r="O19" s="56"/>
    </x:row>
    <x:row r="20" ht="60" hidden="0" customHeight="1">
      <x:c r="A20" s="56" t="str">
        <x:v>2026-10-20</x:v>
      </x:c>
      <x:c r="B20" s="56" t="str">
        <x:v>REQ-SCREEN-UI-16</x:v>
      </x:c>
      <x:c r="C20" s="56" t="str">
        <x:v>SCREEN</x:v>
      </x:c>
      <x:c r="D20" s="56" t="str">
        <x:v>UI-16 Đồng nhịp: responsive state and authorization parity</x:v>
      </x:c>
      <x:c r="E20" s="56" t="str">
        <x:v>LC-FREE</x:v>
      </x:c>
      <x:c r="F20" s="56" t="str">
        <x:v>UI-16</x:v>
      </x:c>
      <x:c r="G20" s="56" t="str">
        <x:v>observations</x:v>
      </x:c>
      <x:c r="H20" s="56"/>
      <x:c r="I20" s="56" t="str">
        <x:v>EXPAND-04
UPG-UX-001</x:v>
      </x:c>
      <x:c r="J20" s="56" t="str">
        <x:v>UIT-UI-16-PHONE
UIT-UI-16-DESKTOP
UIT-UI-16-A11Y
UIT-UI-16-OFFLINE
UIT-UI-16-NEGATIVE</x:v>
      </x:c>
      <x:c r="K20" s="56" t="str">
        <x:v>G03
G04
G05
G08</x:v>
      </x:c>
      <x:c r="L20" s="56" t="str">
        <x:v>evidence/ui/UI-16/&lt;sha&gt;/receipt.json</x:v>
      </x:c>
      <x:c r="M20" s="56" t="str">
        <x:v>phone and desktop complete the same authorized task; all universal/category states are truthful</x:v>
      </x:c>
      <x:c r="N20" s="56" t="str">
        <x:v>NOT_CHECKED</x:v>
      </x:c>
      <x:c r="O20" s="56"/>
    </x:row>
    <x:row r="21" ht="60" hidden="0" customHeight="1">
      <x:c r="A21" s="56" t="str">
        <x:v>2026-10-20</x:v>
      </x:c>
      <x:c r="B21" s="56" t="str">
        <x:v>REQ-SCREEN-UI-17</x:v>
      </x:c>
      <x:c r="C21" s="56" t="str">
        <x:v>SCREEN</x:v>
      </x:c>
      <x:c r="D21" s="56" t="str">
        <x:v>UI-17 Mục tiêu: responsive state and authorization parity</x:v>
      </x:c>
      <x:c r="E21" s="56" t="str">
        <x:v>LC-L4
LC-L8
LC-FREE
LC-COMPANION</x:v>
      </x:c>
      <x:c r="F21" s="56" t="str">
        <x:v>UI-17</x:v>
      </x:c>
      <x:c r="G21" s="56" t="str">
        <x:v>createPlan</x:v>
      </x:c>
      <x:c r="H21" s="56"/>
      <x:c r="I21" s="56" t="str">
        <x:v>API-05
UPG-UX-001</x:v>
      </x:c>
      <x:c r="J21" s="56" t="str">
        <x:v>UIT-UI-17-PHONE
UIT-UI-17-DESKTOP
UIT-UI-17-A11Y
UIT-UI-17-OFFLINE
UIT-UI-17-NEGATIVE</x:v>
      </x:c>
      <x:c r="K21" s="56" t="str">
        <x:v>G03
G06
G09</x:v>
      </x:c>
      <x:c r="L21" s="56" t="str">
        <x:v>evidence/ui/UI-17/&lt;sha&gt;/receipt.json</x:v>
      </x:c>
      <x:c r="M21" s="56" t="str">
        <x:v>phone and desktop complete the same authorized task; all universal/category states are truthful</x:v>
      </x:c>
      <x:c r="N21" s="56" t="str">
        <x:v>NOT_CHECKED</x:v>
      </x:c>
      <x:c r="O21" s="56"/>
    </x:row>
    <x:row r="22" ht="60" hidden="0" customHeight="1">
      <x:c r="A22" s="56" t="str">
        <x:v>2026-10-20</x:v>
      </x:c>
      <x:c r="B22" s="56" t="str">
        <x:v>REQ-SCREEN-UI-18</x:v>
      </x:c>
      <x:c r="C22" s="56" t="str">
        <x:v>SCREEN</x:v>
      </x:c>
      <x:c r="D22" s="56" t="str">
        <x:v>UI-18 Check-in: responsive state and authorization parity</x:v>
      </x:c>
      <x:c r="E22" s="56" t="str">
        <x:v>LC-L3
LC-L8
LC-COMPANION</x:v>
      </x:c>
      <x:c r="F22" s="56" t="str">
        <x:v>UI-18</x:v>
      </x:c>
      <x:c r="G22" s="56" t="str">
        <x:v>checkin</x:v>
      </x:c>
      <x:c r="H22" s="56"/>
      <x:c r="I22" s="56" t="str">
        <x:v>API-05
UPG-UX-001</x:v>
      </x:c>
      <x:c r="J22" s="56" t="str">
        <x:v>UIT-UI-18-PHONE
UIT-UI-18-DESKTOP
UIT-UI-18-A11Y
UIT-UI-18-OFFLINE
UIT-UI-18-NEGATIVE</x:v>
      </x:c>
      <x:c r="K22" s="56" t="str">
        <x:v>G03
G06
G09</x:v>
      </x:c>
      <x:c r="L22" s="56" t="str">
        <x:v>evidence/ui/UI-18/&lt;sha&gt;/receipt.json</x:v>
      </x:c>
      <x:c r="M22" s="56" t="str">
        <x:v>phone and desktop complete the same authorized task; all universal/category states are truthful</x:v>
      </x:c>
      <x:c r="N22" s="56" t="str">
        <x:v>NOT_CHECKED</x:v>
      </x:c>
      <x:c r="O22" s="56"/>
    </x:row>
    <x:row r="23" ht="60" hidden="0" customHeight="1">
      <x:c r="A23" s="56" t="str">
        <x:v>2026-10-20</x:v>
      </x:c>
      <x:c r="B23" s="56" t="str">
        <x:v>REQ-SCREEN-UI-19</x:v>
      </x:c>
      <x:c r="C23" s="56" t="str">
        <x:v>SCREEN</x:v>
      </x:c>
      <x:c r="D23" s="56" t="str">
        <x:v>UI-19 Dòng thời gian: responsive state and authorization parity</x:v>
      </x:c>
      <x:c r="E23" s="56" t="str">
        <x:v>LC-L4
LC-L6
LC-L9</x:v>
      </x:c>
      <x:c r="F23" s="56" t="str">
        <x:v>UI-19</x:v>
      </x:c>
      <x:c r="G23" s="56" t="str">
        <x:v>timeline</x:v>
      </x:c>
      <x:c r="H23" s="56"/>
      <x:c r="I23" s="56" t="str">
        <x:v>METHOD-08
UPG-UX-001</x:v>
      </x:c>
      <x:c r="J23" s="56" t="str">
        <x:v>UIT-UI-19-PHONE
UIT-UI-19-DESKTOP
UIT-UI-19-A11Y
UIT-UI-19-OFFLINE
UIT-UI-19-NEGATIVE</x:v>
      </x:c>
      <x:c r="K23" s="56" t="str">
        <x:v>G06</x:v>
      </x:c>
      <x:c r="L23" s="56" t="str">
        <x:v>evidence/ui/UI-19/&lt;sha&gt;/receipt.json</x:v>
      </x:c>
      <x:c r="M23" s="56" t="str">
        <x:v>phone and desktop complete the same authorized task; all universal/category states are truthful</x:v>
      </x:c>
      <x:c r="N23" s="56" t="str">
        <x:v>NOT_CHECKED</x:v>
      </x:c>
      <x:c r="O23" s="56"/>
    </x:row>
    <x:row r="24" ht="60" hidden="0" customHeight="1">
      <x:c r="A24" s="56" t="str">
        <x:v>2026-10-20</x:v>
      </x:c>
      <x:c r="B24" s="56" t="str">
        <x:v>REQ-SCREEN-UI-20</x:v>
      </x:c>
      <x:c r="C24" s="56" t="str">
        <x:v>SCREEN</x:v>
      </x:c>
      <x:c r="D24" s="56" t="str">
        <x:v>UI-20 Khảo sát: responsive state and authorization parity</x:v>
      </x:c>
      <x:c r="E24" s="56" t="str">
        <x:v>LC-L2
LC-L3</x:v>
      </x:c>
      <x:c r="F24" s="56" t="str">
        <x:v>UI-20</x:v>
      </x:c>
      <x:c r="G24" s="56" t="str">
        <x:v>questionnaireResponse</x:v>
      </x:c>
      <x:c r="H24" s="56"/>
      <x:c r="I24" s="56" t="str">
        <x:v>EXPAND-01
UPG-UX-001</x:v>
      </x:c>
      <x:c r="J24" s="56" t="str">
        <x:v>UIT-UI-20-PHONE
UIT-UI-20-DESKTOP
UIT-UI-20-A11Y
UIT-UI-20-OFFLINE
UIT-UI-20-NEGATIVE</x:v>
      </x:c>
      <x:c r="K24" s="56" t="str">
        <x:v>G03
G04
G05
G08</x:v>
      </x:c>
      <x:c r="L24" s="56" t="str">
        <x:v>evidence/ui/UI-20/&lt;sha&gt;/receipt.json</x:v>
      </x:c>
      <x:c r="M24" s="56" t="str">
        <x:v>phone and desktop complete the same authorized task; all universal/category states are truthful</x:v>
      </x:c>
      <x:c r="N24" s="56" t="str">
        <x:v>NOT_CHECKED</x:v>
      </x:c>
      <x:c r="O24" s="56"/>
    </x:row>
    <x:row r="25" ht="96" hidden="0" customHeight="1">
      <x:c r="A25" s="56" t="str">
        <x:v>2026-10-20</x:v>
      </x:c>
      <x:c r="B25" s="56" t="str">
        <x:v>REQ-SCREEN-UI-21</x:v>
      </x:c>
      <x:c r="C25" s="56" t="str">
        <x:v>SCREEN</x:v>
      </x:c>
      <x:c r="D25" s="56" t="str">
        <x:v>UI-21 Tính phân tích: responsive state and authorization parity</x:v>
      </x:c>
      <x:c r="E25" s="56" t="str">
        <x:v>LC-L1
LC-L2
LC-L3
LC-L4
LC-L6
LC-L7
LC-L8
LC-L9</x:v>
      </x:c>
      <x:c r="F25" s="56" t="str">
        <x:v>UI-21</x:v>
      </x:c>
      <x:c r="G25" s="56" t="str">
        <x:v>analyze</x:v>
      </x:c>
      <x:c r="H25" s="56"/>
      <x:c r="I25" s="56" t="str">
        <x:v>API-03
UPG-UX-001</x:v>
      </x:c>
      <x:c r="J25" s="56" t="str">
        <x:v>UIT-UI-21-PHONE
UIT-UI-21-DESKTOP
UIT-UI-21-A11Y
UIT-UI-21-OFFLINE
UIT-UI-21-NEGATIVE</x:v>
      </x:c>
      <x:c r="K25" s="56" t="str">
        <x:v>G03
G06
G09</x:v>
      </x:c>
      <x:c r="L25" s="56" t="str">
        <x:v>evidence/ui/UI-21/&lt;sha&gt;/receipt.json</x:v>
      </x:c>
      <x:c r="M25" s="56" t="str">
        <x:v>phone and desktop complete the same authorized task; all universal/category states are truthful</x:v>
      </x:c>
      <x:c r="N25" s="56" t="str">
        <x:v>NOT_CHECKED</x:v>
      </x:c>
      <x:c r="O25" s="56"/>
    </x:row>
    <x:row r="26" ht="60" hidden="0" customHeight="1">
      <x:c r="A26" s="56" t="str">
        <x:v>2026-10-20</x:v>
      </x:c>
      <x:c r="B26" s="56" t="str">
        <x:v>REQ-SCREEN-UI-22</x:v>
      </x:c>
      <x:c r="C26" s="56" t="str">
        <x:v>SCREEN</x:v>
      </x:c>
      <x:c r="D26" s="56" t="str">
        <x:v>UI-22 Tiến độ: responsive state and authorization parity</x:v>
      </x:c>
      <x:c r="E26" s="56" t="str">
        <x:v>LC-L1</x:v>
      </x:c>
      <x:c r="F26" s="56" t="str">
        <x:v>UI-22</x:v>
      </x:c>
      <x:c r="G26" s="56" t="str">
        <x:v>analysisStatus</x:v>
      </x:c>
      <x:c r="H26" s="56"/>
      <x:c r="I26" s="56" t="str">
        <x:v>API-03
UPG-UX-001</x:v>
      </x:c>
      <x:c r="J26" s="56" t="str">
        <x:v>UIT-UI-22-PHONE
UIT-UI-22-DESKTOP
UIT-UI-22-A11Y
UIT-UI-22-OFFLINE
UIT-UI-22-NEGATIVE</x:v>
      </x:c>
      <x:c r="K26" s="56" t="str">
        <x:v>G03
G06
G09</x:v>
      </x:c>
      <x:c r="L26" s="56" t="str">
        <x:v>evidence/ui/UI-22/&lt;sha&gt;/receipt.json</x:v>
      </x:c>
      <x:c r="M26" s="56" t="str">
        <x:v>phone and desktop complete the same authorized task; all universal/category states are truthful</x:v>
      </x:c>
      <x:c r="N26" s="56" t="str">
        <x:v>NOT_CHECKED</x:v>
      </x:c>
      <x:c r="O26" s="56"/>
    </x:row>
    <x:row r="27" ht="60" hidden="0" customHeight="1">
      <x:c r="A27" s="56" t="str">
        <x:v>2026-10-20</x:v>
      </x:c>
      <x:c r="B27" s="56" t="str">
        <x:v>REQ-SCREEN-UI-23</x:v>
      </x:c>
      <x:c r="C27" s="56" t="str">
        <x:v>SCREEN</x:v>
      </x:c>
      <x:c r="D27" s="56" t="str">
        <x:v>UI-23 Thư viện báo cáo: responsive state and authorization parity</x:v>
      </x:c>
      <x:c r="E27" s="56" t="str">
        <x:v>LC-L1
LC-L2
LC-L9
LC-PUBLISH</x:v>
      </x:c>
      <x:c r="F27" s="56" t="str">
        <x:v>UI-23</x:v>
      </x:c>
      <x:c r="G27" s="56" t="str">
        <x:v>reports</x:v>
      </x:c>
      <x:c r="H27" s="56"/>
      <x:c r="I27" s="56" t="str">
        <x:v>WEB-08
UPG-UX-001</x:v>
      </x:c>
      <x:c r="J27" s="56" t="str">
        <x:v>UIT-UI-23-PHONE
UIT-UI-23-DESKTOP
UIT-UI-23-A11Y
UIT-UI-23-OFFLINE
UIT-UI-23-NEGATIVE</x:v>
      </x:c>
      <x:c r="K27" s="56" t="str">
        <x:v>G03
G08
G12</x:v>
      </x:c>
      <x:c r="L27" s="56" t="str">
        <x:v>evidence/ui/UI-23/&lt;sha&gt;/receipt.json</x:v>
      </x:c>
      <x:c r="M27" s="56" t="str">
        <x:v>phone and desktop complete the same authorized task; all universal/category states are truthful</x:v>
      </x:c>
      <x:c r="N27" s="56" t="str">
        <x:v>NOT_CHECKED</x:v>
      </x:c>
      <x:c r="O27" s="56"/>
    </x:row>
    <x:row r="28" ht="120" hidden="0" customHeight="1">
      <x:c r="A28" s="56" t="str">
        <x:v>2026-10-20</x:v>
      </x:c>
      <x:c r="B28" s="56" t="str">
        <x:v>REQ-SCREEN-UI-24</x:v>
      </x:c>
      <x:c r="C28" s="56" t="str">
        <x:v>SCREEN</x:v>
      </x:c>
      <x:c r="D28" s="56" t="str">
        <x:v>UI-24 Đọc báo cáo: responsive state and authorization parity</x:v>
      </x:c>
      <x:c r="E28" s="56" t="str">
        <x:v>LC-L1
LC-L2
LC-L3
LC-L4
LC-L5
LC-L6
LC-L7
LC-L8
LC-L9
LC-PUBLISH</x:v>
      </x:c>
      <x:c r="F28" s="56" t="str">
        <x:v>UI-24</x:v>
      </x:c>
      <x:c r="G28" s="56" t="str">
        <x:v>report</x:v>
      </x:c>
      <x:c r="H28" s="56"/>
      <x:c r="I28" s="56" t="str">
        <x:v>REPORT-05
UPG-UX-001</x:v>
      </x:c>
      <x:c r="J28" s="56" t="str">
        <x:v>UIT-UI-24-PHONE
UIT-UI-24-DESKTOP
UIT-UI-24-A11Y
UIT-UI-24-OFFLINE
UIT-UI-24-NEGATIVE</x:v>
      </x:c>
      <x:c r="K28" s="56" t="str">
        <x:v>G08</x:v>
      </x:c>
      <x:c r="L28" s="56" t="str">
        <x:v>evidence/ui/UI-24/&lt;sha&gt;/receipt.json</x:v>
      </x:c>
      <x:c r="M28" s="56" t="str">
        <x:v>phone and desktop complete the same authorized task; all universal/category states are truthful</x:v>
      </x:c>
      <x:c r="N28" s="56" t="str">
        <x:v>NOT_CHECKED</x:v>
      </x:c>
      <x:c r="O28" s="56"/>
    </x:row>
    <x:row r="29" ht="60" hidden="0" customHeight="1">
      <x:c r="A29" s="56" t="str">
        <x:v>2026-10-20</x:v>
      </x:c>
      <x:c r="B29" s="56" t="str">
        <x:v>REQ-SCREEN-UI-25</x:v>
      </x:c>
      <x:c r="C29" s="56" t="str">
        <x:v>SCREEN</x:v>
      </x:c>
      <x:c r="D29" s="56" t="str">
        <x:v>UI-25 So sánh revisions: responsive state and authorization parity</x:v>
      </x:c>
      <x:c r="E29" s="56" t="str">
        <x:v>LC-L2
LC-L5
LC-L6
LC-L9
LC-PUBLISH</x:v>
      </x:c>
      <x:c r="F29" s="56" t="str">
        <x:v>UI-25</x:v>
      </x:c>
      <x:c r="G29" s="56" t="str">
        <x:v>reportRevisions</x:v>
      </x:c>
      <x:c r="H29" s="56"/>
      <x:c r="I29" s="56" t="str">
        <x:v>REPORT-09
UPG-UX-001</x:v>
      </x:c>
      <x:c r="J29" s="56" t="str">
        <x:v>UIT-UI-25-PHONE
UIT-UI-25-DESKTOP
UIT-UI-25-A11Y
UIT-UI-25-OFFLINE
UIT-UI-25-NEGATIVE</x:v>
      </x:c>
      <x:c r="K29" s="56" t="str">
        <x:v>G08</x:v>
      </x:c>
      <x:c r="L29" s="56" t="str">
        <x:v>evidence/ui/UI-25/&lt;sha&gt;/receipt.json</x:v>
      </x:c>
      <x:c r="M29" s="56" t="str">
        <x:v>phone and desktop complete the same authorized task; all universal/category states are truthful</x:v>
      </x:c>
      <x:c r="N29" s="56" t="str">
        <x:v>NOT_CHECKED</x:v>
      </x:c>
      <x:c r="O29" s="56"/>
    </x:row>
    <x:row r="30" ht="60" hidden="0" customHeight="1">
      <x:c r="A30" s="56" t="str">
        <x:v>2026-10-20</x:v>
      </x:c>
      <x:c r="B30" s="56" t="str">
        <x:v>REQ-SCREEN-UI-26</x:v>
      </x:c>
      <x:c r="C30" s="56" t="str">
        <x:v>SCREEN</x:v>
      </x:c>
      <x:c r="D30" s="56" t="str">
        <x:v>UI-26 Xuất/tải: responsive state and authorization parity</x:v>
      </x:c>
      <x:c r="E30" s="56" t="str">
        <x:v>LC-L1
LC-L9
LC-PUBLISH</x:v>
      </x:c>
      <x:c r="F30" s="56" t="str">
        <x:v>UI-26</x:v>
      </x:c>
      <x:c r="G30" s="56" t="str">
        <x:v>exportReport</x:v>
      </x:c>
      <x:c r="H30" s="56"/>
      <x:c r="I30" s="56" t="str">
        <x:v>REPORT-06
UPG-UX-001</x:v>
      </x:c>
      <x:c r="J30" s="56" t="str">
        <x:v>UIT-UI-26-PHONE
UIT-UI-26-DESKTOP
UIT-UI-26-A11Y
UIT-UI-26-OFFLINE
UIT-UI-26-NEGATIVE</x:v>
      </x:c>
      <x:c r="K30" s="56" t="str">
        <x:v>G08</x:v>
      </x:c>
      <x:c r="L30" s="56" t="str">
        <x:v>evidence/ui/UI-26/&lt;sha&gt;/receipt.json</x:v>
      </x:c>
      <x:c r="M30" s="56" t="str">
        <x:v>phone and desktop complete the same authorized task; all universal/category states are truthful</x:v>
      </x:c>
      <x:c r="N30" s="56" t="str">
        <x:v>NOT_CHECKED</x:v>
      </x:c>
      <x:c r="O30" s="56"/>
    </x:row>
    <x:row r="31" ht="60" hidden="0" customHeight="1">
      <x:c r="A31" s="56" t="str">
        <x:v>2026-10-20</x:v>
      </x:c>
      <x:c r="B31" s="56" t="str">
        <x:v>REQ-SCREEN-UI-27</x:v>
      </x:c>
      <x:c r="C31" s="56" t="str">
        <x:v>SCREEN</x:v>
      </x:c>
      <x:c r="D31" s="56" t="str">
        <x:v>UI-27 Đơn hàng: responsive state and authorization parity</x:v>
      </x:c>
      <x:c r="E31" s="56" t="str">
        <x:v>LC-FREE</x:v>
      </x:c>
      <x:c r="F31" s="56" t="str">
        <x:v>UI-27</x:v>
      </x:c>
      <x:c r="G31" s="56" t="str">
        <x:v>order</x:v>
      </x:c>
      <x:c r="H31" s="56"/>
      <x:c r="I31" s="56" t="str">
        <x:v>COMMERCE-01
UPG-UX-001</x:v>
      </x:c>
      <x:c r="J31" s="56" t="str">
        <x:v>UIT-UI-27-PHONE
UIT-UI-27-DESKTOP
UIT-UI-27-A11Y
UIT-UI-27-OFFLINE
UIT-UI-27-NEGATIVE</x:v>
      </x:c>
      <x:c r="K31" s="56" t="str">
        <x:v>G09
G12</x:v>
      </x:c>
      <x:c r="L31" s="56" t="str">
        <x:v>evidence/ui/UI-27/&lt;sha&gt;/receipt.json</x:v>
      </x:c>
      <x:c r="M31" s="56" t="str">
        <x:v>phone and desktop complete the same authorized task; all universal/category states are truthful</x:v>
      </x:c>
      <x:c r="N31" s="56" t="str">
        <x:v>NOT_CHECKED</x:v>
      </x:c>
      <x:c r="O31" s="56"/>
    </x:row>
    <x:row r="32" ht="60" hidden="0" customHeight="1">
      <x:c r="A32" s="56" t="str">
        <x:v>2026-10-20</x:v>
      </x:c>
      <x:c r="B32" s="56" t="str">
        <x:v>REQ-SCREEN-UI-28</x:v>
      </x:c>
      <x:c r="C32" s="56" t="str">
        <x:v>SCREEN</x:v>
      </x:c>
      <x:c r="D32" s="56" t="str">
        <x:v>UI-28 Thanh toán: responsive state and authorization parity</x:v>
      </x:c>
      <x:c r="E32" s="56" t="str">
        <x:v>LC-FREE</x:v>
      </x:c>
      <x:c r="F32" s="56" t="str">
        <x:v>UI-28</x:v>
      </x:c>
      <x:c r="G32" s="56" t="str">
        <x:v>checkout</x:v>
      </x:c>
      <x:c r="H32" s="56"/>
      <x:c r="I32" s="56" t="str">
        <x:v>COMMERCE-03
UPG-UX-001</x:v>
      </x:c>
      <x:c r="J32" s="56" t="str">
        <x:v>UIT-UI-28-PHONE
UIT-UI-28-DESKTOP
UIT-UI-28-A11Y
UIT-UI-28-OFFLINE
UIT-UI-28-NEGATIVE</x:v>
      </x:c>
      <x:c r="K32" s="56" t="str">
        <x:v>G09
G12</x:v>
      </x:c>
      <x:c r="L32" s="56" t="str">
        <x:v>evidence/ui/UI-28/&lt;sha&gt;/receipt.json</x:v>
      </x:c>
      <x:c r="M32" s="56" t="str">
        <x:v>phone and desktop complete the same authorized task; all universal/category states are truthful</x:v>
      </x:c>
      <x:c r="N32" s="56" t="str">
        <x:v>NOT_CHECKED</x:v>
      </x:c>
      <x:c r="O32" s="56"/>
    </x:row>
    <x:row r="33" ht="60" hidden="0" customHeight="1">
      <x:c r="A33" s="56" t="str">
        <x:v>2026-10-20</x:v>
      </x:c>
      <x:c r="B33" s="56" t="str">
        <x:v>REQ-SCREEN-UI-29</x:v>
      </x:c>
      <x:c r="C33" s="56" t="str">
        <x:v>SCREEN</x:v>
      </x:c>
      <x:c r="D33" s="56" t="str">
        <x:v>UI-29 Quyền dịch vụ: responsive state and authorization parity</x:v>
      </x:c>
      <x:c r="E33" s="56" t="str">
        <x:v>LC-FREE</x:v>
      </x:c>
      <x:c r="F33" s="56" t="str">
        <x:v>UI-29</x:v>
      </x:c>
      <x:c r="G33" s="56" t="str">
        <x:v>entitlements</x:v>
      </x:c>
      <x:c r="H33" s="56"/>
      <x:c r="I33" s="56" t="str">
        <x:v>COMMERCE-05
UPG-UX-001</x:v>
      </x:c>
      <x:c r="J33" s="56" t="str">
        <x:v>UIT-UI-29-PHONE
UIT-UI-29-DESKTOP
UIT-UI-29-A11Y
UIT-UI-29-OFFLINE
UIT-UI-29-NEGATIVE</x:v>
      </x:c>
      <x:c r="K33" s="56" t="str">
        <x:v>G09
G12</x:v>
      </x:c>
      <x:c r="L33" s="56" t="str">
        <x:v>evidence/ui/UI-29/&lt;sha&gt;/receipt.json</x:v>
      </x:c>
      <x:c r="M33" s="56" t="str">
        <x:v>phone and desktop complete the same authorized task; all universal/category states are truthful</x:v>
      </x:c>
      <x:c r="N33" s="56" t="str">
        <x:v>NOT_CHECKED</x:v>
      </x:c>
      <x:c r="O33" s="56"/>
    </x:row>
    <x:row r="34" ht="60" hidden="0" customHeight="1">
      <x:c r="A34" s="56" t="str">
        <x:v>2026-10-20</x:v>
      </x:c>
      <x:c r="B34" s="56" t="str">
        <x:v>REQ-SCREEN-UI-30</x:v>
      </x:c>
      <x:c r="C34" s="56" t="str">
        <x:v>SCREEN</x:v>
      </x:c>
      <x:c r="D34" s="56" t="str">
        <x:v>UI-30 Hỗ trợ: responsive state and authorization parity</x:v>
      </x:c>
      <x:c r="E34" s="56" t="str">
        <x:v>LC-EXPERT</x:v>
      </x:c>
      <x:c r="F34" s="56" t="str">
        <x:v>UI-30</x:v>
      </x:c>
      <x:c r="G34" s="56" t="str">
        <x:v>ticket</x:v>
      </x:c>
      <x:c r="H34" s="56"/>
      <x:c r="I34" s="56" t="str">
        <x:v>COMMERCE-08
UPG-UX-001</x:v>
      </x:c>
      <x:c r="J34" s="56" t="str">
        <x:v>UIT-UI-30-PHONE
UIT-UI-30-DESKTOP
UIT-UI-30-A11Y
UIT-UI-30-OFFLINE
UIT-UI-30-NEGATIVE</x:v>
      </x:c>
      <x:c r="K34" s="56" t="str">
        <x:v>G09
G12</x:v>
      </x:c>
      <x:c r="L34" s="56" t="str">
        <x:v>evidence/ui/UI-30/&lt;sha&gt;/receipt.json</x:v>
      </x:c>
      <x:c r="M34" s="56" t="str">
        <x:v>phone and desktop complete the same authorized task; all universal/category states are truthful</x:v>
      </x:c>
      <x:c r="N34" s="56" t="str">
        <x:v>NOT_CHECKED</x:v>
      </x:c>
      <x:c r="O34" s="56"/>
    </x:row>
    <x:row r="35" ht="60" hidden="0" customHeight="1">
      <x:c r="A35" s="56" t="str">
        <x:v>2026-10-20</x:v>
      </x:c>
      <x:c r="B35" s="56" t="str">
        <x:v>REQ-SCREEN-UI-31</x:v>
      </x:c>
      <x:c r="C35" s="56" t="str">
        <x:v>SCREEN</x:v>
      </x:c>
      <x:c r="D35" s="56" t="str">
        <x:v>UI-31 Xuất dữ liệu: responsive state and authorization parity</x:v>
      </x:c>
      <x:c r="E35" s="56" t="str">
        <x:v>LC-FREE</x:v>
      </x:c>
      <x:c r="F35" s="56" t="str">
        <x:v>UI-31</x:v>
      </x:c>
      <x:c r="G35" s="56" t="str">
        <x:v>privacyExport</x:v>
      </x:c>
      <x:c r="H35" s="56"/>
      <x:c r="I35" s="56" t="str">
        <x:v>DATA-09
UPG-UX-001</x:v>
      </x:c>
      <x:c r="J35" s="56" t="str">
        <x:v>UIT-UI-31-PHONE
UIT-UI-31-DESKTOP
UIT-UI-31-A11Y
UIT-UI-31-OFFLINE
UIT-UI-31-NEGATIVE</x:v>
      </x:c>
      <x:c r="K35" s="56" t="str">
        <x:v>G05
G07
G10</x:v>
      </x:c>
      <x:c r="L35" s="56" t="str">
        <x:v>evidence/ui/UI-31/&lt;sha&gt;/receipt.json</x:v>
      </x:c>
      <x:c r="M35" s="56" t="str">
        <x:v>phone and desktop complete the same authorized task; all universal/category states are truthful</x:v>
      </x:c>
      <x:c r="N35" s="56" t="str">
        <x:v>NOT_CHECKED</x:v>
      </x:c>
      <x:c r="O35" s="56"/>
    </x:row>
    <x:row r="36" ht="60" hidden="0" customHeight="1">
      <x:c r="A36" s="56" t="str">
        <x:v>2026-10-20</x:v>
      </x:c>
      <x:c r="B36" s="56" t="str">
        <x:v>REQ-SCREEN-UI-32</x:v>
      </x:c>
      <x:c r="C36" s="56" t="str">
        <x:v>SCREEN</x:v>
      </x:c>
      <x:c r="D36" s="56" t="str">
        <x:v>UI-32 Yêu cầu xóa: responsive state and authorization parity</x:v>
      </x:c>
      <x:c r="E36" s="56" t="str">
        <x:v>LC-FREE</x:v>
      </x:c>
      <x:c r="F36" s="56" t="str">
        <x:v>UI-32</x:v>
      </x:c>
      <x:c r="G36" s="56" t="str">
        <x:v>deleteSubject</x:v>
      </x:c>
      <x:c r="H36" s="56"/>
      <x:c r="I36" s="56" t="str">
        <x:v>DATA-07
UPG-UX-001</x:v>
      </x:c>
      <x:c r="J36" s="56" t="str">
        <x:v>UIT-UI-32-PHONE
UIT-UI-32-DESKTOP
UIT-UI-32-A11Y
UIT-UI-32-OFFLINE
UIT-UI-32-NEGATIVE</x:v>
      </x:c>
      <x:c r="K36" s="56" t="str">
        <x:v>G05
G07
G10</x:v>
      </x:c>
      <x:c r="L36" s="56" t="str">
        <x:v>evidence/ui/UI-32/&lt;sha&gt;/receipt.json</x:v>
      </x:c>
      <x:c r="M36" s="56" t="str">
        <x:v>phone and desktop complete the same authorized task; all universal/category states are truthful</x:v>
      </x:c>
      <x:c r="N36" s="56" t="str">
        <x:v>NOT_CHECKED</x:v>
      </x:c>
      <x:c r="O36" s="56"/>
    </x:row>
    <x:row r="37" ht="60" hidden="0" customHeight="1">
      <x:c r="A37" s="56" t="str">
        <x:v>2026-10-20</x:v>
      </x:c>
      <x:c r="B37" s="56" t="str">
        <x:v>REQ-SCREEN-UI-33</x:v>
      </x:c>
      <x:c r="C37" s="56" t="str">
        <x:v>SCREEN</x:v>
      </x:c>
      <x:c r="D37" s="56" t="str">
        <x:v>UI-33 Trung tâm tự động: responsive state and authorization parity</x:v>
      </x:c>
      <x:c r="E37" s="56" t="str">
        <x:v>LC-COMPANION</x:v>
      </x:c>
      <x:c r="F37" s="56" t="str">
        <x:v>UI-33</x:v>
      </x:c>
      <x:c r="G37" s="56" t="str">
        <x:v>newAutomation</x:v>
      </x:c>
      <x:c r="H37" s="56"/>
      <x:c r="I37" s="56" t="str">
        <x:v>AI-10
UPG-UX-001</x:v>
      </x:c>
      <x:c r="J37" s="56" t="str">
        <x:v>UIT-UI-33-PHONE
UIT-UI-33-DESKTOP
UIT-UI-33-A11Y
UIT-UI-33-OFFLINE
UIT-UI-33-NEGATIVE</x:v>
      </x:c>
      <x:c r="K37" s="56" t="str">
        <x:v>G06
G08</x:v>
      </x:c>
      <x:c r="L37" s="56" t="str">
        <x:v>evidence/ui/UI-33/&lt;sha&gt;/receipt.json</x:v>
      </x:c>
      <x:c r="M37" s="56" t="str">
        <x:v>phone and desktop complete the same authorized task; all universal/category states are truthful</x:v>
      </x:c>
      <x:c r="N37" s="56" t="str">
        <x:v>NOT_CHECKED</x:v>
      </x:c>
      <x:c r="O37" s="56"/>
    </x:row>
    <x:row r="38" ht="60" hidden="0" customHeight="1">
      <x:c r="A38" s="56" t="str">
        <x:v>2026-10-20</x:v>
      </x:c>
      <x:c r="B38" s="56" t="str">
        <x:v>REQ-SCREEN-UI-34</x:v>
      </x:c>
      <x:c r="C38" s="56" t="str">
        <x:v>SCREEN</x:v>
      </x:c>
      <x:c r="D38" s="56" t="str">
        <x:v>UI-34 Gia đình: responsive state and authorization parity</x:v>
      </x:c>
      <x:c r="E38" s="56" t="str">
        <x:v>LC-FAMILY</x:v>
      </x:c>
      <x:c r="F38" s="56" t="str">
        <x:v>UI-34</x:v>
      </x:c>
      <x:c r="G38" s="56" t="str">
        <x:v>subjects</x:v>
      </x:c>
      <x:c r="H38" s="56"/>
      <x:c r="I38" s="56" t="str">
        <x:v>EXPAND-05
UPG-UX-001</x:v>
      </x:c>
      <x:c r="J38" s="56" t="str">
        <x:v>UIT-UI-34-PHONE
UIT-UI-34-DESKTOP
UIT-UI-34-A11Y
UIT-UI-34-OFFLINE
UIT-UI-34-NEGATIVE</x:v>
      </x:c>
      <x:c r="K38" s="56" t="str">
        <x:v>G03
G04
G05
G08</x:v>
      </x:c>
      <x:c r="L38" s="56" t="str">
        <x:v>evidence/ui/UI-34/&lt;sha&gt;/receipt.json</x:v>
      </x:c>
      <x:c r="M38" s="56" t="str">
        <x:v>phone and desktop complete the same authorized task; all universal/category states are truthful</x:v>
      </x:c>
      <x:c r="N38" s="56" t="str">
        <x:v>NOT_CHECKED</x:v>
      </x:c>
      <x:c r="O38" s="56"/>
    </x:row>
    <x:row r="39" ht="60" hidden="0" customHeight="1">
      <x:c r="A39" s="56" t="str">
        <x:v>2026-10-20</x:v>
      </x:c>
      <x:c r="B39" s="56" t="str">
        <x:v>REQ-SCREEN-UI-35</x:v>
      </x:c>
      <x:c r="C39" s="56" t="str">
        <x:v>SCREEN</x:v>
      </x:c>
      <x:c r="D39" s="56" t="str">
        <x:v>UI-35 Case chuyên gia: responsive state and authorization parity</x:v>
      </x:c>
      <x:c r="E39" s="56" t="str">
        <x:v>LC-EXPERT
LC-PRACTICE
LC-ACADEMY-PRO</x:v>
      </x:c>
      <x:c r="F39" s="56" t="str">
        <x:v>UI-35</x:v>
      </x:c>
      <x:c r="G39" s="56" t="str">
        <x:v>cases</x:v>
      </x:c>
      <x:c r="H39" s="56"/>
      <x:c r="I39" s="56" t="str">
        <x:v>ACADEMY-05
UPG-UX-001</x:v>
      </x:c>
      <x:c r="J39" s="56" t="str">
        <x:v>UIT-UI-35-PHONE
UIT-UI-35-DESKTOP
UIT-UI-35-A11Y
UIT-UI-35-OFFLINE
UIT-UI-35-NEGATIVE</x:v>
      </x:c>
      <x:c r="K39" s="56" t="str">
        <x:v>G04
G06
G08
G12</x:v>
      </x:c>
      <x:c r="L39" s="56" t="str">
        <x:v>evidence/ui/UI-35/&lt;sha&gt;/receipt.json</x:v>
      </x:c>
      <x:c r="M39" s="56" t="str">
        <x:v>phone and desktop complete the same authorized task; all universal/category states are truthful</x:v>
      </x:c>
      <x:c r="N39" s="56" t="str">
        <x:v>NOT_CHECKED</x:v>
      </x:c>
      <x:c r="O39" s="56"/>
    </x:row>
    <x:row r="40" ht="60" hidden="0" customHeight="1">
      <x:c r="A40" s="56" t="str">
        <x:v>2026-10-20</x:v>
      </x:c>
      <x:c r="B40" s="56" t="str">
        <x:v>REQ-SCREEN-UI-36</x:v>
      </x:c>
      <x:c r="C40" s="56" t="str">
        <x:v>SCREEN</x:v>
      </x:c>
      <x:c r="D40" s="56" t="str">
        <x:v>UI-36 Duyệt báo cáo: responsive state and authorization parity</x:v>
      </x:c>
      <x:c r="E40" s="56" t="str">
        <x:v>LC-EXPERT
LC-PRACTICE
LC-ACADEMY-PRO</x:v>
      </x:c>
      <x:c r="F40" s="56" t="str">
        <x:v>UI-36</x:v>
      </x:c>
      <x:c r="G40" s="56" t="str">
        <x:v>review</x:v>
      </x:c>
      <x:c r="H40" s="56"/>
      <x:c r="I40" s="56" t="str">
        <x:v>REPORT-10
UPG-UX-001</x:v>
      </x:c>
      <x:c r="J40" s="56" t="str">
        <x:v>UIT-UI-36-PHONE
UIT-UI-36-DESKTOP
UIT-UI-36-A11Y
UIT-UI-36-OFFLINE
UIT-UI-36-NEGATIVE</x:v>
      </x:c>
      <x:c r="K40" s="56" t="str">
        <x:v>G08</x:v>
      </x:c>
      <x:c r="L40" s="56" t="str">
        <x:v>evidence/ui/UI-36/&lt;sha&gt;/receipt.json</x:v>
      </x:c>
      <x:c r="M40" s="56" t="str">
        <x:v>phone and desktop complete the same authorized task; all universal/category states are truthful</x:v>
      </x:c>
      <x:c r="N40" s="56" t="str">
        <x:v>NOT_CHECKED</x:v>
      </x:c>
      <x:c r="O40" s="56"/>
    </x:row>
    <x:row r="41" ht="60" hidden="0" customHeight="1">
      <x:c r="A41" s="56" t="str">
        <x:v>2026-10-20</x:v>
      </x:c>
      <x:c r="B41" s="56" t="str">
        <x:v>REQ-SCREEN-UI-37</x:v>
      </x:c>
      <x:c r="C41" s="56" t="str">
        <x:v>SCREEN</x:v>
      </x:c>
      <x:c r="D41" s="56" t="str">
        <x:v>UI-37 Academy: responsive state and authorization parity</x:v>
      </x:c>
      <x:c r="E41" s="56" t="str">
        <x:v>LC-ACADEMY-FOUNDATION
LC-ACADEMY-PRO
LC-ACADEMY-TRAINER</x:v>
      </x:c>
      <x:c r="F41" s="56" t="str">
        <x:v>UI-37</x:v>
      </x:c>
      <x:c r="G41" s="56" t="str">
        <x:v>courses</x:v>
      </x:c>
      <x:c r="H41" s="56"/>
      <x:c r="I41" s="56" t="str">
        <x:v>ACADEMY-01
UPG-UX-001</x:v>
      </x:c>
      <x:c r="J41" s="56" t="str">
        <x:v>UIT-UI-37-PHONE
UIT-UI-37-DESKTOP
UIT-UI-37-A11Y
UIT-UI-37-OFFLINE
UIT-UI-37-NEGATIVE</x:v>
      </x:c>
      <x:c r="K41" s="56" t="str">
        <x:v>G04
G06
G08
G12</x:v>
      </x:c>
      <x:c r="L41" s="56" t="str">
        <x:v>evidence/ui/UI-37/&lt;sha&gt;/receipt.json</x:v>
      </x:c>
      <x:c r="M41" s="56" t="str">
        <x:v>phone and desktop complete the same authorized task; all universal/category states are truthful</x:v>
      </x:c>
      <x:c r="N41" s="56" t="str">
        <x:v>NOT_CHECKED</x:v>
      </x:c>
      <x:c r="O41" s="56"/>
    </x:row>
    <x:row r="42" ht="60" hidden="0" customHeight="1">
      <x:c r="A42" s="56" t="str">
        <x:v>2026-10-20</x:v>
      </x:c>
      <x:c r="B42" s="56" t="str">
        <x:v>REQ-SCREEN-UI-38</x:v>
      </x:c>
      <x:c r="C42" s="56" t="str">
        <x:v>SCREEN</x:v>
      </x:c>
      <x:c r="D42" s="56" t="str">
        <x:v>UI-38 Học bài: responsive state and authorization parity</x:v>
      </x:c>
      <x:c r="E42" s="56" t="str">
        <x:v>LC-ACADEMY-FOUNDATION
LC-ACADEMY-PRO
LC-ACADEMY-TRAINER</x:v>
      </x:c>
      <x:c r="F42" s="56" t="str">
        <x:v>UI-38</x:v>
      </x:c>
      <x:c r="G42" s="56" t="str">
        <x:v>assignment</x:v>
      </x:c>
      <x:c r="H42" s="56"/>
      <x:c r="I42" s="56" t="str">
        <x:v>ACADEMY-03
UPG-UX-001</x:v>
      </x:c>
      <x:c r="J42" s="56" t="str">
        <x:v>UIT-UI-38-PHONE
UIT-UI-38-DESKTOP
UIT-UI-38-A11Y
UIT-UI-38-OFFLINE
UIT-UI-38-NEGATIVE</x:v>
      </x:c>
      <x:c r="K42" s="56" t="str">
        <x:v>G04
G06
G08
G12</x:v>
      </x:c>
      <x:c r="L42" s="56" t="str">
        <x:v>evidence/ui/UI-38/&lt;sha&gt;/receipt.json</x:v>
      </x:c>
      <x:c r="M42" s="56" t="str">
        <x:v>phone and desktop complete the same authorized task; all universal/category states are truthful</x:v>
      </x:c>
      <x:c r="N42" s="56" t="str">
        <x:v>NOT_CHECKED</x:v>
      </x:c>
      <x:c r="O42" s="56"/>
    </x:row>
    <x:row r="43" ht="60" hidden="0" customHeight="1">
      <x:c r="A43" s="56" t="str">
        <x:v>2026-10-20</x:v>
      </x:c>
      <x:c r="B43" s="56" t="str">
        <x:v>REQ-SCREEN-UI-39</x:v>
      </x:c>
      <x:c r="C43" s="56" t="str">
        <x:v>SCREEN</x:v>
      </x:c>
      <x:c r="D43" s="56" t="str">
        <x:v>UI-39 Chứng nhận: responsive state and authorization parity</x:v>
      </x:c>
      <x:c r="E43" s="56" t="str">
        <x:v>LC-ACADEMY-FOUNDATION
LC-ACADEMY-PRO
LC-ACADEMY-TRAINER</x:v>
      </x:c>
      <x:c r="F43" s="56" t="str">
        <x:v>UI-39</x:v>
      </x:c>
      <x:c r="G43" s="56" t="str">
        <x:v>verifyCertificate</x:v>
      </x:c>
      <x:c r="H43" s="56"/>
      <x:c r="I43" s="56" t="str">
        <x:v>ACADEMY-06
UPG-UX-001</x:v>
      </x:c>
      <x:c r="J43" s="56" t="str">
        <x:v>UIT-UI-39-PHONE
UIT-UI-39-DESKTOP
UIT-UI-39-A11Y
UIT-UI-39-OFFLINE
UIT-UI-39-NEGATIVE</x:v>
      </x:c>
      <x:c r="K43" s="56" t="str">
        <x:v>G04
G06
G08
G12</x:v>
      </x:c>
      <x:c r="L43" s="56" t="str">
        <x:v>evidence/ui/UI-39/&lt;sha&gt;/receipt.json</x:v>
      </x:c>
      <x:c r="M43" s="56" t="str">
        <x:v>phone and desktop complete the same authorized task; all universal/category states are truthful</x:v>
      </x:c>
      <x:c r="N43" s="56" t="str">
        <x:v>NOT_CHECKED</x:v>
      </x:c>
      <x:c r="O43" s="56"/>
    </x:row>
    <x:row r="44" ht="60" hidden="0" customHeight="1">
      <x:c r="A44" s="56" t="str">
        <x:v>2026-10-20</x:v>
      </x:c>
      <x:c r="B44" s="56" t="str">
        <x:v>REQ-SCREEN-UI-40</x:v>
      </x:c>
      <x:c r="C44" s="56" t="str">
        <x:v>SCREEN</x:v>
      </x:c>
      <x:c r="D44" s="56" t="str">
        <x:v>UI-40 Workspace: responsive state and authorization parity</x:v>
      </x:c>
      <x:c r="E44" s="56" t="str">
        <x:v>LC-ORG</x:v>
      </x:c>
      <x:c r="F44" s="56" t="str">
        <x:v>UI-40</x:v>
      </x:c>
      <x:c r="G44" s="56" t="str">
        <x:v>organizationOverview</x:v>
      </x:c>
      <x:c r="H44" s="56"/>
      <x:c r="I44" s="56" t="str">
        <x:v>EXPAND-08
UPG-UX-001</x:v>
      </x:c>
      <x:c r="J44" s="56" t="str">
        <x:v>UIT-UI-40-PHONE
UIT-UI-40-DESKTOP
UIT-UI-40-A11Y
UIT-UI-40-OFFLINE
UIT-UI-40-NEGATIVE</x:v>
      </x:c>
      <x:c r="K44" s="56" t="str">
        <x:v>G03
G04
G05
G08</x:v>
      </x:c>
      <x:c r="L44" s="56" t="str">
        <x:v>evidence/ui/UI-40/&lt;sha&gt;/receipt.json</x:v>
      </x:c>
      <x:c r="M44" s="56" t="str">
        <x:v>phone and desktop complete the same authorized task; all universal/category states are truthful</x:v>
      </x:c>
      <x:c r="N44" s="56" t="str">
        <x:v>NOT_CHECKED</x:v>
      </x:c>
      <x:c r="O44" s="56"/>
    </x:row>
    <x:row r="45" ht="60" hidden="0" customHeight="1">
      <x:c r="A45" s="56" t="str">
        <x:v>2026-10-20</x:v>
      </x:c>
      <x:c r="B45" s="56" t="str">
        <x:v>REQ-SCREEN-UI-41</x:v>
      </x:c>
      <x:c r="C45" s="56" t="str">
        <x:v>SCREEN</x:v>
      </x:c>
      <x:c r="D45" s="56" t="str">
        <x:v>UI-41 Partner: responsive state and authorization parity</x:v>
      </x:c>
      <x:c r="E45" s="56" t="str">
        <x:v>LC-REGIONAL</x:v>
      </x:c>
      <x:c r="F45" s="56" t="str">
        <x:v>UI-41</x:v>
      </x:c>
      <x:c r="G45" s="56" t="str">
        <x:v>partner</x:v>
      </x:c>
      <x:c r="H45" s="56"/>
      <x:c r="I45" s="56" t="str">
        <x:v>GLOBAL-05
UPG-UX-001</x:v>
      </x:c>
      <x:c r="J45" s="56" t="str">
        <x:v>UIT-UI-41-PHONE
UIT-UI-41-DESKTOP
UIT-UI-41-A11Y
UIT-UI-41-OFFLINE
UIT-UI-41-NEGATIVE</x:v>
      </x:c>
      <x:c r="K45" s="56" t="str">
        <x:v>G03
G04
G06
G12</x:v>
      </x:c>
      <x:c r="L45" s="56" t="str">
        <x:v>evidence/ui/UI-41/&lt;sha&gt;/receipt.json</x:v>
      </x:c>
      <x:c r="M45" s="56" t="str">
        <x:v>phone and desktop complete the same authorized task; all universal/category states are truthful</x:v>
      </x:c>
      <x:c r="N45" s="56" t="str">
        <x:v>NOT_CHECKED</x:v>
      </x:c>
      <x:c r="O45" s="56"/>
    </x:row>
    <x:row r="46" ht="60" hidden="0" customHeight="1">
      <x:c r="A46" s="56" t="str">
        <x:v>2026-10-20</x:v>
      </x:c>
      <x:c r="B46" s="56" t="str">
        <x:v>REQ-SCREEN-UI-42</x:v>
      </x:c>
      <x:c r="C46" s="56" t="str">
        <x:v>SCREEN</x:v>
      </x:c>
      <x:c r="D46" s="56" t="str">
        <x:v>UI-42 Nguồn/phương pháp Admin: responsive state and authorization parity</x:v>
      </x:c>
      <x:c r="E46" s="56" t="str">
        <x:v>LC-ACADEMY-TRAINER</x:v>
      </x:c>
      <x:c r="F46" s="56" t="str">
        <x:v>UI-42</x:v>
      </x:c>
      <x:c r="G46" s="56" t="str">
        <x:v>methodReleaseDraft</x:v>
      </x:c>
      <x:c r="H46" s="56"/>
      <x:c r="I46" s="56" t="str">
        <x:v>METHOD-10
UPG-UX-001</x:v>
      </x:c>
      <x:c r="J46" s="56" t="str">
        <x:v>UIT-UI-42-PHONE
UIT-UI-42-DESKTOP
UIT-UI-42-A11Y
UIT-UI-42-OFFLINE
UIT-UI-42-NEGATIVE</x:v>
      </x:c>
      <x:c r="K46" s="56" t="str">
        <x:v>G06</x:v>
      </x:c>
      <x:c r="L46" s="56" t="str">
        <x:v>evidence/ui/UI-42/&lt;sha&gt;/receipt.json</x:v>
      </x:c>
      <x:c r="M46" s="56" t="str">
        <x:v>phone and desktop complete the same authorized task; all universal/category states are truthful</x:v>
      </x:c>
      <x:c r="N46" s="56" t="str">
        <x:v>NOT_CHECKED</x:v>
      </x:c>
      <x:c r="O46" s="56"/>
    </x:row>
    <x:row r="47" ht="60" hidden="0" customHeight="1">
      <x:c r="A47" s="56" t="str">
        <x:v>2026-10-20</x:v>
      </x:c>
      <x:c r="B47" s="56" t="str">
        <x:v>REQ-SCREEN-UI-43</x:v>
      </x:c>
      <x:c r="C47" s="56" t="str">
        <x:v>SCREEN</x:v>
      </x:c>
      <x:c r="D47" s="56" t="str">
        <x:v>UI-43 Quality center: responsive state and authorization parity</x:v>
      </x:c>
      <x:c r="E47" s="56" t="str">
        <x:v>LC-FREE</x:v>
      </x:c>
      <x:c r="F47" s="56" t="str">
        <x:v>UI-43</x:v>
      </x:c>
      <x:c r="G47" s="56" t="str">
        <x:v>quality</x:v>
      </x:c>
      <x:c r="H47" s="56"/>
      <x:c r="I47" s="56" t="str">
        <x:v>OPS-08
UPG-UX-001</x:v>
      </x:c>
      <x:c r="J47" s="56" t="str">
        <x:v>UIT-UI-43-PHONE
UIT-UI-43-DESKTOP
UIT-UI-43-A11Y
UIT-UI-43-OFFLINE
UIT-UI-43-NEGATIVE</x:v>
      </x:c>
      <x:c r="K47" s="56" t="str">
        <x:v>G01
G10
G11
G12</x:v>
      </x:c>
      <x:c r="L47" s="56" t="str">
        <x:v>evidence/ui/UI-43/&lt;sha&gt;/receipt.json</x:v>
      </x:c>
      <x:c r="M47" s="56" t="str">
        <x:v>phone and desktop complete the same authorized task; all universal/category states are truthful</x:v>
      </x:c>
      <x:c r="N47" s="56" t="str">
        <x:v>NOT_CHECKED</x:v>
      </x:c>
      <x:c r="O47" s="56"/>
    </x:row>
    <x:row r="48" ht="60" hidden="0" customHeight="1">
      <x:c r="A48" s="56" t="str">
        <x:v>2026-10-20</x:v>
      </x:c>
      <x:c r="B48" s="56" t="str">
        <x:v>REQ-SCREEN-UI-44</x:v>
      </x:c>
      <x:c r="C48" s="56" t="str">
        <x:v>SCREEN</x:v>
      </x:c>
      <x:c r="D48" s="56" t="str">
        <x:v>UI-44 Ops center: responsive state and authorization parity</x:v>
      </x:c>
      <x:c r="E48" s="56" t="str">
        <x:v>LC-FREE</x:v>
      </x:c>
      <x:c r="F48" s="56" t="str">
        <x:v>UI-44</x:v>
      </x:c>
      <x:c r="G48" s="56" t="str">
        <x:v>operations</x:v>
      </x:c>
      <x:c r="H48" s="56"/>
      <x:c r="I48" s="56" t="str">
        <x:v>OPS-04
UPG-UX-001</x:v>
      </x:c>
      <x:c r="J48" s="56" t="str">
        <x:v>UIT-UI-44-PHONE
UIT-UI-44-DESKTOP
UIT-UI-44-A11Y
UIT-UI-44-OFFLINE
UIT-UI-44-NEGATIVE</x:v>
      </x:c>
      <x:c r="K48" s="56" t="str">
        <x:v>G01
G10
G11
G12</x:v>
      </x:c>
      <x:c r="L48" s="56" t="str">
        <x:v>evidence/ui/UI-44/&lt;sha&gt;/receipt.json</x:v>
      </x:c>
      <x:c r="M48" s="56" t="str">
        <x:v>phone and desktop complete the same authorized task; all universal/category states are truthful</x:v>
      </x:c>
      <x:c r="N48" s="56" t="str">
        <x:v>NOT_CHECKED</x:v>
      </x:c>
      <x:c r="O48" s="56"/>
    </x:row>
    <x:row r="49" ht="60" hidden="0" customHeight="1">
      <x:c r="A49" s="56" t="str">
        <x:v>2026-10-20</x:v>
      </x:c>
      <x:c r="B49" s="56" t="str">
        <x:v>REQ-SCREEN-UI-45</x:v>
      </x:c>
      <x:c r="C49" s="56" t="str">
        <x:v>SCREEN</x:v>
      </x:c>
      <x:c r="D49" s="56" t="str">
        <x:v>UI-45 Rights/legal center: responsive state and authorization parity</x:v>
      </x:c>
      <x:c r="E49" s="56" t="str">
        <x:v>LC-REGIONAL</x:v>
      </x:c>
      <x:c r="F49" s="56" t="str">
        <x:v>UI-45</x:v>
      </x:c>
      <x:c r="G49" s="56" t="str">
        <x:v>countryPackReview</x:v>
      </x:c>
      <x:c r="H49" s="56"/>
      <x:c r="I49" s="56" t="str">
        <x:v>GLOBAL-01
UPG-UX-001</x:v>
      </x:c>
      <x:c r="J49" s="56" t="str">
        <x:v>UIT-UI-45-PHONE
UIT-UI-45-DESKTOP
UIT-UI-45-A11Y
UIT-UI-45-OFFLINE
UIT-UI-45-NEGATIVE</x:v>
      </x:c>
      <x:c r="K49" s="56" t="str">
        <x:v>G03
G04
G06
G12</x:v>
      </x:c>
      <x:c r="L49" s="56" t="str">
        <x:v>evidence/ui/UI-45/&lt;sha&gt;/receipt.json</x:v>
      </x:c>
      <x:c r="M49" s="56" t="str">
        <x:v>phone and desktop complete the same authorized task; all universal/category states are truthful</x:v>
      </x:c>
      <x:c r="N49" s="56" t="str">
        <x:v>NOT_CHECKED</x:v>
      </x:c>
      <x:c r="O49" s="56"/>
    </x:row>
    <x:row r="50" ht="108" hidden="0" customHeight="1">
      <x:c r="A50" s="56" t="str">
        <x:v>2026-10-20</x:v>
      </x:c>
      <x:c r="B50" s="56" t="str">
        <x:v>REQ-PRODUCT-LC-L1</x:v>
      </x:c>
      <x:c r="C50" s="56" t="str">
        <x:v>PRODUCT</x:v>
      </x:c>
      <x:c r="D50" s="56" t="str">
        <x:v>Retain LC-L1 in T2 with conditional evidence and kill metrics</x:v>
      </x:c>
      <x:c r="E50" s="56" t="str">
        <x:v>LC-L1</x:v>
      </x:c>
      <x:c r="F50" s="56" t="str">
        <x:v>UI-07
UI-09
UI-11
UI-21
UI-22
UI-23
UI-24
UI-26</x:v>
      </x:c>
      <x:c r="G50" s="56" t="str">
        <x:v>createSubject
overview
newProfileVersion
analyze
analysisStatus
analysisResults
reports
report
exportReport</x:v>
      </x:c>
      <x:c r="H50" s="56"/>
      <x:c r="I50" s="56" t="str">
        <x:v>WEB-03
WEB-06
DATA-01
API-03
WEB-08
REPORT-05
REPORT-06
UPG-PRD-002</x:v>
      </x:c>
      <x:c r="J50" s="56" t="str">
        <x:v>PRD-LC-L1-CONTRACT
PRD-LC-L1-ELIGIBILITY
PRD-LC-L1-KILL</x:v>
      </x:c>
      <x:c r="K50" s="56" t="str">
        <x:v>G03
G05
G06
G08
G10
G12</x:v>
      </x:c>
      <x:c r="L50" s="56" t="str">
        <x:v>evidence/products/LC-L1/&lt;release&gt;/decision.json</x:v>
      </x:c>
      <x:c r="M50" s="56" t="str">
        <x:v>scope, eligible user, dependencies, metrics, evidence and approval bind the exact release</x:v>
      </x:c>
      <x:c r="N50" s="56" t="str">
        <x:v>NOT_CHECKED</x:v>
      </x:c>
      <x:c r="O50" s="56"/>
    </x:row>
    <x:row r="51" ht="72" hidden="0" customHeight="1">
      <x:c r="A51" s="56" t="str">
        <x:v>2026-10-20</x:v>
      </x:c>
      <x:c r="B51" s="56" t="str">
        <x:v>REQ-PRODUCT-LC-L2</x:v>
      </x:c>
      <x:c r="C51" s="56" t="str">
        <x:v>PRODUCT</x:v>
      </x:c>
      <x:c r="D51" s="56" t="str">
        <x:v>Retain LC-L2 in T4 with conditional evidence and kill metrics</x:v>
      </x:c>
      <x:c r="E51" s="56" t="str">
        <x:v>LC-L2</x:v>
      </x:c>
      <x:c r="F51" s="56" t="str">
        <x:v>UI-20
UI-21
UI-23
UI-24
UI-25</x:v>
      </x:c>
      <x:c r="G51" s="56" t="str">
        <x:v>questionnaireResponse
analyze
analysisResults
reports
report
reportRevisions</x:v>
      </x:c>
      <x:c r="H51" s="56"/>
      <x:c r="I51" s="56" t="str">
        <x:v>EXPAND-01
API-03
WEB-08
REPORT-05
REPORT-09
UPG-PRD-002</x:v>
      </x:c>
      <x:c r="J51" s="56" t="str">
        <x:v>PRD-LC-L2-CONTRACT
PRD-LC-L2-ELIGIBILITY
PRD-LC-L2-KILL</x:v>
      </x:c>
      <x:c r="K51" s="56" t="str">
        <x:v>G03
G05
G06
G08</x:v>
      </x:c>
      <x:c r="L51" s="56" t="str">
        <x:v>evidence/products/LC-L2/&lt;release&gt;/decision.json</x:v>
      </x:c>
      <x:c r="M51" s="56" t="str">
        <x:v>scope, eligible user, dependencies, metrics, evidence and approval bind the exact release</x:v>
      </x:c>
      <x:c r="N51" s="56" t="str">
        <x:v>NOT_CHECKED</x:v>
      </x:c>
      <x:c r="O51" s="56"/>
    </x:row>
    <x:row r="52" ht="72" hidden="0" customHeight="1">
      <x:c r="A52" s="56" t="str">
        <x:v>2026-10-20</x:v>
      </x:c>
      <x:c r="B52" s="56" t="str">
        <x:v>REQ-PRODUCT-LC-L3</x:v>
      </x:c>
      <x:c r="C52" s="56" t="str">
        <x:v>PRODUCT</x:v>
      </x:c>
      <x:c r="D52" s="56" t="str">
        <x:v>Retain LC-L3 in T4 with conditional evidence and kill metrics</x:v>
      </x:c>
      <x:c r="E52" s="56" t="str">
        <x:v>LC-L3</x:v>
      </x:c>
      <x:c r="F52" s="56" t="str">
        <x:v>UI-15
UI-18
UI-20
UI-21
UI-24</x:v>
      </x:c>
      <x:c r="G52" s="56" t="str">
        <x:v>observation
checkin
questionnaireResponse
analyze
analysisResults
report</x:v>
      </x:c>
      <x:c r="H52" s="56"/>
      <x:c r="I52" s="56" t="str">
        <x:v>WEB-07
API-05
EXPAND-01
API-03
REPORT-05
UPG-PRD-002</x:v>
      </x:c>
      <x:c r="J52" s="56" t="str">
        <x:v>PRD-LC-L3-CONTRACT
PRD-LC-L3-ELIGIBILITY
PRD-LC-L3-KILL</x:v>
      </x:c>
      <x:c r="K52" s="56" t="str">
        <x:v>G03
G05
G06
G08</x:v>
      </x:c>
      <x:c r="L52" s="56" t="str">
        <x:v>evidence/products/LC-L3/&lt;release&gt;/decision.json</x:v>
      </x:c>
      <x:c r="M52" s="56" t="str">
        <x:v>scope, eligible user, dependencies, metrics, evidence and approval bind the exact release</x:v>
      </x:c>
      <x:c r="N52" s="56" t="str">
        <x:v>NOT_CHECKED</x:v>
      </x:c>
      <x:c r="O52" s="56"/>
    </x:row>
    <x:row r="53" ht="60" hidden="0" customHeight="1">
      <x:c r="A53" s="56" t="str">
        <x:v>2026-10-20</x:v>
      </x:c>
      <x:c r="B53" s="56" t="str">
        <x:v>REQ-PRODUCT-LC-L4</x:v>
      </x:c>
      <x:c r="C53" s="56" t="str">
        <x:v>PRODUCT</x:v>
      </x:c>
      <x:c r="D53" s="56" t="str">
        <x:v>Retain LC-L4 in T4 with conditional evidence and kill metrics</x:v>
      </x:c>
      <x:c r="E53" s="56" t="str">
        <x:v>LC-L4</x:v>
      </x:c>
      <x:c r="F53" s="56" t="str">
        <x:v>UI-17
UI-19
UI-21
UI-24</x:v>
      </x:c>
      <x:c r="G53" s="56" t="str">
        <x:v>createPlan
timeline
analyze
analysisResults
report</x:v>
      </x:c>
      <x:c r="H53" s="56"/>
      <x:c r="I53" s="56" t="str">
        <x:v>API-05
METHOD-08
API-03
REPORT-05
UPG-PRD-002</x:v>
      </x:c>
      <x:c r="J53" s="56" t="str">
        <x:v>PRD-LC-L4-CONTRACT
PRD-LC-L4-ELIGIBILITY
PRD-LC-L4-KILL</x:v>
      </x:c>
      <x:c r="K53" s="56" t="str">
        <x:v>G03
G05
G06
G08</x:v>
      </x:c>
      <x:c r="L53" s="56" t="str">
        <x:v>evidence/products/LC-L4/&lt;release&gt;/decision.json</x:v>
      </x:c>
      <x:c r="M53" s="56" t="str">
        <x:v>scope, eligible user, dependencies, metrics, evidence and approval bind the exact release</x:v>
      </x:c>
      <x:c r="N53" s="56" t="str">
        <x:v>NOT_CHECKED</x:v>
      </x:c>
      <x:c r="O53" s="56"/>
    </x:row>
    <x:row r="54" ht="60" hidden="0" customHeight="1">
      <x:c r="A54" s="56" t="str">
        <x:v>2026-10-20</x:v>
      </x:c>
      <x:c r="B54" s="56" t="str">
        <x:v>REQ-PRODUCT-LC-L5</x:v>
      </x:c>
      <x:c r="C54" s="56" t="str">
        <x:v>PRODUCT</x:v>
      </x:c>
      <x:c r="D54" s="56" t="str">
        <x:v>Retain LC-L5 in T4 with conditional evidence and kill metrics</x:v>
      </x:c>
      <x:c r="E54" s="56" t="str">
        <x:v>LC-L5</x:v>
      </x:c>
      <x:c r="F54" s="56" t="str">
        <x:v>UI-13
UI-14
UI-24
UI-25</x:v>
      </x:c>
      <x:c r="G54" s="56" t="str">
        <x:v>consentDecision
grant
revokeGrant
report
reportRevisions</x:v>
      </x:c>
      <x:c r="H54" s="56"/>
      <x:c r="I54" s="56" t="str">
        <x:v>TRUST-08
TRUST-07
REPORT-05
REPORT-09
UPG-PRD-002</x:v>
      </x:c>
      <x:c r="J54" s="56" t="str">
        <x:v>PRD-LC-L5-CONTRACT
PRD-LC-L5-ELIGIBILITY
PRD-LC-L5-KILL</x:v>
      </x:c>
      <x:c r="K54" s="56" t="str">
        <x:v>G02
G03
G05
G06
G08</x:v>
      </x:c>
      <x:c r="L54" s="56" t="str">
        <x:v>evidence/products/LC-L5/&lt;release&gt;/decision.json</x:v>
      </x:c>
      <x:c r="M54" s="56" t="str">
        <x:v>scope, eligible user, dependencies, metrics, evidence and approval bind the exact release</x:v>
      </x:c>
      <x:c r="N54" s="56" t="str">
        <x:v>NOT_CHECKED</x:v>
      </x:c>
      <x:c r="O54" s="56"/>
    </x:row>
    <x:row r="55" ht="60" hidden="0" customHeight="1">
      <x:c r="A55" s="56" t="str">
        <x:v>2026-10-20</x:v>
      </x:c>
      <x:c r="B55" s="56" t="str">
        <x:v>REQ-PRODUCT-LC-L6</x:v>
      </x:c>
      <x:c r="C55" s="56" t="str">
        <x:v>PRODUCT</x:v>
      </x:c>
      <x:c r="D55" s="56" t="str">
        <x:v>Retain LC-L6 in T6 with conditional evidence and kill metrics</x:v>
      </x:c>
      <x:c r="E55" s="56" t="str">
        <x:v>LC-L6</x:v>
      </x:c>
      <x:c r="F55" s="56" t="str">
        <x:v>UI-19
UI-21
UI-24
UI-25</x:v>
      </x:c>
      <x:c r="G55" s="56" t="str">
        <x:v>timeline
analyze
analysisResults
report
reportRevisions</x:v>
      </x:c>
      <x:c r="H55" s="56"/>
      <x:c r="I55" s="56" t="str">
        <x:v>METHOD-08
API-03
REPORT-05
REPORT-09
UPG-PRD-002</x:v>
      </x:c>
      <x:c r="J55" s="56" t="str">
        <x:v>PRD-LC-L6-CONTRACT
PRD-LC-L6-ELIGIBILITY
PRD-LC-L6-KILL</x:v>
      </x:c>
      <x:c r="K55" s="56" t="str">
        <x:v>G03
G05
G06
G08</x:v>
      </x:c>
      <x:c r="L55" s="56" t="str">
        <x:v>evidence/products/LC-L6/&lt;release&gt;/decision.json</x:v>
      </x:c>
      <x:c r="M55" s="56" t="str">
        <x:v>scope, eligible user, dependencies, metrics, evidence and approval bind the exact release</x:v>
      </x:c>
      <x:c r="N55" s="56" t="str">
        <x:v>NOT_CHECKED</x:v>
      </x:c>
      <x:c r="O55" s="56"/>
    </x:row>
    <x:row r="56" ht="72" hidden="0" customHeight="1">
      <x:c r="A56" s="56" t="str">
        <x:v>2026-10-20</x:v>
      </x:c>
      <x:c r="B56" s="56" t="str">
        <x:v>REQ-PRODUCT-LC-L7</x:v>
      </x:c>
      <x:c r="C56" s="56" t="str">
        <x:v>PRODUCT</x:v>
      </x:c>
      <x:c r="D56" s="56" t="str">
        <x:v>Retain LC-L7 in T6 with conditional evidence and kill metrics</x:v>
      </x:c>
      <x:c r="E56" s="56" t="str">
        <x:v>LC-L7</x:v>
      </x:c>
      <x:c r="F56" s="56" t="str">
        <x:v>UI-13
UI-15
UI-21
UI-24</x:v>
      </x:c>
      <x:c r="G56" s="56" t="str">
        <x:v>consentDecision
observation
analyze
analysisResults
report</x:v>
      </x:c>
      <x:c r="H56" s="56"/>
      <x:c r="I56" s="56" t="str">
        <x:v>TRUST-08
WEB-07
API-03
REPORT-05
UPG-PRD-002</x:v>
      </x:c>
      <x:c r="J56" s="56" t="str">
        <x:v>PRD-LC-L7-CONTRACT
PRD-LC-L7-ELIGIBILITY
PRD-LC-L7-KILL</x:v>
      </x:c>
      <x:c r="K56" s="56" t="str">
        <x:v>G02
G04
G05
G06
G08
G12</x:v>
      </x:c>
      <x:c r="L56" s="56" t="str">
        <x:v>evidence/products/LC-L7/&lt;release&gt;/decision.json</x:v>
      </x:c>
      <x:c r="M56" s="56" t="str">
        <x:v>scope, eligible user, dependencies, metrics, evidence and approval bind the exact release</x:v>
      </x:c>
      <x:c r="N56" s="56" t="str">
        <x:v>NOT_CHECKED</x:v>
      </x:c>
      <x:c r="O56" s="56"/>
    </x:row>
    <x:row r="57" ht="60" hidden="0" customHeight="1">
      <x:c r="A57" s="56" t="str">
        <x:v>2026-10-20</x:v>
      </x:c>
      <x:c r="B57" s="56" t="str">
        <x:v>REQ-PRODUCT-LC-L8</x:v>
      </x:c>
      <x:c r="C57" s="56" t="str">
        <x:v>PRODUCT</x:v>
      </x:c>
      <x:c r="D57" s="56" t="str">
        <x:v>Retain LC-L8 in T6 with conditional evidence and kill metrics</x:v>
      </x:c>
      <x:c r="E57" s="56" t="str">
        <x:v>LC-L8</x:v>
      </x:c>
      <x:c r="F57" s="56" t="str">
        <x:v>UI-17
UI-18
UI-21
UI-24</x:v>
      </x:c>
      <x:c r="G57" s="56" t="str">
        <x:v>createPlan
checkin
analyze
analysisResults
report</x:v>
      </x:c>
      <x:c r="H57" s="56"/>
      <x:c r="I57" s="56" t="str">
        <x:v>API-05
API-03
REPORT-05
UPG-PRD-002</x:v>
      </x:c>
      <x:c r="J57" s="56" t="str">
        <x:v>PRD-LC-L8-CONTRACT
PRD-LC-L8-ELIGIBILITY
PRD-LC-L8-KILL</x:v>
      </x:c>
      <x:c r="K57" s="56" t="str">
        <x:v>G03
G05
G06
G08</x:v>
      </x:c>
      <x:c r="L57" s="56" t="str">
        <x:v>evidence/products/LC-L8/&lt;release&gt;/decision.json</x:v>
      </x:c>
      <x:c r="M57" s="56" t="str">
        <x:v>scope, eligible user, dependencies, metrics, evidence and approval bind the exact release</x:v>
      </x:c>
      <x:c r="N57" s="56" t="str">
        <x:v>NOT_CHECKED</x:v>
      </x:c>
      <x:c r="O57" s="56"/>
    </x:row>
    <x:row r="58" ht="108" hidden="0" customHeight="1">
      <x:c r="A58" s="56" t="str">
        <x:v>2026-10-20</x:v>
      </x:c>
      <x:c r="B58" s="56" t="str">
        <x:v>REQ-PRODUCT-LC-L9</x:v>
      </x:c>
      <x:c r="C58" s="56" t="str">
        <x:v>PRODUCT</x:v>
      </x:c>
      <x:c r="D58" s="56" t="str">
        <x:v>Retain LC-L9 in T6 with conditional evidence and kill metrics</x:v>
      </x:c>
      <x:c r="E58" s="56" t="str">
        <x:v>LC-L9</x:v>
      </x:c>
      <x:c r="F58" s="56" t="str">
        <x:v>UI-13
UI-14
UI-19
UI-21
UI-23
UI-24
UI-25
UI-26</x:v>
      </x:c>
      <x:c r="G58" s="56" t="str">
        <x:v>consentDecision
grant
timeline
analyze
analysisResults
reports
report
reportRevisions
exportReport</x:v>
      </x:c>
      <x:c r="H58" s="56"/>
      <x:c r="I58" s="56" t="str">
        <x:v>TRUST-08
TRUST-07
METHOD-08
API-03
WEB-08
REPORT-05
REPORT-09
REPORT-06
UPG-PRD-002</x:v>
      </x:c>
      <x:c r="J58" s="56" t="str">
        <x:v>PRD-LC-L9-CONTRACT
PRD-LC-L9-ELIGIBILITY
PRD-LC-L9-KILL</x:v>
      </x:c>
      <x:c r="K58" s="56" t="str">
        <x:v>G02
G03
G05
G06
G08
G10
G12</x:v>
      </x:c>
      <x:c r="L58" s="56" t="str">
        <x:v>evidence/products/LC-L9/&lt;release&gt;/decision.json</x:v>
      </x:c>
      <x:c r="M58" s="56" t="str">
        <x:v>scope, eligible user, dependencies, metrics, evidence and approval bind the exact release</x:v>
      </x:c>
      <x:c r="N58" s="56" t="str">
        <x:v>NOT_CHECKED</x:v>
      </x:c>
      <x:c r="O58" s="56"/>
    </x:row>
    <x:row r="59" ht="60" hidden="0" customHeight="1">
      <x:c r="A59" s="56" t="str">
        <x:v>2026-10-20</x:v>
      </x:c>
      <x:c r="B59" s="56" t="str">
        <x:v>REQ-PRODUCT-LC-GUEST</x:v>
      </x:c>
      <x:c r="C59" s="56" t="str">
        <x:v>PRODUCT</x:v>
      </x:c>
      <x:c r="D59" s="56" t="str">
        <x:v>Retain LC-GUEST in T1 with conditional evidence and kill metrics</x:v>
      </x:c>
      <x:c r="E59" s="56" t="str">
        <x:v>LC-GUEST</x:v>
      </x:c>
      <x:c r="F59" s="56" t="str">
        <x:v>UI-01
UI-02
UI-03
UI-04
UI-05</x:v>
      </x:c>
      <x:c r="G59" s="56" t="str">
        <x:v>catalog
methods</x:v>
      </x:c>
      <x:c r="H59" s="56"/>
      <x:c r="I59" s="56" t="str">
        <x:v>WEB-01
GOV-09
METHOD-10
WEB-02
UPG-PRD-002</x:v>
      </x:c>
      <x:c r="J59" s="56" t="str">
        <x:v>PRD-LC-GUEST-CONTRACT
PRD-LC-GUEST-ELIGIBILITY
PRD-LC-GUEST-KILL</x:v>
      </x:c>
      <x:c r="K59" s="56" t="str">
        <x:v>G03
G06
G08
G12</x:v>
      </x:c>
      <x:c r="L59" s="56" t="str">
        <x:v>evidence/products/LC-GUEST/&lt;release&gt;/decision.json</x:v>
      </x:c>
      <x:c r="M59" s="56" t="str">
        <x:v>scope, eligible user, dependencies, metrics, evidence and approval bind the exact release</x:v>
      </x:c>
      <x:c r="N59" s="56" t="str">
        <x:v>NOT_CHECKED</x:v>
      </x:c>
      <x:c r="O59" s="56"/>
    </x:row>
    <x:row r="60" ht="120" hidden="0" customHeight="1">
      <x:c r="A60" s="56" t="str">
        <x:v>2026-10-20</x:v>
      </x:c>
      <x:c r="B60" s="56" t="str">
        <x:v>REQ-PRODUCT-LC-FREE</x:v>
      </x:c>
      <x:c r="C60" s="56" t="str">
        <x:v>PRODUCT</x:v>
      </x:c>
      <x:c r="D60" s="56" t="str">
        <x:v>Retain LC-FREE in T2 with conditional evidence and kill metrics</x:v>
      </x:c>
      <x:c r="E60" s="56" t="str">
        <x:v>LC-FREE</x:v>
      </x:c>
      <x:c r="F60" s="56" t="str">
        <x:v>UI-07
UI-09
UI-10
UI-11
UI-13
UI-15
UI-17
UI-31
UI-32</x:v>
      </x:c>
      <x:c r="G60" s="56" t="str">
        <x:v>createSubject
overview
subjects
newProfileVersion
consentDecision
observation
createPlan
privacyExport
deleteSubject</x:v>
      </x:c>
      <x:c r="H60" s="56"/>
      <x:c r="I60" s="56" t="str">
        <x:v>WEB-03
WEB-06
API-02
DATA-01
TRUST-08
WEB-07
API-05
DATA-09
DATA-07
UPG-PRD-002</x:v>
      </x:c>
      <x:c r="J60" s="56" t="str">
        <x:v>PRD-LC-FREE-CONTRACT
PRD-LC-FREE-ELIGIBILITY
PRD-LC-FREE-KILL</x:v>
      </x:c>
      <x:c r="K60" s="56" t="str">
        <x:v>G02
G03
G05
G08
G10
G12</x:v>
      </x:c>
      <x:c r="L60" s="56" t="str">
        <x:v>evidence/products/LC-FREE/&lt;release&gt;/decision.json</x:v>
      </x:c>
      <x:c r="M60" s="56" t="str">
        <x:v>scope, eligible user, dependencies, metrics, evidence and approval bind the exact release</x:v>
      </x:c>
      <x:c r="N60" s="56" t="str">
        <x:v>NOT_CHECKED</x:v>
      </x:c>
      <x:c r="O60" s="56"/>
    </x:row>
    <x:row r="61" ht="84" hidden="0" customHeight="1">
      <x:c r="A61" s="56" t="str">
        <x:v>2026-10-20</x:v>
      </x:c>
      <x:c r="B61" s="56" t="str">
        <x:v>REQ-PRODUCT-LC-COMPANION</x:v>
      </x:c>
      <x:c r="C61" s="56" t="str">
        <x:v>PRODUCT</x:v>
      </x:c>
      <x:c r="D61" s="56" t="str">
        <x:v>Retain LC-COMPANION in T3 with conditional evidence and kill metrics</x:v>
      </x:c>
      <x:c r="E61" s="56" t="str">
        <x:v>LC-COMPANION</x:v>
      </x:c>
      <x:c r="F61" s="56" t="str">
        <x:v>UI-15
UI-17
UI-18
UI-33</x:v>
      </x:c>
      <x:c r="G61" s="56" t="str">
        <x:v>observation
createPlan
checkin
newAutomation
stopAutomation</x:v>
      </x:c>
      <x:c r="H61" s="56"/>
      <x:c r="I61" s="56" t="str">
        <x:v>WEB-07
API-05
AI-10
UPG-PRD-002</x:v>
      </x:c>
      <x:c r="J61" s="56" t="str">
        <x:v>PRD-LC-COMPANION-CONTRACT
PRD-LC-COMPANION-ELIGIBILITY
PRD-LC-COMPANION-KILL</x:v>
      </x:c>
      <x:c r="K61" s="56" t="str">
        <x:v>G02
G03
G05
G06
G08
G10
G12</x:v>
      </x:c>
      <x:c r="L61" s="56" t="str">
        <x:v>evidence/products/LC-COMPANION/&lt;release&gt;/decision.json</x:v>
      </x:c>
      <x:c r="M61" s="56" t="str">
        <x:v>scope, eligible user, dependencies, metrics, evidence and approval bind the exact release</x:v>
      </x:c>
      <x:c r="N61" s="56" t="str">
        <x:v>NOT_CHECKED</x:v>
      </x:c>
      <x:c r="O61" s="56"/>
    </x:row>
    <x:row r="62" ht="36" hidden="0" customHeight="1">
      <x:c r="A62" s="56" t="str">
        <x:v>2026-10-20</x:v>
      </x:c>
      <x:c r="B62" s="56" t="str">
        <x:v>REQ-PRODUCT-LC-NUMBERS</x:v>
      </x:c>
      <x:c r="C62" s="56" t="str">
        <x:v>PRODUCT</x:v>
      </x:c>
      <x:c r="D62" s="56" t="str">
        <x:v>Retain LC-NUMBERS in T1 with conditional evidence and kill metrics</x:v>
      </x:c>
      <x:c r="E62" s="56" t="str">
        <x:v>LC-NUMBERS</x:v>
      </x:c>
      <x:c r="F62" s="56" t="str">
        <x:v>UI-05</x:v>
      </x:c>
      <x:c r="G62" s="56" t="str"/>
      <x:c r="H62" s="56" t="str">
        <x:v>Numbers remains a client-side synthetic reference flow until Q3/Q6/Q12 approve a versioned method release and a dedicated server operation contract</x:v>
      </x:c>
      <x:c r="I62" s="56" t="str">
        <x:v>WEB-02
UPG-PRD-002</x:v>
      </x:c>
      <x:c r="J62" s="56" t="str">
        <x:v>PRD-LC-NUMBERS-CONTRACT
PRD-LC-NUMBERS-ELIGIBILITY
PRD-LC-NUMBERS-KILL</x:v>
      </x:c>
      <x:c r="K62" s="56" t="str">
        <x:v>G03
G06
G08</x:v>
      </x:c>
      <x:c r="L62" s="56" t="str">
        <x:v>evidence/products/LC-NUMBERS/&lt;release&gt;/decision.json</x:v>
      </x:c>
      <x:c r="M62" s="56" t="str">
        <x:v>scope, eligible user, dependencies, metrics, evidence and approval bind the exact release</x:v>
      </x:c>
      <x:c r="N62" s="56" t="str">
        <x:v>NOT_CHECKED</x:v>
      </x:c>
      <x:c r="O62" s="56"/>
    </x:row>
    <x:row r="63" ht="72" hidden="0" customHeight="1">
      <x:c r="A63" s="56" t="str">
        <x:v>2026-10-20</x:v>
      </x:c>
      <x:c r="B63" s="56" t="str">
        <x:v>REQ-PRODUCT-LC-EXPERT</x:v>
      </x:c>
      <x:c r="C63" s="56" t="str">
        <x:v>PRODUCT</x:v>
      </x:c>
      <x:c r="D63" s="56" t="str">
        <x:v>Retain LC-EXPERT in T3 with conditional evidence and kill metrics</x:v>
      </x:c>
      <x:c r="E63" s="56" t="str">
        <x:v>LC-EXPERT</x:v>
      </x:c>
      <x:c r="F63" s="56" t="str">
        <x:v>UI-14
UI-30
UI-35
UI-36</x:v>
      </x:c>
      <x:c r="G63" s="56" t="str">
        <x:v>grant
revokeGrant
ticket
cases
caseDetail
review</x:v>
      </x:c>
      <x:c r="H63" s="56"/>
      <x:c r="I63" s="56" t="str">
        <x:v>TRUST-07
COMMERCE-08
ACADEMY-05
REPORT-10
UPG-PRD-002</x:v>
      </x:c>
      <x:c r="J63" s="56" t="str">
        <x:v>PRD-LC-EXPERT-CONTRACT
PRD-LC-EXPERT-ELIGIBILITY
PRD-LC-EXPERT-KILL</x:v>
      </x:c>
      <x:c r="K63" s="56" t="str">
        <x:v>G02
G03
G05
G08
G09
G12</x:v>
      </x:c>
      <x:c r="L63" s="56" t="str">
        <x:v>evidence/products/LC-EXPERT/&lt;release&gt;/decision.json</x:v>
      </x:c>
      <x:c r="M63" s="56" t="str">
        <x:v>scope, eligible user, dependencies, metrics, evidence and approval bind the exact release</x:v>
      </x:c>
      <x:c r="N63" s="56" t="str">
        <x:v>NOT_CHECKED</x:v>
      </x:c>
      <x:c r="O63" s="56"/>
    </x:row>
    <x:row r="64" ht="84" hidden="0" customHeight="1">
      <x:c r="A64" s="56" t="str">
        <x:v>2026-10-20</x:v>
      </x:c>
      <x:c r="B64" s="56" t="str">
        <x:v>REQ-PRODUCT-LC-PRACTICE</x:v>
      </x:c>
      <x:c r="C64" s="56" t="str">
        <x:v>PRODUCT</x:v>
      </x:c>
      <x:c r="D64" s="56" t="str">
        <x:v>Retain LC-PRACTICE in T5 with conditional evidence and kill metrics</x:v>
      </x:c>
      <x:c r="E64" s="56" t="str">
        <x:v>LC-PRACTICE</x:v>
      </x:c>
      <x:c r="F64" s="56" t="str">
        <x:v>UI-35
UI-36</x:v>
      </x:c>
      <x:c r="G64" s="56" t="str">
        <x:v>cases
caseDetail
review</x:v>
      </x:c>
      <x:c r="H64" s="56"/>
      <x:c r="I64" s="56" t="str">
        <x:v>ACADEMY-05
REPORT-10
UPG-PRD-002</x:v>
      </x:c>
      <x:c r="J64" s="56" t="str">
        <x:v>PRD-LC-PRACTICE-CONTRACT
PRD-LC-PRACTICE-ELIGIBILITY
PRD-LC-PRACTICE-KILL</x:v>
      </x:c>
      <x:c r="K64" s="56" t="str">
        <x:v>G02
G03
G05
G06
G08
G10
G12</x:v>
      </x:c>
      <x:c r="L64" s="56" t="str">
        <x:v>evidence/products/LC-PRACTICE/&lt;release&gt;/decision.json</x:v>
      </x:c>
      <x:c r="M64" s="56" t="str">
        <x:v>scope, eligible user, dependencies, metrics, evidence and approval bind the exact release</x:v>
      </x:c>
      <x:c r="N64" s="56" t="str">
        <x:v>NOT_CHECKED</x:v>
      </x:c>
      <x:c r="O64" s="56"/>
    </x:row>
    <x:row r="65" ht="60" hidden="0" customHeight="1">
      <x:c r="A65" s="56" t="str">
        <x:v>2026-10-20</x:v>
      </x:c>
      <x:c r="B65" s="56" t="str">
        <x:v>REQ-PRODUCT-LC-ACADEMY-FOUNDATION</x:v>
      </x:c>
      <x:c r="C65" s="56" t="str">
        <x:v>PRODUCT</x:v>
      </x:c>
      <x:c r="D65" s="56" t="str">
        <x:v>Retain LC-ACADEMY-FOUNDATION in T5 with conditional evidence and kill metrics</x:v>
      </x:c>
      <x:c r="E65" s="56" t="str">
        <x:v>LC-ACADEMY-FOUNDATION</x:v>
      </x:c>
      <x:c r="F65" s="56" t="str">
        <x:v>UI-37
UI-38
UI-39</x:v>
      </x:c>
      <x:c r="G65" s="56" t="str">
        <x:v>courses
assignment
verifyCertificate</x:v>
      </x:c>
      <x:c r="H65" s="56"/>
      <x:c r="I65" s="56" t="str">
        <x:v>ACADEMY-01
ACADEMY-03
ACADEMY-06
UPG-PRD-002</x:v>
      </x:c>
      <x:c r="J65" s="56" t="str">
        <x:v>PRD-LC-ACADEMY-FOUNDATION-CONTRACT
PRD-LC-ACADEMY-FOUNDATION-ELIGIBILITY
PRD-LC-ACADEMY-FOUNDATION-KILL</x:v>
      </x:c>
      <x:c r="K65" s="56" t="str">
        <x:v>G03
G04
G06
G08
G12</x:v>
      </x:c>
      <x:c r="L65" s="56" t="str">
        <x:v>evidence/products/LC-ACADEMY-FOUNDATION/&lt;release&gt;/decision.json</x:v>
      </x:c>
      <x:c r="M65" s="56" t="str">
        <x:v>scope, eligible user, dependencies, metrics, evidence and approval bind the exact release</x:v>
      </x:c>
      <x:c r="N65" s="56" t="str">
        <x:v>NOT_CHECKED</x:v>
      </x:c>
      <x:c r="O65" s="56"/>
    </x:row>
    <x:row r="66" ht="84" hidden="0" customHeight="1">
      <x:c r="A66" s="56" t="str">
        <x:v>2026-10-20</x:v>
      </x:c>
      <x:c r="B66" s="56" t="str">
        <x:v>REQ-PRODUCT-LC-ACADEMY-PRO</x:v>
      </x:c>
      <x:c r="C66" s="56" t="str">
        <x:v>PRODUCT</x:v>
      </x:c>
      <x:c r="D66" s="56" t="str">
        <x:v>Retain LC-ACADEMY-PRO in T6 with conditional evidence and kill metrics</x:v>
      </x:c>
      <x:c r="E66" s="56" t="str">
        <x:v>LC-ACADEMY-PRO</x:v>
      </x:c>
      <x:c r="F66" s="56" t="str">
        <x:v>UI-35
UI-36
UI-37
UI-38
UI-39</x:v>
      </x:c>
      <x:c r="G66" s="56" t="str">
        <x:v>cases
caseDetail
review
courses
assignment
verifyCertificate</x:v>
      </x:c>
      <x:c r="H66" s="56"/>
      <x:c r="I66" s="56" t="str">
        <x:v>ACADEMY-05
REPORT-10
ACADEMY-01
ACADEMY-03
ACADEMY-06
UPG-PRD-002</x:v>
      </x:c>
      <x:c r="J66" s="56" t="str">
        <x:v>PRD-LC-ACADEMY-PRO-CONTRACT
PRD-LC-ACADEMY-PRO-ELIGIBILITY
PRD-LC-ACADEMY-PRO-KILL</x:v>
      </x:c>
      <x:c r="K66" s="56" t="str">
        <x:v>G02
G03
G04
G05
G06
G08
G12</x:v>
      </x:c>
      <x:c r="L66" s="56" t="str">
        <x:v>evidence/products/LC-ACADEMY-PRO/&lt;release&gt;/decision.json</x:v>
      </x:c>
      <x:c r="M66" s="56" t="str">
        <x:v>scope, eligible user, dependencies, metrics, evidence and approval bind the exact release</x:v>
      </x:c>
      <x:c r="N66" s="56" t="str">
        <x:v>NOT_CHECKED</x:v>
      </x:c>
      <x:c r="O66" s="56"/>
    </x:row>
    <x:row r="67" ht="60" hidden="0" customHeight="1">
      <x:c r="A67" s="56" t="str">
        <x:v>2026-10-20</x:v>
      </x:c>
      <x:c r="B67" s="56" t="str">
        <x:v>REQ-PRODUCT-LC-ACADEMY-TRAINER</x:v>
      </x:c>
      <x:c r="C67" s="56" t="str">
        <x:v>PRODUCT</x:v>
      </x:c>
      <x:c r="D67" s="56" t="str">
        <x:v>Retain LC-ACADEMY-TRAINER in T6 with conditional evidence and kill metrics</x:v>
      </x:c>
      <x:c r="E67" s="56" t="str">
        <x:v>LC-ACADEMY-TRAINER</x:v>
      </x:c>
      <x:c r="F67" s="56" t="str">
        <x:v>UI-37
UI-38
UI-39
UI-42</x:v>
      </x:c>
      <x:c r="G67" s="56" t="str">
        <x:v>courses
assignment
verifyCertificate
methodReleaseDraft</x:v>
      </x:c>
      <x:c r="H67" s="56"/>
      <x:c r="I67" s="56" t="str">
        <x:v>ACADEMY-01
ACADEMY-03
ACADEMY-06
METHOD-10
UPG-PRD-002</x:v>
      </x:c>
      <x:c r="J67" s="56" t="str">
        <x:v>PRD-LC-ACADEMY-TRAINER-CONTRACT
PRD-LC-ACADEMY-TRAINER-ELIGIBILITY
PRD-LC-ACADEMY-TRAINER-KILL</x:v>
      </x:c>
      <x:c r="K67" s="56" t="str">
        <x:v>G03
G04
G06
G08
G12</x:v>
      </x:c>
      <x:c r="L67" s="56" t="str">
        <x:v>evidence/products/LC-ACADEMY-TRAINER/&lt;release&gt;/decision.json</x:v>
      </x:c>
      <x:c r="M67" s="56" t="str">
        <x:v>scope, eligible user, dependencies, metrics, evidence and approval bind the exact release</x:v>
      </x:c>
      <x:c r="N67" s="56" t="str">
        <x:v>NOT_CHECKED</x:v>
      </x:c>
      <x:c r="O67" s="56"/>
    </x:row>
    <x:row r="68" ht="72" hidden="0" customHeight="1">
      <x:c r="A68" s="56" t="str">
        <x:v>2026-10-20</x:v>
      </x:c>
      <x:c r="B68" s="56" t="str">
        <x:v>REQ-PRODUCT-LC-FAMILY</x:v>
      </x:c>
      <x:c r="C68" s="56" t="str">
        <x:v>PRODUCT</x:v>
      </x:c>
      <x:c r="D68" s="56" t="str">
        <x:v>Retain LC-FAMILY in T6 with conditional evidence and kill metrics</x:v>
      </x:c>
      <x:c r="E68" s="56" t="str">
        <x:v>LC-FAMILY</x:v>
      </x:c>
      <x:c r="F68" s="56" t="str">
        <x:v>UI-13
UI-14
UI-34</x:v>
      </x:c>
      <x:c r="G68" s="56" t="str">
        <x:v>subjects
consents
consentDecision
grants
grant
revokeGrant</x:v>
      </x:c>
      <x:c r="H68" s="56"/>
      <x:c r="I68" s="56" t="str">
        <x:v>TRUST-08
TRUST-07
EXPAND-05
UPG-PRD-002</x:v>
      </x:c>
      <x:c r="J68" s="56" t="str">
        <x:v>PRD-LC-FAMILY-CONTRACT
PRD-LC-FAMILY-ELIGIBILITY
PRD-LC-FAMILY-KILL</x:v>
      </x:c>
      <x:c r="K68" s="56" t="str">
        <x:v>G02
G03
G04
G05
G08
G12</x:v>
      </x:c>
      <x:c r="L68" s="56" t="str">
        <x:v>evidence/products/LC-FAMILY/&lt;release&gt;/decision.json</x:v>
      </x:c>
      <x:c r="M68" s="56" t="str">
        <x:v>scope, eligible user, dependencies, metrics, evidence and approval bind the exact release</x:v>
      </x:c>
      <x:c r="N68" s="56" t="str">
        <x:v>NOT_CHECKED</x:v>
      </x:c>
      <x:c r="O68" s="56"/>
    </x:row>
    <x:row r="69" ht="96" hidden="0" customHeight="1">
      <x:c r="A69" s="56" t="str">
        <x:v>2026-10-20</x:v>
      </x:c>
      <x:c r="B69" s="56" t="str">
        <x:v>REQ-PRODUCT-LC-ORG</x:v>
      </x:c>
      <x:c r="C69" s="56" t="str">
        <x:v>PRODUCT</x:v>
      </x:c>
      <x:c r="D69" s="56" t="str">
        <x:v>Retain LC-ORG in T7 with conditional evidence and kill metrics</x:v>
      </x:c>
      <x:c r="E69" s="56" t="str">
        <x:v>LC-ORG</x:v>
      </x:c>
      <x:c r="F69" s="56" t="str">
        <x:v>UI-40</x:v>
      </x:c>
      <x:c r="G69" s="56" t="str">
        <x:v>organizationOverview</x:v>
      </x:c>
      <x:c r="H69" s="56"/>
      <x:c r="I69" s="56" t="str">
        <x:v>EXPAND-08
UPG-PRD-002</x:v>
      </x:c>
      <x:c r="J69" s="56" t="str">
        <x:v>PRD-LC-ORG-CONTRACT
PRD-LC-ORG-ELIGIBILITY
PRD-LC-ORG-KILL</x:v>
      </x:c>
      <x:c r="K69" s="56" t="str">
        <x:v>G02
G03
G04
G05
G08
G09
G10
G12</x:v>
      </x:c>
      <x:c r="L69" s="56" t="str">
        <x:v>evidence/products/LC-ORG/&lt;release&gt;/decision.json</x:v>
      </x:c>
      <x:c r="M69" s="56" t="str">
        <x:v>scope, eligible user, dependencies, metrics, evidence and approval bind the exact release</x:v>
      </x:c>
      <x:c r="N69" s="56" t="str">
        <x:v>NOT_CHECKED</x:v>
      </x:c>
      <x:c r="O69" s="56"/>
    </x:row>
    <x:row r="70" ht="768" hidden="0" customHeight="1">
      <x:c r="A70" s="56" t="str">
        <x:v>2026-10-20</x:v>
      </x:c>
      <x:c r="B70" s="56" t="str">
        <x:v>REQ-PRODUCT-LC-API</x:v>
      </x:c>
      <x:c r="C70" s="56" t="str">
        <x:v>PRODUCT</x:v>
      </x:c>
      <x:c r="D70" s="56" t="str">
        <x:v>Retain LC-API in T7 with conditional evidence and kill metrics</x:v>
      </x:c>
      <x:c r="E70" s="56" t="str">
        <x:v>LC-API</x:v>
      </x:c>
      <x:c r="F70" s="56" t="str"/>
      <x:c r="G70" s="56" t="str">
        <x:v>health
catalog
methods
methodDetail
login
authCallback
logout
subjects
createSubject
subject
overview
newProfileVersion
profileVersion
newHypothesis
consents
consentDecision
grants
grant
revokeGrant
observations
observation
questionnaireResponse
createPlan
plans
checkin
timeline
analyze
analysisStatus
cancelAnalysis
analysisResults
methodResult
createReport
reports
report
reportRevisions
review
publish
exportReport
downloadArtifact
order
orderStatus
checkout
requestRefund
paymentWebhook
entitlements
ticket
ticketStatus
privacyExport
deleteSubject
deletionStatus
jobStatus
newAutomation
stopAutomation
cases
caseDetail
courses
assignment
verifyCertificate
organizationOverview
partner
methodReleaseDraft
countryPackReview
quality
operations</x:v>
      </x:c>
      <x:c r="H70" s="56"/>
      <x:c r="I70" s="56" t="str">
        <x:v>UPG-PRD-002</x:v>
      </x:c>
      <x:c r="J70" s="56" t="str">
        <x:v>PRD-LC-API-CONTRACT
PRD-LC-API-ELIGIBILITY
PRD-LC-API-KILL</x:v>
      </x:c>
      <x:c r="K70" s="56" t="str">
        <x:v>G01
G02
G03
G05
G06
G09
G10
G11
G12</x:v>
      </x:c>
      <x:c r="L70" s="56" t="str">
        <x:v>evidence/products/LC-API/&lt;release&gt;/decision.json</x:v>
      </x:c>
      <x:c r="M70" s="56" t="str">
        <x:v>scope, eligible user, dependencies, metrics, evidence and approval bind the exact release</x:v>
      </x:c>
      <x:c r="N70" s="56" t="str">
        <x:v>NOT_CHECKED</x:v>
      </x:c>
      <x:c r="O70" s="56" t="str">
        <x:v>The licensed API product is a server integration surface and has no dedicated end-user screen in this package</x:v>
      </x:c>
    </x:row>
    <x:row r="71" ht="84" hidden="0" customHeight="1">
      <x:c r="A71" s="56" t="str">
        <x:v>2026-10-20</x:v>
      </x:c>
      <x:c r="B71" s="56" t="str">
        <x:v>REQ-PRODUCT-LC-PUBLISH</x:v>
      </x:c>
      <x:c r="C71" s="56" t="str">
        <x:v>PRODUCT</x:v>
      </x:c>
      <x:c r="D71" s="56" t="str">
        <x:v>Retain LC-PUBLISH in T3 with conditional evidence and kill metrics</x:v>
      </x:c>
      <x:c r="E71" s="56" t="str">
        <x:v>LC-PUBLISH</x:v>
      </x:c>
      <x:c r="F71" s="56" t="str">
        <x:v>UI-23
UI-24
UI-25
UI-26</x:v>
      </x:c>
      <x:c r="G71" s="56" t="str">
        <x:v>reports
report
reportRevisions
review
publish
exportReport
downloadArtifact</x:v>
      </x:c>
      <x:c r="H71" s="56"/>
      <x:c r="I71" s="56" t="str">
        <x:v>WEB-08
REPORT-05
REPORT-09
REPORT-06
UPG-PRD-002</x:v>
      </x:c>
      <x:c r="J71" s="56" t="str">
        <x:v>PRD-LC-PUBLISH-CONTRACT
PRD-LC-PUBLISH-ELIGIBILITY
PRD-LC-PUBLISH-KILL</x:v>
      </x:c>
      <x:c r="K71" s="56" t="str">
        <x:v>G02
G03
G04
G06
G08
G10
G12</x:v>
      </x:c>
      <x:c r="L71" s="56" t="str">
        <x:v>evidence/products/LC-PUBLISH/&lt;release&gt;/decision.json</x:v>
      </x:c>
      <x:c r="M71" s="56" t="str">
        <x:v>scope, eligible user, dependencies, metrics, evidence and approval bind the exact release</x:v>
      </x:c>
      <x:c r="N71" s="56" t="str">
        <x:v>NOT_CHECKED</x:v>
      </x:c>
      <x:c r="O71" s="56"/>
    </x:row>
    <x:row r="72" ht="132" hidden="0" customHeight="1">
      <x:c r="A72" s="56" t="str">
        <x:v>2026-10-20</x:v>
      </x:c>
      <x:c r="B72" s="56" t="str">
        <x:v>REQ-PRODUCT-LC-REGIONAL</x:v>
      </x:c>
      <x:c r="C72" s="56" t="str">
        <x:v>PRODUCT</x:v>
      </x:c>
      <x:c r="D72" s="56" t="str">
        <x:v>Retain LC-REGIONAL in T8 with conditional evidence and kill metrics</x:v>
      </x:c>
      <x:c r="E72" s="56" t="str">
        <x:v>LC-REGIONAL</x:v>
      </x:c>
      <x:c r="F72" s="56" t="str">
        <x:v>UI-41
UI-45</x:v>
      </x:c>
      <x:c r="G72" s="56" t="str">
        <x:v>partner
countryPackReview</x:v>
      </x:c>
      <x:c r="H72" s="56"/>
      <x:c r="I72" s="56" t="str">
        <x:v>GLOBAL-05
GLOBAL-01
UPG-PRD-002</x:v>
      </x:c>
      <x:c r="J72" s="56" t="str">
        <x:v>PRD-LC-REGIONAL-CONTRACT
PRD-LC-REGIONAL-ELIGIBILITY
PRD-LC-REGIONAL-KILL</x:v>
      </x:c>
      <x:c r="K72" s="56" t="str">
        <x:v>G01
G02
G03
G04
G05
G06
G08
G09
G10
G11
G12</x:v>
      </x:c>
      <x:c r="L72" s="56" t="str">
        <x:v>evidence/products/LC-REGIONAL/&lt;release&gt;/decision.json</x:v>
      </x:c>
      <x:c r="M72" s="56" t="str">
        <x:v>scope, eligible user, dependencies, metrics, evidence and approval bind the exact release</x:v>
      </x:c>
      <x:c r="N72" s="56" t="str">
        <x:v>NOT_CHECKED</x:v>
      </x:c>
      <x:c r="O72" s="56"/>
    </x:row>
    <x:row r="73" ht="108" hidden="0" customHeight="1">
      <x:c r="A73" s="56" t="str">
        <x:v>2026-10-20</x:v>
      </x:c>
      <x:c r="B73" s="56" t="str">
        <x:v>REQ-REPORT-L1</x:v>
      </x:c>
      <x:c r="C73" s="56" t="str">
        <x:v>REPORT_LEVEL</x:v>
      </x:c>
      <x:c r="D73" s="56" t="str">
        <x:v>Level 1 follows differentiated typed input, AI, review and rejection contract</x:v>
      </x:c>
      <x:c r="E73" s="56" t="str">
        <x:v>LC-L1</x:v>
      </x:c>
      <x:c r="F73" s="56" t="str">
        <x:v>UI-23
UI-24
UI-25
UI-26
UI-36</x:v>
      </x:c>
      <x:c r="G73" s="56" t="str">
        <x:v>reports
report
reportRevisions
review
exportReport
downloadArtifact</x:v>
      </x:c>
      <x:c r="H73" s="56"/>
      <x:c r="I73" s="56" t="str">
        <x:v>REPORT-02
REPORT-05
REPORT-06
REPORT-07
REPORT-08
REPORT-09
REPORT-10
UPG-AI-001
UPG-AI-002</x:v>
      </x:c>
      <x:c r="J73" s="56" t="str">
        <x:v>EVAL-FX-RPT-L1-GOLDEN
EVAL-FX-RPT-L1-NULL
EVAL-FX-RPT-L1-CONFLICT
EVAL-FX-RPT-L1-UNAUTHORIZED
EVAL-FX-RPT-L1-INJECTION
EVAL-FX-RPT-L1-CORRECTION</x:v>
      </x:c>
      <x:c r="K73" s="56" t="str">
        <x:v>G02
G03
G05
G06
G08
G10
G12</x:v>
      </x:c>
      <x:c r="L73" s="56" t="str">
        <x:v>evidence/reports/L1/&lt;template-version&gt;/&lt;sha&gt;/receipt.json</x:v>
      </x:c>
      <x:c r="M73" s="56" t="str">
        <x:v>typed claims retain lineage; prohibited inference rejected; human/release authority recorded</x:v>
      </x:c>
      <x:c r="N73" s="56" t="str">
        <x:v>NOT_CHECKED</x:v>
      </x:c>
      <x:c r="O73" s="56"/>
    </x:row>
    <x:row r="74" ht="108" hidden="0" customHeight="1">
      <x:c r="A74" s="56" t="str">
        <x:v>2026-10-20</x:v>
      </x:c>
      <x:c r="B74" s="56" t="str">
        <x:v>REQ-REPORT-L2</x:v>
      </x:c>
      <x:c r="C74" s="56" t="str">
        <x:v>REPORT_LEVEL</x:v>
      </x:c>
      <x:c r="D74" s="56" t="str">
        <x:v>Level 2 follows differentiated typed input, AI, review and rejection contract</x:v>
      </x:c>
      <x:c r="E74" s="56" t="str">
        <x:v>LC-L2</x:v>
      </x:c>
      <x:c r="F74" s="56" t="str">
        <x:v>UI-23
UI-24
UI-25
UI-26
UI-36</x:v>
      </x:c>
      <x:c r="G74" s="56" t="str">
        <x:v>reports
report
reportRevisions
review
exportReport
downloadArtifact</x:v>
      </x:c>
      <x:c r="H74" s="56"/>
      <x:c r="I74" s="56" t="str">
        <x:v>REPORT-03
REPORT-05
REPORT-06
REPORT-07
REPORT-08
REPORT-09
REPORT-10
UPG-AI-001
UPG-AI-002</x:v>
      </x:c>
      <x:c r="J74" s="56" t="str">
        <x:v>EVAL-FX-RPT-L2-GOLDEN
EVAL-FX-RPT-L2-NULL
EVAL-FX-RPT-L2-CONFLICT
EVAL-FX-RPT-L2-UNAUTHORIZED
EVAL-FX-RPT-L2-INJECTION
EVAL-FX-RPT-L2-CORRECTION</x:v>
      </x:c>
      <x:c r="K74" s="56" t="str">
        <x:v>G02
G03
G05
G06
G08
G10
G12</x:v>
      </x:c>
      <x:c r="L74" s="56" t="str">
        <x:v>evidence/reports/L2/&lt;template-version&gt;/&lt;sha&gt;/receipt.json</x:v>
      </x:c>
      <x:c r="M74" s="56" t="str">
        <x:v>typed claims retain lineage; prohibited inference rejected; human/release authority recorded</x:v>
      </x:c>
      <x:c r="N74" s="56" t="str">
        <x:v>NOT_CHECKED</x:v>
      </x:c>
      <x:c r="O74" s="56"/>
    </x:row>
    <x:row r="75" ht="108" hidden="0" customHeight="1">
      <x:c r="A75" s="56" t="str">
        <x:v>2026-10-20</x:v>
      </x:c>
      <x:c r="B75" s="56" t="str">
        <x:v>REQ-REPORT-L3</x:v>
      </x:c>
      <x:c r="C75" s="56" t="str">
        <x:v>REPORT_LEVEL</x:v>
      </x:c>
      <x:c r="D75" s="56" t="str">
        <x:v>Level 3 follows differentiated typed input, AI, review and rejection contract</x:v>
      </x:c>
      <x:c r="E75" s="56" t="str">
        <x:v>LC-L3</x:v>
      </x:c>
      <x:c r="F75" s="56" t="str">
        <x:v>UI-23
UI-24
UI-25
UI-26
UI-36</x:v>
      </x:c>
      <x:c r="G75" s="56" t="str">
        <x:v>reports
report
reportRevisions
review
exportReport
downloadArtifact</x:v>
      </x:c>
      <x:c r="H75" s="56"/>
      <x:c r="I75" s="56" t="str">
        <x:v>REPORT-03
REPORT-05
REPORT-06
REPORT-07
REPORT-08
REPORT-09
REPORT-10
UPG-AI-001
UPG-AI-002</x:v>
      </x:c>
      <x:c r="J75" s="56" t="str">
        <x:v>EVAL-FX-RPT-L3-GOLDEN
EVAL-FX-RPT-L3-NULL
EVAL-FX-RPT-L3-CONFLICT
EVAL-FX-RPT-L3-UNAUTHORIZED
EVAL-FX-RPT-L3-INJECTION
EVAL-FX-RPT-L3-CORRECTION</x:v>
      </x:c>
      <x:c r="K75" s="56" t="str">
        <x:v>G02
G03
G05
G06
G08
G10
G12</x:v>
      </x:c>
      <x:c r="L75" s="56" t="str">
        <x:v>evidence/reports/L3/&lt;template-version&gt;/&lt;sha&gt;/receipt.json</x:v>
      </x:c>
      <x:c r="M75" s="56" t="str">
        <x:v>typed claims retain lineage; prohibited inference rejected; human/release authority recorded</x:v>
      </x:c>
      <x:c r="N75" s="56" t="str">
        <x:v>NOT_CHECKED</x:v>
      </x:c>
      <x:c r="O75" s="56"/>
    </x:row>
    <x:row r="76" ht="108" hidden="0" customHeight="1">
      <x:c r="A76" s="56" t="str">
        <x:v>2026-10-20</x:v>
      </x:c>
      <x:c r="B76" s="56" t="str">
        <x:v>REQ-REPORT-L4</x:v>
      </x:c>
      <x:c r="C76" s="56" t="str">
        <x:v>REPORT_LEVEL</x:v>
      </x:c>
      <x:c r="D76" s="56" t="str">
        <x:v>Level 4 follows differentiated typed input, AI, review and rejection contract</x:v>
      </x:c>
      <x:c r="E76" s="56" t="str">
        <x:v>LC-L4</x:v>
      </x:c>
      <x:c r="F76" s="56" t="str">
        <x:v>UI-23
UI-24
UI-25
UI-26
UI-36</x:v>
      </x:c>
      <x:c r="G76" s="56" t="str">
        <x:v>reports
report
reportRevisions
review
exportReport
downloadArtifact</x:v>
      </x:c>
      <x:c r="H76" s="56"/>
      <x:c r="I76" s="56" t="str">
        <x:v>REPORT-03
REPORT-05
REPORT-06
REPORT-07
REPORT-08
REPORT-09
REPORT-10
UPG-AI-001
UPG-AI-002</x:v>
      </x:c>
      <x:c r="J76" s="56" t="str">
        <x:v>EVAL-FX-RPT-L4-GOLDEN
EVAL-FX-RPT-L4-NULL
EVAL-FX-RPT-L4-CONFLICT
EVAL-FX-RPT-L4-UNAUTHORIZED
EVAL-FX-RPT-L4-INJECTION
EVAL-FX-RPT-L4-CORRECTION</x:v>
      </x:c>
      <x:c r="K76" s="56" t="str">
        <x:v>G02
G03
G05
G06
G08
G10
G12</x:v>
      </x:c>
      <x:c r="L76" s="56" t="str">
        <x:v>evidence/reports/L4/&lt;template-version&gt;/&lt;sha&gt;/receipt.json</x:v>
      </x:c>
      <x:c r="M76" s="56" t="str">
        <x:v>typed claims retain lineage; prohibited inference rejected; human/release authority recorded</x:v>
      </x:c>
      <x:c r="N76" s="56" t="str">
        <x:v>NOT_CHECKED</x:v>
      </x:c>
      <x:c r="O76" s="56"/>
    </x:row>
    <x:row r="77" ht="108" hidden="0" customHeight="1">
      <x:c r="A77" s="56" t="str">
        <x:v>2026-10-20</x:v>
      </x:c>
      <x:c r="B77" s="56" t="str">
        <x:v>REQ-REPORT-L5</x:v>
      </x:c>
      <x:c r="C77" s="56" t="str">
        <x:v>REPORT_LEVEL</x:v>
      </x:c>
      <x:c r="D77" s="56" t="str">
        <x:v>Level 5 follows differentiated typed input, AI, review and rejection contract</x:v>
      </x:c>
      <x:c r="E77" s="56" t="str">
        <x:v>LC-L5</x:v>
      </x:c>
      <x:c r="F77" s="56" t="str">
        <x:v>UI-23
UI-24
UI-25
UI-26
UI-36</x:v>
      </x:c>
      <x:c r="G77" s="56" t="str">
        <x:v>reports
report
reportRevisions
review
exportReport
downloadArtifact</x:v>
      </x:c>
      <x:c r="H77" s="56"/>
      <x:c r="I77" s="56" t="str">
        <x:v>REPORT-03
REPORT-05
REPORT-06
REPORT-07
REPORT-08
REPORT-09
REPORT-10
UPG-AI-001
UPG-AI-002</x:v>
      </x:c>
      <x:c r="J77" s="56" t="str">
        <x:v>EVAL-FX-RPT-L5-GOLDEN
EVAL-FX-RPT-L5-NULL
EVAL-FX-RPT-L5-CONFLICT
EVAL-FX-RPT-L5-UNAUTHORIZED
EVAL-FX-RPT-L5-INJECTION
EVAL-FX-RPT-L5-CORRECTION</x:v>
      </x:c>
      <x:c r="K77" s="56" t="str">
        <x:v>G02
G03
G05
G06
G08
G10
G12</x:v>
      </x:c>
      <x:c r="L77" s="56" t="str">
        <x:v>evidence/reports/L5/&lt;template-version&gt;/&lt;sha&gt;/receipt.json</x:v>
      </x:c>
      <x:c r="M77" s="56" t="str">
        <x:v>typed claims retain lineage; prohibited inference rejected; human/release authority recorded</x:v>
      </x:c>
      <x:c r="N77" s="56" t="str">
        <x:v>NOT_CHECKED</x:v>
      </x:c>
      <x:c r="O77" s="56"/>
    </x:row>
    <x:row r="78" ht="108" hidden="0" customHeight="1">
      <x:c r="A78" s="56" t="str">
        <x:v>2026-10-20</x:v>
      </x:c>
      <x:c r="B78" s="56" t="str">
        <x:v>REQ-REPORT-L6</x:v>
      </x:c>
      <x:c r="C78" s="56" t="str">
        <x:v>REPORT_LEVEL</x:v>
      </x:c>
      <x:c r="D78" s="56" t="str">
        <x:v>Level 6 follows differentiated typed input, AI, review and rejection contract</x:v>
      </x:c>
      <x:c r="E78" s="56" t="str">
        <x:v>LC-L6</x:v>
      </x:c>
      <x:c r="F78" s="56" t="str">
        <x:v>UI-23
UI-24
UI-25
UI-26
UI-36</x:v>
      </x:c>
      <x:c r="G78" s="56" t="str">
        <x:v>reports
report
reportRevisions
review
exportReport
downloadArtifact</x:v>
      </x:c>
      <x:c r="H78" s="56"/>
      <x:c r="I78" s="56" t="str">
        <x:v>REPORT-04
REPORT-05
REPORT-06
REPORT-07
REPORT-08
REPORT-09
REPORT-10
UPG-AI-001
UPG-AI-002</x:v>
      </x:c>
      <x:c r="J78" s="56" t="str">
        <x:v>EVAL-FX-RPT-L6-GOLDEN
EVAL-FX-RPT-L6-NULL
EVAL-FX-RPT-L6-CONFLICT
EVAL-FX-RPT-L6-UNAUTHORIZED
EVAL-FX-RPT-L6-INJECTION
EVAL-FX-RPT-L6-CORRECTION</x:v>
      </x:c>
      <x:c r="K78" s="56" t="str">
        <x:v>G02
G03
G05
G06
G08
G10
G12</x:v>
      </x:c>
      <x:c r="L78" s="56" t="str">
        <x:v>evidence/reports/L6/&lt;template-version&gt;/&lt;sha&gt;/receipt.json</x:v>
      </x:c>
      <x:c r="M78" s="56" t="str">
        <x:v>typed claims retain lineage; prohibited inference rejected; human/release authority recorded</x:v>
      </x:c>
      <x:c r="N78" s="56" t="str">
        <x:v>NOT_CHECKED</x:v>
      </x:c>
      <x:c r="O78" s="56"/>
    </x:row>
    <x:row r="79" ht="108" hidden="0" customHeight="1">
      <x:c r="A79" s="56" t="str">
        <x:v>2026-10-20</x:v>
      </x:c>
      <x:c r="B79" s="56" t="str">
        <x:v>REQ-REPORT-L7</x:v>
      </x:c>
      <x:c r="C79" s="56" t="str">
        <x:v>REPORT_LEVEL</x:v>
      </x:c>
      <x:c r="D79" s="56" t="str">
        <x:v>Level 7 follows differentiated typed input, AI, review and rejection contract</x:v>
      </x:c>
      <x:c r="E79" s="56" t="str">
        <x:v>LC-L7</x:v>
      </x:c>
      <x:c r="F79" s="56" t="str">
        <x:v>UI-23
UI-24
UI-25
UI-26
UI-36</x:v>
      </x:c>
      <x:c r="G79" s="56" t="str">
        <x:v>reports
report
reportRevisions
review
exportReport
downloadArtifact</x:v>
      </x:c>
      <x:c r="H79" s="56"/>
      <x:c r="I79" s="56" t="str">
        <x:v>REPORT-04
REPORT-05
REPORT-06
REPORT-07
REPORT-08
REPORT-09
REPORT-10
UPG-AI-001
UPG-AI-002</x:v>
      </x:c>
      <x:c r="J79" s="56" t="str">
        <x:v>EVAL-FX-RPT-L7-GOLDEN
EVAL-FX-RPT-L7-NULL
EVAL-FX-RPT-L7-CONFLICT
EVAL-FX-RPT-L7-UNAUTHORIZED
EVAL-FX-RPT-L7-INJECTION
EVAL-FX-RPT-L7-CORRECTION</x:v>
      </x:c>
      <x:c r="K79" s="56" t="str">
        <x:v>G02
G03
G05
G06
G08
G10
G12</x:v>
      </x:c>
      <x:c r="L79" s="56" t="str">
        <x:v>evidence/reports/L7/&lt;template-version&gt;/&lt;sha&gt;/receipt.json</x:v>
      </x:c>
      <x:c r="M79" s="56" t="str">
        <x:v>typed claims retain lineage; prohibited inference rejected; human/release authority recorded</x:v>
      </x:c>
      <x:c r="N79" s="56" t="str">
        <x:v>NOT_CHECKED</x:v>
      </x:c>
      <x:c r="O79" s="56"/>
    </x:row>
    <x:row r="80" ht="108" hidden="0" customHeight="1">
      <x:c r="A80" s="56" t="str">
        <x:v>2026-10-20</x:v>
      </x:c>
      <x:c r="B80" s="56" t="str">
        <x:v>REQ-REPORT-L8</x:v>
      </x:c>
      <x:c r="C80" s="56" t="str">
        <x:v>REPORT_LEVEL</x:v>
      </x:c>
      <x:c r="D80" s="56" t="str">
        <x:v>Level 8 follows differentiated typed input, AI, review and rejection contract</x:v>
      </x:c>
      <x:c r="E80" s="56" t="str">
        <x:v>LC-L8</x:v>
      </x:c>
      <x:c r="F80" s="56" t="str">
        <x:v>UI-23
UI-24
UI-25
UI-26
UI-36</x:v>
      </x:c>
      <x:c r="G80" s="56" t="str">
        <x:v>reports
report
reportRevisions
review
exportReport
downloadArtifact</x:v>
      </x:c>
      <x:c r="H80" s="56"/>
      <x:c r="I80" s="56" t="str">
        <x:v>REPORT-04
REPORT-05
REPORT-06
REPORT-07
REPORT-08
REPORT-09
REPORT-10
UPG-AI-001
UPG-AI-002</x:v>
      </x:c>
      <x:c r="J80" s="56" t="str">
        <x:v>EVAL-FX-RPT-L8-GOLDEN
EVAL-FX-RPT-L8-NULL
EVAL-FX-RPT-L8-CONFLICT
EVAL-FX-RPT-L8-UNAUTHORIZED
EVAL-FX-RPT-L8-INJECTION
EVAL-FX-RPT-L8-CORRECTION</x:v>
      </x:c>
      <x:c r="K80" s="56" t="str">
        <x:v>G02
G03
G05
G06
G08
G10
G12</x:v>
      </x:c>
      <x:c r="L80" s="56" t="str">
        <x:v>evidence/reports/L8/&lt;template-version&gt;/&lt;sha&gt;/receipt.json</x:v>
      </x:c>
      <x:c r="M80" s="56" t="str">
        <x:v>typed claims retain lineage; prohibited inference rejected; human/release authority recorded</x:v>
      </x:c>
      <x:c r="N80" s="56" t="str">
        <x:v>NOT_CHECKED</x:v>
      </x:c>
      <x:c r="O80" s="56"/>
    </x:row>
    <x:row r="81" ht="108" hidden="0" customHeight="1">
      <x:c r="A81" s="56" t="str">
        <x:v>2026-10-20</x:v>
      </x:c>
      <x:c r="B81" s="56" t="str">
        <x:v>REQ-REPORT-L9</x:v>
      </x:c>
      <x:c r="C81" s="56" t="str">
        <x:v>REPORT_LEVEL</x:v>
      </x:c>
      <x:c r="D81" s="56" t="str">
        <x:v>Level 9 follows differentiated typed input, AI, review and rejection contract</x:v>
      </x:c>
      <x:c r="E81" s="56" t="str">
        <x:v>LC-L9</x:v>
      </x:c>
      <x:c r="F81" s="56" t="str">
        <x:v>UI-23
UI-24
UI-25
UI-26
UI-36</x:v>
      </x:c>
      <x:c r="G81" s="56" t="str">
        <x:v>reports
report
reportRevisions
review
exportReport
downloadArtifact</x:v>
      </x:c>
      <x:c r="H81" s="56"/>
      <x:c r="I81" s="56" t="str">
        <x:v>REPORT-04
REPORT-05
REPORT-06
REPORT-07
REPORT-08
REPORT-09
REPORT-10
UPG-AI-001
UPG-AI-002</x:v>
      </x:c>
      <x:c r="J81" s="56" t="str">
        <x:v>EVAL-FX-RPT-L9-GOLDEN
EVAL-FX-RPT-L9-NULL
EVAL-FX-RPT-L9-CONFLICT
EVAL-FX-RPT-L9-UNAUTHORIZED
EVAL-FX-RPT-L9-INJECTION
EVAL-FX-RPT-L9-CORRECTION</x:v>
      </x:c>
      <x:c r="K81" s="56" t="str">
        <x:v>G02
G03
G05
G06
G08
G10
G12</x:v>
      </x:c>
      <x:c r="L81" s="56" t="str">
        <x:v>evidence/reports/L9/&lt;template-version&gt;/&lt;sha&gt;/receipt.json</x:v>
      </x:c>
      <x:c r="M81" s="56" t="str">
        <x:v>typed claims retain lineage; prohibited inference rejected; human/release authority recorded</x:v>
      </x:c>
      <x:c r="N81" s="56" t="str">
        <x:v>NOT_CHECKED</x:v>
      </x:c>
      <x:c r="O81" s="56"/>
    </x:row>
    <x:row r="82" ht="540" hidden="0" customHeight="1">
      <x:c r="A82" s="56" t="str">
        <x:v>2026-10-20</x:v>
      </x:c>
      <x:c r="B82" s="56" t="str">
        <x:v>REQ-X-PWA</x:v>
      </x:c>
      <x:c r="C82" s="56" t="str">
        <x:v>PWA</x:v>
      </x:c>
      <x:c r="D82" s="56" t="str">
        <x:v>Install is optional; manifest scope/update/cache/offline behavior is explicit</x:v>
      </x:c>
      <x:c r="E82" s="56" t="str">
        <x:v>LC-GUEST
LC-FREE</x:v>
      </x:c>
      <x:c r="F82" s="56" t="str">
        <x:v>UI-01
UI-02
UI-03
UI-04
UI-05
UI-06
UI-07
UI-08
UI-09
UI-10
UI-11
UI-12
UI-13
UI-14
UI-15
UI-16
UI-17
UI-18
UI-19
UI-20
UI-21
UI-22
UI-23
UI-24
UI-25
UI-26
UI-27
UI-28
UI-29
UI-30
UI-31
UI-32
UI-33
UI-34
UI-35
UI-36
UI-37
UI-38
UI-39
UI-40
UI-41
UI-42
UI-43
UI-44
UI-45</x:v>
      </x:c>
      <x:c r="G82" s="56" t="str"/>
      <x:c r="H82" s="56" t="str">
        <x:v>policy/research requirement without direct API operation</x:v>
      </x:c>
      <x:c r="I82" s="56" t="str">
        <x:v>UPG-UX-001
UPG-UX-003</x:v>
      </x:c>
      <x:c r="J82" s="56" t="str">
        <x:v>PWA-MANIFEST
PWA-SW-UPDATE
PWA-CACHE-PRIVACY
PWA-OFFLINE</x:v>
      </x:c>
      <x:c r="K82" s="56" t="str">
        <x:v>G03
G08
G10
G12</x:v>
      </x:c>
      <x:c r="L82" s="56" t="str">
        <x:v>evidence/requirements/REQ-X-PWA/&lt;sha&gt;/receipt.json</x:v>
      </x:c>
      <x:c r="M82" s="56" t="str">
        <x:v>exact acceptance and adverse path recorded for the candidate; no approval inferred</x:v>
      </x:c>
      <x:c r="N82" s="56" t="str">
        <x:v>NOT_CHECKED</x:v>
      </x:c>
      <x:c r="O82" s="56"/>
    </x:row>
    <x:row r="83" ht="540" hidden="0" customHeight="1">
      <x:c r="A83" s="56" t="str">
        <x:v>2026-10-20</x:v>
      </x:c>
      <x:c r="B83" s="56" t="str">
        <x:v>REQ-X-A11Y</x:v>
      </x:c>
      <x:c r="C83" s="56" t="str">
        <x:v>ACCESSIBILITY</x:v>
      </x:c>
      <x:c r="D83" s="56" t="str">
        <x:v>Critical flows conform to WCAG 2.2 AA with manual and automated evidence</x:v>
      </x:c>
      <x:c r="E83" s="56" t="str">
        <x:v>LC-GUEST
LC-FREE
LC-L1</x:v>
      </x:c>
      <x:c r="F83" s="56" t="str">
        <x:v>UI-01
UI-02
UI-03
UI-04
UI-05
UI-06
UI-07
UI-08
UI-09
UI-10
UI-11
UI-12
UI-13
UI-14
UI-15
UI-16
UI-17
UI-18
UI-19
UI-20
UI-21
UI-22
UI-23
UI-24
UI-25
UI-26
UI-27
UI-28
UI-29
UI-30
UI-31
UI-32
UI-33
UI-34
UI-35
UI-36
UI-37
UI-38
UI-39
UI-40
UI-41
UI-42
UI-43
UI-44
UI-45</x:v>
      </x:c>
      <x:c r="G83" s="56" t="str"/>
      <x:c r="H83" s="56" t="str">
        <x:v>policy/research requirement without direct API operation</x:v>
      </x:c>
      <x:c r="I83" s="56" t="str">
        <x:v>WEB-10
UPG-UX-003</x:v>
      </x:c>
      <x:c r="J83" s="56" t="str">
        <x:v>A11Y-KEYBOARD
A11Y-SR
A11Y-REFLOW
A11Y-ZOOM
A11Y-FOCUS</x:v>
      </x:c>
      <x:c r="K83" s="56" t="str">
        <x:v>G03
G08
G10</x:v>
      </x:c>
      <x:c r="L83" s="56" t="str">
        <x:v>evidence/requirements/REQ-X-A11Y/&lt;sha&gt;/receipt.json</x:v>
      </x:c>
      <x:c r="M83" s="56" t="str">
        <x:v>exact acceptance and adverse path recorded for the candidate; no approval inferred</x:v>
      </x:c>
      <x:c r="N83" s="56" t="str">
        <x:v>NOT_CHECKED</x:v>
      </x:c>
      <x:c r="O83" s="56"/>
    </x:row>
    <x:row r="84" ht="60" hidden="0" customHeight="1">
      <x:c r="A84" s="56" t="str">
        <x:v>2026-10-20</x:v>
      </x:c>
      <x:c r="B84" s="56" t="str">
        <x:v>REQ-X-AUTH</x:v>
      </x:c>
      <x:c r="C84" s="56" t="str">
        <x:v>AUTHORIZATION</x:v>
      </x:c>
      <x:c r="D84" s="56" t="str">
        <x:v>Every object is authorized by server-side tenant/subject/grant context</x:v>
      </x:c>
      <x:c r="E84" s="56" t="str">
        <x:v>LC-FREE
LC-PRACTICE
LC-FAMILY
LC-ORG
LC-API</x:v>
      </x:c>
      <x:c r="F84" s="56" t="str">
        <x:v>UI-10
UI-14
UI-34
UI-35
UI-40</x:v>
      </x:c>
      <x:c r="G84" s="56" t="str">
        <x:v>subjects
grants
cases
organizationOverview</x:v>
      </x:c>
      <x:c r="H84" s="56"/>
      <x:c r="I84" s="56" t="str">
        <x:v>TRUST-04
TRUST-05
UPG-BE-003</x:v>
      </x:c>
      <x:c r="J84" s="56" t="str">
        <x:v>AUTH-IDOR
AUTH-TENANT-SWAP
AUTH-SUBJECT-SWAP
AUTH-REVOKED-GRANT</x:v>
      </x:c>
      <x:c r="K84" s="56" t="str">
        <x:v>G02
G03
G05</x:v>
      </x:c>
      <x:c r="L84" s="56" t="str">
        <x:v>evidence/requirements/REQ-X-AUTH/&lt;sha&gt;/receipt.json</x:v>
      </x:c>
      <x:c r="M84" s="56" t="str">
        <x:v>exact acceptance and adverse path recorded for the candidate; no approval inferred</x:v>
      </x:c>
      <x:c r="N84" s="56" t="str">
        <x:v>NOT_CHECKED</x:v>
      </x:c>
      <x:c r="O84" s="56"/>
    </x:row>
    <x:row r="85" ht="48" hidden="0" customHeight="1">
      <x:c r="A85" s="56" t="str">
        <x:v>2026-10-20</x:v>
      </x:c>
      <x:c r="B85" s="56" t="str">
        <x:v>REQ-X-TYPED</x:v>
      </x:c>
      <x:c r="C85" s="56" t="str">
        <x:v>TYPED_RESULT</x:v>
      </x:c>
      <x:c r="D85" s="56" t="str">
        <x:v>Formula result represents null/decimal/date/timezone explicitly</x:v>
      </x:c>
      <x:c r="E85" s="56" t="str">
        <x:v>LC-NUMBERS
LC-L1
LC-L6</x:v>
      </x:c>
      <x:c r="F85" s="56" t="str">
        <x:v>UI-05
UI-19
UI-21
UI-24</x:v>
      </x:c>
      <x:c r="G85" s="56" t="str">
        <x:v>timeline
analyze
analysisResults</x:v>
      </x:c>
      <x:c r="H85" s="56"/>
      <x:c r="I85" s="56" t="str">
        <x:v>METHOD-07
UPG-BE-002</x:v>
      </x:c>
      <x:c r="J85" s="56" t="str">
        <x:v>TYPE-NULL
TYPE-DECIMAL
TYPE-TIMEZONE
TYPE-PRECISION</x:v>
      </x:c>
      <x:c r="K85" s="56" t="str">
        <x:v>G05
G06
G09</x:v>
      </x:c>
      <x:c r="L85" s="56" t="str">
        <x:v>evidence/requirements/REQ-X-TYPED/&lt;sha&gt;/receipt.json</x:v>
      </x:c>
      <x:c r="M85" s="56" t="str">
        <x:v>exact acceptance and adverse path recorded for the candidate; no approval inferred</x:v>
      </x:c>
      <x:c r="N85" s="56" t="str">
        <x:v>NOT_CHECKED</x:v>
      </x:c>
      <x:c r="O85" s="56"/>
    </x:row>
    <x:row r="86" ht="276" hidden="0" customHeight="1">
      <x:c r="A86" s="56" t="str">
        <x:v>2026-10-20</x:v>
      </x:c>
      <x:c r="B86" s="56" t="str">
        <x:v>REQ-X-METHOD-RIGHTS</x:v>
      </x:c>
      <x:c r="C86" s="56" t="str">
        <x:v>METHOD_RIGHTS</x:v>
      </x:c>
      <x:c r="D86" s="56" t="str">
        <x:v>Only released methods with source and rights may calculate or publish</x:v>
      </x:c>
      <x:c r="E86" s="56" t="str">
        <x:v>LC-L1
LC-L2
LC-L3
LC-L4
LC-L5
LC-L6
LC-L7
LC-L8
LC-L9
LC-GUEST
LC-FREE
LC-COMPANION
LC-NUMBERS
LC-EXPERT
LC-PRACTICE
LC-ACADEMY-FOUNDATION
LC-ACADEMY-PRO
LC-ACADEMY-TRAINER
LC-FAMILY
LC-ORG
LC-API
LC-PUBLISH
LC-REGIONAL</x:v>
      </x:c>
      <x:c r="F86" s="56" t="str">
        <x:v>UI-04
UI-42
UI-45</x:v>
      </x:c>
      <x:c r="G86" s="56" t="str">
        <x:v>methods
methodDetail
methodReleaseDraft
countryPackReview</x:v>
      </x:c>
      <x:c r="H86" s="56"/>
      <x:c r="I86" s="56" t="str">
        <x:v>METHOD-10
UPG-BE-001</x:v>
      </x:c>
      <x:c r="J86" s="56" t="str">
        <x:v>METHOD-REVOKED
METHOD-NO-RIGHT
METHOD-IMPACT</x:v>
      </x:c>
      <x:c r="K86" s="56" t="str">
        <x:v>G04
G06</x:v>
      </x:c>
      <x:c r="L86" s="56" t="str">
        <x:v>evidence/requirements/REQ-X-METHOD-RIGHTS/&lt;sha&gt;/receipt.json</x:v>
      </x:c>
      <x:c r="M86" s="56" t="str">
        <x:v>exact acceptance and adverse path recorded for the candidate; no approval inferred</x:v>
      </x:c>
      <x:c r="N86" s="56" t="str">
        <x:v>NOT_CHECKED</x:v>
      </x:c>
      <x:c r="O86" s="56"/>
    </x:row>
    <x:row r="87" ht="72" hidden="0" customHeight="1">
      <x:c r="A87" s="56" t="str">
        <x:v>2026-10-20</x:v>
      </x:c>
      <x:c r="B87" s="56" t="str">
        <x:v>REQ-X-JOBS</x:v>
      </x:c>
      <x:c r="C87" s="56" t="str">
        <x:v>ASYNC_CONSISTENCY</x:v>
      </x:c>
      <x:c r="D87" s="56" t="str">
        <x:v>Jobs/outbox/payment fulfill exactly once and reconcile terminal state</x:v>
      </x:c>
      <x:c r="E87" s="56" t="str">
        <x:v>LC-COMPANION
LC-PUBLISH
LC-FREE</x:v>
      </x:c>
      <x:c r="F87" s="56" t="str">
        <x:v>UI-22
UI-26
UI-28
UI-31
UI-32</x:v>
      </x:c>
      <x:c r="G87" s="56" t="str">
        <x:v>analysisStatus
exportReport
checkout
privacyExport
deleteSubject
jobStatus</x:v>
      </x:c>
      <x:c r="H87" s="56"/>
      <x:c r="I87" s="56" t="str">
        <x:v>DATA-06
COMMERCE-04
UPG-BE-004</x:v>
      </x:c>
      <x:c r="J87" s="56" t="str">
        <x:v>JOB-REPLAY
JOB-PARTIAL
PAY-OUT-OF-ORDER
PAY-RECONCILE</x:v>
      </x:c>
      <x:c r="K87" s="56" t="str">
        <x:v>G05
G07
G09
G10</x:v>
      </x:c>
      <x:c r="L87" s="56" t="str">
        <x:v>evidence/requirements/REQ-X-JOBS/&lt;sha&gt;/receipt.json</x:v>
      </x:c>
      <x:c r="M87" s="56" t="str">
        <x:v>exact acceptance and adverse path recorded for the candidate; no approval inferred</x:v>
      </x:c>
      <x:c r="N87" s="56" t="str">
        <x:v>NOT_CHECKED</x:v>
      </x:c>
      <x:c r="O87" s="56"/>
    </x:row>
    <x:row r="88" ht="48" hidden="0" customHeight="1">
      <x:c r="A88" s="56" t="str">
        <x:v>2026-10-20</x:v>
      </x:c>
      <x:c r="B88" s="56" t="str">
        <x:v>REQ-X-MIGRATION</x:v>
      </x:c>
      <x:c r="C88" s="56" t="str">
        <x:v>MIGRATION</x:v>
      </x:c>
      <x:c r="D88" s="56" t="str">
        <x:v>D1 to Postgres dry-run reconciles and rolls back before any separately authorized real migration</x:v>
      </x:c>
      <x:c r="E88" s="56" t="str">
        <x:v>LC-FREE</x:v>
      </x:c>
      <x:c r="F88" s="56" t="str"/>
      <x:c r="G88" s="56" t="str"/>
      <x:c r="H88" s="56" t="str">
        <x:v>policy/research requirement without direct API operation</x:v>
      </x:c>
      <x:c r="I88" s="56" t="str">
        <x:v>DATA-03
DATA-04
UPG-BE-005</x:v>
      </x:c>
      <x:c r="J88" s="56" t="str">
        <x:v>MIG-COUNT
MIG-HASH
MIG-REJECT
MIG-ROLLBACK</x:v>
      </x:c>
      <x:c r="K88" s="56" t="str">
        <x:v>G05
G07
G10</x:v>
      </x:c>
      <x:c r="L88" s="56" t="str">
        <x:v>evidence/requirements/REQ-X-MIGRATION/&lt;sha&gt;/receipt.json</x:v>
      </x:c>
      <x:c r="M88" s="56" t="str">
        <x:v>exact acceptance and adverse path recorded for the candidate; no approval inferred</x:v>
      </x:c>
      <x:c r="N88" s="56" t="str">
        <x:v>NOT_CHECKED</x:v>
      </x:c>
      <x:c r="O88" s="56" t="str">
        <x:v>Migration is a backend and data rehearsal obligation with no dedicated end-user screen</x:v>
      </x:c>
    </x:row>
    <x:row r="89" ht="768" hidden="0" customHeight="1">
      <x:c r="A89" s="56" t="str">
        <x:v>2026-10-20</x:v>
      </x:c>
      <x:c r="B89" s="56" t="str">
        <x:v>REQ-X-OPENAPI</x:v>
      </x:c>
      <x:c r="C89" s="56" t="str">
        <x:v>API_CONTRACT</x:v>
      </x:c>
      <x:c r="D89" s="56" t="str">
        <x:v>All 64 retained operation IDs have schemas, auth and negative contracts</x:v>
      </x:c>
      <x:c r="E89" s="56" t="str">
        <x:v>LC-API</x:v>
      </x:c>
      <x:c r="F89" s="56" t="str"/>
      <x:c r="G89" s="56" t="str">
        <x:v>health
catalog
methods
methodDetail
login
authCallback
logout
subjects
createSubject
subject
overview
newProfileVersion
profileVersion
newHypothesis
consents
consentDecision
grants
grant
revokeGrant
observations
observation
questionnaireResponse
createPlan
plans
checkin
timeline
analyze
analysisStatus
cancelAnalysis
analysisResults
methodResult
createReport
reports
report
reportRevisions
review
publish
exportReport
downloadArtifact
order
orderStatus
checkout
requestRefund
paymentWebhook
entitlements
ticket
ticketStatus
privacyExport
deleteSubject
deletionStatus
jobStatus
newAutomation
stopAutomation
cases
caseDetail
courses
assignment
verifyCertificate
organizationOverview
partner
methodReleaseDraft
countryPackReview
quality
operations</x:v>
      </x:c>
      <x:c r="H89" s="56"/>
      <x:c r="I89" s="56" t="str">
        <x:v>API-01
API-10
UPG-BE-006</x:v>
      </x:c>
      <x:c r="J89" s="56" t="str">
        <x:v>API-64-PARITY
API-AUTH-NEGATIVE
API-ERROR
API-IDEMPOTENCY</x:v>
      </x:c>
      <x:c r="K89" s="56" t="str">
        <x:v>G02
G03
G06
G09</x:v>
      </x:c>
      <x:c r="L89" s="56" t="str">
        <x:v>evidence/requirements/REQ-X-OPENAPI/&lt;sha&gt;/receipt.json</x:v>
      </x:c>
      <x:c r="M89" s="56" t="str">
        <x:v>exact acceptance and adverse path recorded for the candidate; no approval inferred</x:v>
      </x:c>
      <x:c r="N89" s="56" t="str">
        <x:v>NOT_CHECKED</x:v>
      </x:c>
      <x:c r="O89" s="56" t="str">
        <x:v>The OpenAPI contract is a backend integration artifact exercised by contract tests rather than a dedicated UI screen</x:v>
      </x:c>
    </x:row>
    <x:row r="90" ht="768" hidden="0" customHeight="1">
      <x:c r="A90" s="56" t="str">
        <x:v>2026-10-20</x:v>
      </x:c>
      <x:c r="B90" s="56" t="str">
        <x:v>REQ-X-DEMO</x:v>
      </x:c>
      <x:c r="C90" s="56" t="str">
        <x:v>SYNTHETIC_DEMO</x:v>
      </x:c>
      <x:c r="D90" s="56" t="str">
        <x:v>Demo and trace explorer use synthetic data and disclose exact candidate</x:v>
      </x:c>
      <x:c r="E90" s="56" t="str">
        <x:v>LC-GUEST
LC-FREE
LC-L1
LC-API</x:v>
      </x:c>
      <x:c r="F90" s="56" t="str">
        <x:v>UI-01
UI-02
UI-03
UI-04
UI-05
UI-06
UI-07
UI-08
UI-09
UI-10
UI-11
UI-12
UI-13
UI-14
UI-15
UI-16
UI-17
UI-18
UI-19
UI-20
UI-21
UI-22
UI-23
UI-24
UI-25
UI-26
UI-27
UI-28
UI-29
UI-30
UI-31
UI-32
UI-33
UI-34
UI-35
UI-36
UI-37
UI-38
UI-39
UI-40
UI-41
UI-42
UI-43
UI-44
UI-45</x:v>
      </x:c>
      <x:c r="G90" s="56" t="str">
        <x:v>health
catalog
methods
methodDetail
login
authCallback
logout
subjects
createSubject
subject
overview
newProfileVersion
profileVersion
newHypothesis
consents
consentDecision
grants
grant
revokeGrant
observations
observation
questionnaireResponse
createPlan
plans
checkin
timeline
analyze
analysisStatus
cancelAnalysis
analysisResults
methodResult
createReport
reports
report
reportRevisions
review
publish
exportReport
downloadArtifact
order
orderStatus
checkout
requestRefund
paymentWebhook
entitlements
ticket
ticketStatus
privacyExport
deleteSubject
deletionStatus
jobStatus
newAutomation
stopAutomation
cases
caseDetail
courses
assignment
verifyCertificate
organizationOverview
partner
methodReleaseDraft
countryPackReview
quality
operations</x:v>
      </x:c>
      <x:c r="H90" s="56"/>
      <x:c r="I90" s="56" t="str">
        <x:v>UPG-UX-002
UPG-BE-007</x:v>
      </x:c>
      <x:c r="J90" s="56" t="str">
        <x:v>DEMO-01-12
TRACE-LINEAGE
TRACE-OFFLINE</x:v>
      </x:c>
      <x:c r="K90" s="56" t="str">
        <x:v>G03
G06
G08
G10</x:v>
      </x:c>
      <x:c r="L90" s="56" t="str">
        <x:v>evidence/requirements/REQ-X-DEMO/&lt;sha&gt;/receipt.json</x:v>
      </x:c>
      <x:c r="M90" s="56" t="str">
        <x:v>exact acceptance and adverse path recorded for the candidate; no approval inferred</x:v>
      </x:c>
      <x:c r="N90" s="56" t="str">
        <x:v>NOT_CHECKED</x:v>
      </x:c>
      <x:c r="O90" s="56"/>
    </x:row>
    <x:row r="91" ht="276" hidden="0" customHeight="1">
      <x:c r="A91" s="56" t="str">
        <x:v>2026-10-20</x:v>
      </x:c>
      <x:c r="B91" s="56" t="str">
        <x:v>REQ-X-COST</x:v>
      </x:c>
      <x:c r="C91" s="56" t="str">
        <x:v>COST_CAPACITY</x:v>
      </x:c>
      <x:c r="D91" s="56" t="str">
        <x:v>Costs remain formulas until approved rates/vendors/currency; missing is not zero</x:v>
      </x:c>
      <x:c r="E91" s="56" t="str">
        <x:v>LC-L1
LC-L2
LC-L3
LC-L4
LC-L5
LC-L6
LC-L7
LC-L8
LC-L9
LC-GUEST
LC-FREE
LC-COMPANION
LC-NUMBERS
LC-EXPERT
LC-PRACTICE
LC-ACADEMY-FOUNDATION
LC-ACADEMY-PRO
LC-ACADEMY-TRAINER
LC-FAMILY
LC-ORG
LC-API
LC-PUBLISH
LC-REGIONAL</x:v>
      </x:c>
      <x:c r="F91" s="56" t="str"/>
      <x:c r="G91" s="56" t="str"/>
      <x:c r="H91" s="56" t="str">
        <x:v>policy/research requirement without direct API operation</x:v>
      </x:c>
      <x:c r="I91" s="56" t="str">
        <x:v>COMMERCE-09
UPG-PM-002</x:v>
      </x:c>
      <x:c r="J91" s="56" t="str">
        <x:v>COST-INPUT-COMPLETE
COST-SCENARIO
COST-VARIANCE</x:v>
      </x:c>
      <x:c r="K91" s="56" t="str">
        <x:v>G04
G09
G12</x:v>
      </x:c>
      <x:c r="L91" s="56" t="str">
        <x:v>evidence/requirements/REQ-X-COST/&lt;sha&gt;/receipt.json</x:v>
      </x:c>
      <x:c r="M91" s="56" t="str">
        <x:v>exact acceptance and adverse path recorded for the candidate; no approval inferred</x:v>
      </x:c>
      <x:c r="N91" s="56" t="str">
        <x:v>NOT_CHECKED</x:v>
      </x:c>
      <x:c r="O91" s="56" t="str">
        <x:v>Capacity and cost governance is tracked in the execution workbook and decision packets rather than a dedicated application screen</x:v>
      </x:c>
    </x:row>
    <x:row r="92" ht="15" hidden="0" customHeight="1">
      <x:c r="A92" s="70"/>
      <x:c r="B92" s="70"/>
      <x:c r="C92" s="70"/>
      <x:c r="D92" s="70"/>
      <x:c r="E92" s="70"/>
      <x:c r="F92" s="70"/>
      <x:c r="G92" s="70"/>
      <x:c r="H92" s="70"/>
      <x:c r="I92" s="70"/>
      <x:c r="J92" s="70"/>
      <x:c r="K92" s="70"/>
      <x:c r="L92" s="70"/>
      <x:c r="M92" s="70"/>
      <x:c r="N92" s="70"/>
      <x:c r="O92" s="70"/>
    </x:row>
    <x:row r="93" ht="15" hidden="0" customHeight="1">
      <x:c r="A93" s="70"/>
      <x:c r="B93" s="70"/>
      <x:c r="C93" s="70"/>
      <x:c r="D93" s="70"/>
      <x:c r="E93" s="70"/>
      <x:c r="F93" s="70"/>
      <x:c r="G93" s="70"/>
      <x:c r="H93" s="70"/>
      <x:c r="I93" s="70"/>
      <x:c r="J93" s="70"/>
      <x:c r="K93" s="70"/>
      <x:c r="L93" s="70"/>
      <x:c r="M93" s="70"/>
      <x:c r="N93" s="70"/>
      <x:c r="O93" s="70"/>
    </x:row>
    <x:row r="94" ht="15" hidden="0" customHeight="1">
      <x:c r="A94" s="70"/>
      <x:c r="B94" s="70"/>
      <x:c r="C94" s="70"/>
      <x:c r="D94" s="70"/>
      <x:c r="E94" s="70"/>
      <x:c r="F94" s="70"/>
      <x:c r="G94" s="70"/>
      <x:c r="H94" s="70"/>
      <x:c r="I94" s="70"/>
      <x:c r="J94" s="70"/>
      <x:c r="K94" s="70"/>
      <x:c r="L94" s="70"/>
      <x:c r="M94" s="70"/>
      <x:c r="N94" s="70"/>
      <x:c r="O94" s="70"/>
    </x:row>
    <x:row r="95" ht="15" hidden="0" customHeight="1">
      <x:c r="A95" s="70"/>
      <x:c r="B95" s="70"/>
      <x:c r="C95" s="70"/>
      <x:c r="D95" s="70"/>
      <x:c r="E95" s="70"/>
      <x:c r="F95" s="70"/>
      <x:c r="G95" s="70"/>
      <x:c r="H95" s="70"/>
      <x:c r="I95" s="70"/>
      <x:c r="J95" s="70"/>
      <x:c r="K95" s="70"/>
      <x:c r="L95" s="70"/>
      <x:c r="M95" s="70"/>
      <x:c r="N95" s="70"/>
      <x:c r="O95" s="70"/>
    </x:row>
    <x:row r="96" ht="15" hidden="0" customHeight="1">
      <x:c r="A96" s="70"/>
      <x:c r="B96" s="70"/>
      <x:c r="C96" s="70"/>
      <x:c r="D96" s="70"/>
      <x:c r="E96" s="70"/>
      <x:c r="F96" s="70"/>
      <x:c r="G96" s="70"/>
      <x:c r="H96" s="70"/>
      <x:c r="I96" s="70"/>
      <x:c r="J96" s="70"/>
      <x:c r="K96" s="70"/>
      <x:c r="L96" s="70"/>
      <x:c r="M96" s="70"/>
      <x:c r="N96" s="70"/>
      <x:c r="O96" s="70"/>
    </x:row>
    <x:row r="97" ht="15" hidden="0" customHeight="1">
      <x:c r="A97" s="70"/>
      <x:c r="B97" s="70"/>
      <x:c r="C97" s="70"/>
      <x:c r="D97" s="70"/>
      <x:c r="E97" s="70"/>
      <x:c r="F97" s="70"/>
      <x:c r="G97" s="70"/>
      <x:c r="H97" s="70"/>
      <x:c r="I97" s="70"/>
      <x:c r="J97" s="70"/>
      <x:c r="K97" s="70"/>
      <x:c r="L97" s="70"/>
      <x:c r="M97" s="70"/>
      <x:c r="N97" s="70"/>
      <x:c r="O97" s="70"/>
    </x:row>
    <x:row r="98" ht="15" hidden="0" customHeight="1">
      <x:c r="A98" s="70"/>
      <x:c r="B98" s="70"/>
      <x:c r="C98" s="70"/>
      <x:c r="D98" s="70"/>
      <x:c r="E98" s="70"/>
      <x:c r="F98" s="70"/>
      <x:c r="G98" s="70"/>
      <x:c r="H98" s="70"/>
      <x:c r="I98" s="70"/>
      <x:c r="J98" s="70"/>
      <x:c r="K98" s="70"/>
      <x:c r="L98" s="70"/>
      <x:c r="M98" s="70"/>
      <x:c r="N98" s="70"/>
      <x:c r="O98" s="70"/>
    </x:row>
    <x:row r="99" ht="15" hidden="0" customHeight="1">
      <x:c r="A99" s="70"/>
      <x:c r="B99" s="70"/>
      <x:c r="C99" s="70"/>
      <x:c r="D99" s="70"/>
      <x:c r="E99" s="70"/>
      <x:c r="F99" s="70"/>
      <x:c r="G99" s="70"/>
      <x:c r="H99" s="70"/>
      <x:c r="I99" s="70"/>
      <x:c r="J99" s="70"/>
      <x:c r="K99" s="70"/>
      <x:c r="L99" s="70"/>
      <x:c r="M99" s="70"/>
      <x:c r="N99" s="70"/>
      <x:c r="O99" s="70"/>
    </x:row>
    <x:row r="100" ht="15" hidden="0" customHeight="1">
      <x:c r="A100" s="70"/>
      <x:c r="B100" s="70"/>
      <x:c r="C100" s="70"/>
      <x:c r="D100" s="70"/>
      <x:c r="E100" s="70"/>
      <x:c r="F100" s="70"/>
      <x:c r="G100" s="70"/>
      <x:c r="H100" s="70"/>
      <x:c r="I100" s="70"/>
      <x:c r="J100" s="70"/>
      <x:c r="K100" s="70"/>
      <x:c r="L100" s="70"/>
      <x:c r="M100" s="70"/>
      <x:c r="N100" s="70"/>
      <x:c r="O100" s="70"/>
    </x:row>
    <x:row r="101" ht="15" hidden="0" customHeight="1">
      <x:c r="A101" s="70"/>
      <x:c r="B101" s="70"/>
      <x:c r="C101" s="70"/>
      <x:c r="D101" s="70"/>
      <x:c r="E101" s="70"/>
      <x:c r="F101" s="70"/>
      <x:c r="G101" s="70"/>
      <x:c r="H101" s="70"/>
      <x:c r="I101" s="70"/>
      <x:c r="J101" s="70"/>
      <x:c r="K101" s="70"/>
      <x:c r="L101" s="70"/>
      <x:c r="M101" s="70"/>
      <x:c r="N101" s="70"/>
      <x:c r="O101" s="70"/>
    </x:row>
    <x:row r="102" ht="15" hidden="0" customHeight="1">
      <x:c r="A102" s="70"/>
      <x:c r="B102" s="70"/>
      <x:c r="C102" s="70"/>
      <x:c r="D102" s="70"/>
      <x:c r="E102" s="70"/>
      <x:c r="F102" s="70"/>
      <x:c r="G102" s="70"/>
      <x:c r="H102" s="70"/>
      <x:c r="I102" s="70"/>
      <x:c r="J102" s="70"/>
      <x:c r="K102" s="70"/>
      <x:c r="L102" s="70"/>
      <x:c r="M102" s="70"/>
      <x:c r="N102" s="70"/>
      <x:c r="O102" s="70"/>
    </x:row>
    <x:row r="103" ht="15" hidden="0" customHeight="1">
      <x:c r="A103" s="70"/>
      <x:c r="B103" s="70"/>
      <x:c r="C103" s="70"/>
      <x:c r="D103" s="70"/>
      <x:c r="E103" s="70"/>
      <x:c r="F103" s="70"/>
      <x:c r="G103" s="70"/>
      <x:c r="H103" s="70"/>
      <x:c r="I103" s="70"/>
      <x:c r="J103" s="70"/>
      <x:c r="K103" s="70"/>
      <x:c r="L103" s="70"/>
      <x:c r="M103" s="70"/>
      <x:c r="N103" s="70"/>
      <x:c r="O103" s="70"/>
    </x:row>
    <x:row r="104" ht="15" hidden="0" customHeight="1">
      <x:c r="A104" s="70"/>
      <x:c r="B104" s="70"/>
      <x:c r="C104" s="70"/>
      <x:c r="D104" s="70"/>
      <x:c r="E104" s="70"/>
      <x:c r="F104" s="70"/>
      <x:c r="G104" s="70"/>
      <x:c r="H104" s="70"/>
      <x:c r="I104" s="70"/>
      <x:c r="J104" s="70"/>
      <x:c r="K104" s="70"/>
      <x:c r="L104" s="70"/>
      <x:c r="M104" s="70"/>
      <x:c r="N104" s="70"/>
      <x:c r="O104" s="70"/>
    </x:row>
    <x:row r="105" ht="15" hidden="0" customHeight="1">
      <x:c r="A105" s="70"/>
      <x:c r="B105" s="70"/>
      <x:c r="C105" s="70"/>
      <x:c r="D105" s="70"/>
      <x:c r="E105" s="70"/>
      <x:c r="F105" s="70"/>
      <x:c r="G105" s="70"/>
      <x:c r="H105" s="70"/>
      <x:c r="I105" s="70"/>
      <x:c r="J105" s="70"/>
      <x:c r="K105" s="70"/>
      <x:c r="L105" s="70"/>
      <x:c r="M105" s="70"/>
      <x:c r="N105" s="70"/>
      <x:c r="O105" s="70"/>
    </x:row>
    <x:row r="106" ht="15" hidden="0" customHeight="1">
      <x:c r="A106" s="70"/>
      <x:c r="B106" s="70"/>
      <x:c r="C106" s="70"/>
      <x:c r="D106" s="70"/>
      <x:c r="E106" s="70"/>
      <x:c r="F106" s="70"/>
      <x:c r="G106" s="70"/>
      <x:c r="H106" s="70"/>
      <x:c r="I106" s="70"/>
      <x:c r="J106" s="70"/>
      <x:c r="K106" s="70"/>
      <x:c r="L106" s="70"/>
      <x:c r="M106" s="70"/>
      <x:c r="N106" s="70"/>
      <x:c r="O106" s="70"/>
    </x:row>
    <x:row r="107" ht="15" hidden="0" customHeight="1">
      <x:c r="A107" s="70"/>
      <x:c r="B107" s="70"/>
      <x:c r="C107" s="70"/>
      <x:c r="D107" s="70"/>
      <x:c r="E107" s="70"/>
      <x:c r="F107" s="70"/>
      <x:c r="G107" s="70"/>
      <x:c r="H107" s="70"/>
      <x:c r="I107" s="70"/>
      <x:c r="J107" s="70"/>
      <x:c r="K107" s="70"/>
      <x:c r="L107" s="70"/>
      <x:c r="M107" s="70"/>
      <x:c r="N107" s="70"/>
      <x:c r="O107" s="70"/>
    </x:row>
    <x:row r="108" ht="15" hidden="0" customHeight="1">
      <x:c r="A108" s="70"/>
      <x:c r="B108" s="70"/>
      <x:c r="C108" s="70"/>
      <x:c r="D108" s="70"/>
      <x:c r="E108" s="70"/>
      <x:c r="F108" s="70"/>
      <x:c r="G108" s="70"/>
      <x:c r="H108" s="70"/>
      <x:c r="I108" s="70"/>
      <x:c r="J108" s="70"/>
      <x:c r="K108" s="70"/>
      <x:c r="L108" s="70"/>
      <x:c r="M108" s="70"/>
      <x:c r="N108" s="70"/>
      <x:c r="O108" s="70"/>
    </x:row>
    <x:row r="109" ht="15" hidden="0" customHeight="1">
      <x:c r="A109" s="70"/>
      <x:c r="B109" s="70"/>
      <x:c r="C109" s="70"/>
      <x:c r="D109" s="70"/>
      <x:c r="E109" s="70"/>
      <x:c r="F109" s="70"/>
      <x:c r="G109" s="70"/>
      <x:c r="H109" s="70"/>
      <x:c r="I109" s="70"/>
      <x:c r="J109" s="70"/>
      <x:c r="K109" s="70"/>
      <x:c r="L109" s="70"/>
      <x:c r="M109" s="70"/>
      <x:c r="N109" s="70"/>
      <x:c r="O109" s="70"/>
    </x:row>
    <x:row r="110" ht="15" hidden="0" customHeight="1">
      <x:c r="A110" s="70"/>
      <x:c r="B110" s="70"/>
      <x:c r="C110" s="70"/>
      <x:c r="D110" s="70"/>
      <x:c r="E110" s="70"/>
      <x:c r="F110" s="70"/>
      <x:c r="G110" s="70"/>
      <x:c r="H110" s="70"/>
      <x:c r="I110" s="70"/>
      <x:c r="J110" s="70"/>
      <x:c r="K110" s="70"/>
      <x:c r="L110" s="70"/>
      <x:c r="M110" s="70"/>
      <x:c r="N110" s="70"/>
      <x:c r="O110" s="70"/>
    </x:row>
    <x:row r="111" ht="15" hidden="0" customHeight="1">
      <x:c r="A111" s="70"/>
      <x:c r="B111" s="70"/>
      <x:c r="C111" s="70"/>
      <x:c r="D111" s="70"/>
      <x:c r="E111" s="70"/>
      <x:c r="F111" s="70"/>
      <x:c r="G111" s="70"/>
      <x:c r="H111" s="70"/>
      <x:c r="I111" s="70"/>
      <x:c r="J111" s="70"/>
      <x:c r="K111" s="70"/>
      <x:c r="L111" s="70"/>
      <x:c r="M111" s="70"/>
      <x:c r="N111" s="70"/>
      <x:c r="O111" s="70"/>
    </x:row>
    <x:row r="112" ht="15" hidden="0" customHeight="1">
      <x:c r="A112" s="70"/>
      <x:c r="B112" s="70"/>
      <x:c r="C112" s="70"/>
      <x:c r="D112" s="70"/>
      <x:c r="E112" s="70"/>
      <x:c r="F112" s="70"/>
      <x:c r="G112" s="70"/>
      <x:c r="H112" s="70"/>
      <x:c r="I112" s="70"/>
      <x:c r="J112" s="70"/>
      <x:c r="K112" s="70"/>
      <x:c r="L112" s="70"/>
      <x:c r="M112" s="70"/>
      <x:c r="N112" s="70"/>
      <x:c r="O112" s="70"/>
    </x:row>
    <x:row r="113" ht="15" hidden="0" customHeight="1">
      <x:c r="A113" s="70"/>
      <x:c r="B113" s="70"/>
      <x:c r="C113" s="70"/>
      <x:c r="D113" s="70"/>
      <x:c r="E113" s="70"/>
      <x:c r="F113" s="70"/>
      <x:c r="G113" s="70"/>
      <x:c r="H113" s="70"/>
      <x:c r="I113" s="70"/>
      <x:c r="J113" s="70"/>
      <x:c r="K113" s="70"/>
      <x:c r="L113" s="70"/>
      <x:c r="M113" s="70"/>
      <x:c r="N113" s="70"/>
      <x:c r="O113" s="70"/>
    </x:row>
    <x:row r="114" ht="15" hidden="0" customHeight="1">
      <x:c r="A114" s="70"/>
      <x:c r="B114" s="70"/>
      <x:c r="C114" s="70"/>
      <x:c r="D114" s="70"/>
      <x:c r="E114" s="70"/>
      <x:c r="F114" s="70"/>
      <x:c r="G114" s="70"/>
      <x:c r="H114" s="70"/>
      <x:c r="I114" s="70"/>
      <x:c r="J114" s="70"/>
      <x:c r="K114" s="70"/>
      <x:c r="L114" s="70"/>
      <x:c r="M114" s="70"/>
      <x:c r="N114" s="70"/>
      <x:c r="O114" s="70"/>
    </x:row>
    <x:row r="115" ht="15" hidden="0" customHeight="1">
      <x:c r="A115" s="70"/>
      <x:c r="B115" s="70"/>
      <x:c r="C115" s="70"/>
      <x:c r="D115" s="70"/>
      <x:c r="E115" s="70"/>
      <x:c r="F115" s="70"/>
      <x:c r="G115" s="70"/>
      <x:c r="H115" s="70"/>
      <x:c r="I115" s="70"/>
      <x:c r="J115" s="70"/>
      <x:c r="K115" s="70"/>
      <x:c r="L115" s="70"/>
      <x:c r="M115" s="70"/>
      <x:c r="N115" s="70"/>
      <x:c r="O115" s="70"/>
    </x:row>
    <x:row r="116" ht="15" hidden="0" customHeight="1">
      <x:c r="A116" s="70"/>
      <x:c r="B116" s="70"/>
      <x:c r="C116" s="70"/>
      <x:c r="D116" s="70"/>
      <x:c r="E116" s="70"/>
      <x:c r="F116" s="70"/>
      <x:c r="G116" s="70"/>
      <x:c r="H116" s="70"/>
      <x:c r="I116" s="70"/>
      <x:c r="J116" s="70"/>
      <x:c r="K116" s="70"/>
      <x:c r="L116" s="70"/>
      <x:c r="M116" s="70"/>
      <x:c r="N116" s="70"/>
      <x:c r="O116" s="70"/>
    </x:row>
    <x:row r="117" ht="15" hidden="0" customHeight="1">
      <x:c r="A117" s="70"/>
      <x:c r="B117" s="70"/>
      <x:c r="C117" s="70"/>
      <x:c r="D117" s="70"/>
      <x:c r="E117" s="70"/>
      <x:c r="F117" s="70"/>
      <x:c r="G117" s="70"/>
      <x:c r="H117" s="70"/>
      <x:c r="I117" s="70"/>
      <x:c r="J117" s="70"/>
      <x:c r="K117" s="70"/>
      <x:c r="L117" s="70"/>
      <x:c r="M117" s="70"/>
      <x:c r="N117" s="70"/>
      <x:c r="O117" s="70"/>
    </x:row>
    <x:row r="118" ht="15" hidden="0" customHeight="1">
      <x:c r="A118" s="70"/>
      <x:c r="B118" s="70"/>
      <x:c r="C118" s="70"/>
      <x:c r="D118" s="70"/>
      <x:c r="E118" s="70"/>
      <x:c r="F118" s="70"/>
      <x:c r="G118" s="70"/>
      <x:c r="H118" s="70"/>
      <x:c r="I118" s="70"/>
      <x:c r="J118" s="70"/>
      <x:c r="K118" s="70"/>
      <x:c r="L118" s="70"/>
      <x:c r="M118" s="70"/>
      <x:c r="N118" s="70"/>
      <x:c r="O118" s="70"/>
    </x:row>
    <x:row r="119" ht="15" hidden="0" customHeight="1">
      <x:c r="A119" s="70"/>
      <x:c r="B119" s="70"/>
      <x:c r="C119" s="70"/>
      <x:c r="D119" s="70"/>
      <x:c r="E119" s="70"/>
      <x:c r="F119" s="70"/>
      <x:c r="G119" s="70"/>
      <x:c r="H119" s="70"/>
      <x:c r="I119" s="70"/>
      <x:c r="J119" s="70"/>
      <x:c r="K119" s="70"/>
      <x:c r="L119" s="70"/>
      <x:c r="M119" s="70"/>
      <x:c r="N119" s="70"/>
      <x:c r="O119" s="70"/>
    </x:row>
    <x:row r="120" ht="15" hidden="0" customHeight="1">
      <x:c r="A120" s="70"/>
      <x:c r="B120" s="70"/>
      <x:c r="C120" s="70"/>
      <x:c r="D120" s="70"/>
      <x:c r="E120" s="70"/>
      <x:c r="F120" s="70"/>
      <x:c r="G120" s="70"/>
      <x:c r="H120" s="70"/>
      <x:c r="I120" s="70"/>
      <x:c r="J120" s="70"/>
      <x:c r="K120" s="70"/>
      <x:c r="L120" s="70"/>
      <x:c r="M120" s="70"/>
      <x:c r="N120" s="70"/>
      <x:c r="O120" s="70"/>
    </x:row>
    <x:row r="121" ht="15" hidden="0" customHeight="1">
      <x:c r="A121" s="70"/>
      <x:c r="B121" s="70"/>
      <x:c r="C121" s="70"/>
      <x:c r="D121" s="70"/>
      <x:c r="E121" s="70"/>
      <x:c r="F121" s="70"/>
      <x:c r="G121" s="70"/>
      <x:c r="H121" s="70"/>
      <x:c r="I121" s="70"/>
      <x:c r="J121" s="70"/>
      <x:c r="K121" s="70"/>
      <x:c r="L121" s="70"/>
      <x:c r="M121" s="70"/>
      <x:c r="N121" s="70"/>
      <x:c r="O121" s="70"/>
    </x:row>
    <x:row r="122" ht="15" hidden="0" customHeight="1">
      <x:c r="A122" s="70"/>
      <x:c r="B122" s="70"/>
      <x:c r="C122" s="70"/>
      <x:c r="D122" s="70"/>
      <x:c r="E122" s="70"/>
      <x:c r="F122" s="70"/>
      <x:c r="G122" s="70"/>
      <x:c r="H122" s="70"/>
      <x:c r="I122" s="70"/>
      <x:c r="J122" s="70"/>
      <x:c r="K122" s="70"/>
      <x:c r="L122" s="70"/>
      <x:c r="M122" s="70"/>
      <x:c r="N122" s="70"/>
      <x:c r="O122" s="70"/>
    </x:row>
    <x:row r="123" ht="15" hidden="0" customHeight="1">
      <x:c r="A123" s="70"/>
      <x:c r="B123" s="70"/>
      <x:c r="C123" s="70"/>
      <x:c r="D123" s="70"/>
      <x:c r="E123" s="70"/>
      <x:c r="F123" s="70"/>
      <x:c r="G123" s="70"/>
      <x:c r="H123" s="70"/>
      <x:c r="I123" s="70"/>
      <x:c r="J123" s="70"/>
      <x:c r="K123" s="70"/>
      <x:c r="L123" s="70"/>
      <x:c r="M123" s="70"/>
      <x:c r="N123" s="70"/>
      <x:c r="O123" s="70"/>
    </x:row>
    <x:row r="124" ht="15" hidden="0" customHeight="1">
      <x:c r="A124" s="70"/>
      <x:c r="B124" s="70"/>
      <x:c r="C124" s="70"/>
      <x:c r="D124" s="70"/>
      <x:c r="E124" s="70"/>
      <x:c r="F124" s="70"/>
      <x:c r="G124" s="70"/>
      <x:c r="H124" s="70"/>
      <x:c r="I124" s="70"/>
      <x:c r="J124" s="70"/>
      <x:c r="K124" s="70"/>
      <x:c r="L124" s="70"/>
      <x:c r="M124" s="70"/>
      <x:c r="N124" s="70"/>
      <x:c r="O124" s="70"/>
    </x:row>
    <x:row r="125" ht="15" hidden="0" customHeight="1">
      <x:c r="A125" s="70"/>
      <x:c r="B125" s="70"/>
      <x:c r="C125" s="70"/>
      <x:c r="D125" s="70"/>
      <x:c r="E125" s="70"/>
      <x:c r="F125" s="70"/>
      <x:c r="G125" s="70"/>
      <x:c r="H125" s="70"/>
      <x:c r="I125" s="70"/>
      <x:c r="J125" s="70"/>
      <x:c r="K125" s="70"/>
      <x:c r="L125" s="70"/>
      <x:c r="M125" s="70"/>
      <x:c r="N125" s="70"/>
      <x:c r="O125" s="70"/>
    </x:row>
    <x:row r="126" ht="15" hidden="0" customHeight="1">
      <x:c r="A126" s="70"/>
      <x:c r="B126" s="70"/>
      <x:c r="C126" s="70"/>
      <x:c r="D126" s="70"/>
      <x:c r="E126" s="70"/>
      <x:c r="F126" s="70"/>
      <x:c r="G126" s="70"/>
      <x:c r="H126" s="70"/>
      <x:c r="I126" s="70"/>
      <x:c r="J126" s="70"/>
      <x:c r="K126" s="70"/>
      <x:c r="L126" s="70"/>
      <x:c r="M126" s="70"/>
      <x:c r="N126" s="70"/>
      <x:c r="O126" s="70"/>
    </x:row>
    <x:row r="127" ht="15" hidden="0" customHeight="1">
      <x:c r="A127" s="70"/>
      <x:c r="B127" s="70"/>
      <x:c r="C127" s="70"/>
      <x:c r="D127" s="70"/>
      <x:c r="E127" s="70"/>
      <x:c r="F127" s="70"/>
      <x:c r="G127" s="70"/>
      <x:c r="H127" s="70"/>
      <x:c r="I127" s="70"/>
      <x:c r="J127" s="70"/>
      <x:c r="K127" s="70"/>
      <x:c r="L127" s="70"/>
      <x:c r="M127" s="70"/>
      <x:c r="N127" s="70"/>
      <x:c r="O127" s="70"/>
    </x:row>
    <x:row r="128" ht="15" hidden="0" customHeight="1">
      <x:c r="A128" s="70"/>
      <x:c r="B128" s="70"/>
      <x:c r="C128" s="70"/>
      <x:c r="D128" s="70"/>
      <x:c r="E128" s="70"/>
      <x:c r="F128" s="70"/>
      <x:c r="G128" s="70"/>
      <x:c r="H128" s="70"/>
      <x:c r="I128" s="70"/>
      <x:c r="J128" s="70"/>
      <x:c r="K128" s="70"/>
      <x:c r="L128" s="70"/>
      <x:c r="M128" s="70"/>
      <x:c r="N128" s="70"/>
      <x:c r="O128" s="70"/>
    </x:row>
    <x:row r="129" ht="15" hidden="0" customHeight="1">
      <x:c r="A129" s="70"/>
      <x:c r="B129" s="70"/>
      <x:c r="C129" s="70"/>
      <x:c r="D129" s="70"/>
      <x:c r="E129" s="70"/>
      <x:c r="F129" s="70"/>
      <x:c r="G129" s="70"/>
      <x:c r="H129" s="70"/>
      <x:c r="I129" s="70"/>
      <x:c r="J129" s="70"/>
      <x:c r="K129" s="70"/>
      <x:c r="L129" s="70"/>
      <x:c r="M129" s="70"/>
      <x:c r="N129" s="70"/>
      <x:c r="O129" s="70"/>
    </x:row>
    <x:row r="130" ht="15" hidden="0" customHeight="1">
      <x:c r="A130" s="70"/>
      <x:c r="B130" s="70"/>
      <x:c r="C130" s="70"/>
      <x:c r="D130" s="70"/>
      <x:c r="E130" s="70"/>
      <x:c r="F130" s="70"/>
      <x:c r="G130" s="70"/>
      <x:c r="H130" s="70"/>
      <x:c r="I130" s="70"/>
      <x:c r="J130" s="70"/>
      <x:c r="K130" s="70"/>
      <x:c r="L130" s="70"/>
      <x:c r="M130" s="70"/>
      <x:c r="N130" s="70"/>
      <x:c r="O130" s="70"/>
    </x:row>
    <x:row r="131" ht="15" hidden="0" customHeight="1">
      <x:c r="A131" s="70"/>
      <x:c r="B131" s="70"/>
      <x:c r="C131" s="70"/>
      <x:c r="D131" s="70"/>
      <x:c r="E131" s="70"/>
      <x:c r="F131" s="70"/>
      <x:c r="G131" s="70"/>
      <x:c r="H131" s="70"/>
      <x:c r="I131" s="70"/>
      <x:c r="J131" s="70"/>
      <x:c r="K131" s="70"/>
      <x:c r="L131" s="70"/>
      <x:c r="M131" s="70"/>
      <x:c r="N131" s="70"/>
      <x:c r="O131" s="70"/>
    </x:row>
    <x:row r="132" ht="15" hidden="0" customHeight="1">
      <x:c r="A132" s="70"/>
      <x:c r="B132" s="70"/>
      <x:c r="C132" s="70"/>
      <x:c r="D132" s="70"/>
      <x:c r="E132" s="70"/>
      <x:c r="F132" s="70"/>
      <x:c r="G132" s="70"/>
      <x:c r="H132" s="70"/>
      <x:c r="I132" s="70"/>
      <x:c r="J132" s="70"/>
      <x:c r="K132" s="70"/>
      <x:c r="L132" s="70"/>
      <x:c r="M132" s="70"/>
      <x:c r="N132" s="70"/>
      <x:c r="O132" s="70"/>
    </x:row>
    <x:row r="133" ht="15" hidden="0" customHeight="1">
      <x:c r="A133" s="70"/>
      <x:c r="B133" s="70"/>
      <x:c r="C133" s="70"/>
      <x:c r="D133" s="70"/>
      <x:c r="E133" s="70"/>
      <x:c r="F133" s="70"/>
      <x:c r="G133" s="70"/>
      <x:c r="H133" s="70"/>
      <x:c r="I133" s="70"/>
      <x:c r="J133" s="70"/>
      <x:c r="K133" s="70"/>
      <x:c r="L133" s="70"/>
      <x:c r="M133" s="70"/>
      <x:c r="N133" s="70"/>
      <x:c r="O133" s="70"/>
    </x:row>
    <x:row r="134" ht="15" hidden="0" customHeight="1">
      <x:c r="A134" s="70"/>
      <x:c r="B134" s="70"/>
      <x:c r="C134" s="70"/>
      <x:c r="D134" s="70"/>
      <x:c r="E134" s="70"/>
      <x:c r="F134" s="70"/>
      <x:c r="G134" s="70"/>
      <x:c r="H134" s="70"/>
      <x:c r="I134" s="70"/>
      <x:c r="J134" s="70"/>
      <x:c r="K134" s="70"/>
      <x:c r="L134" s="70"/>
      <x:c r="M134" s="70"/>
      <x:c r="N134" s="70"/>
      <x:c r="O134" s="70"/>
    </x:row>
    <x:row r="135" ht="15" hidden="0" customHeight="1">
      <x:c r="A135" s="70"/>
      <x:c r="B135" s="70"/>
      <x:c r="C135" s="70"/>
      <x:c r="D135" s="70"/>
      <x:c r="E135" s="70"/>
      <x:c r="F135" s="70"/>
      <x:c r="G135" s="70"/>
      <x:c r="H135" s="70"/>
      <x:c r="I135" s="70"/>
      <x:c r="J135" s="70"/>
      <x:c r="K135" s="70"/>
      <x:c r="L135" s="70"/>
      <x:c r="M135" s="70"/>
      <x:c r="N135" s="70"/>
      <x:c r="O135" s="70"/>
    </x:row>
    <x:row r="136" ht="15" hidden="0" customHeight="1">
      <x:c r="A136" s="70"/>
      <x:c r="B136" s="70"/>
      <x:c r="C136" s="70"/>
      <x:c r="D136" s="70"/>
      <x:c r="E136" s="70"/>
      <x:c r="F136" s="70"/>
      <x:c r="G136" s="70"/>
      <x:c r="H136" s="70"/>
      <x:c r="I136" s="70"/>
      <x:c r="J136" s="70"/>
      <x:c r="K136" s="70"/>
      <x:c r="L136" s="70"/>
      <x:c r="M136" s="70"/>
      <x:c r="N136" s="70"/>
      <x:c r="O136" s="70"/>
    </x:row>
    <x:row r="137" ht="15" hidden="0" customHeight="1">
      <x:c r="A137" s="70"/>
      <x:c r="B137" s="70"/>
      <x:c r="C137" s="70"/>
      <x:c r="D137" s="70"/>
      <x:c r="E137" s="70"/>
      <x:c r="F137" s="70"/>
      <x:c r="G137" s="70"/>
      <x:c r="H137" s="70"/>
      <x:c r="I137" s="70"/>
      <x:c r="J137" s="70"/>
      <x:c r="K137" s="70"/>
      <x:c r="L137" s="70"/>
      <x:c r="M137" s="70"/>
      <x:c r="N137" s="70"/>
      <x:c r="O137" s="70"/>
    </x:row>
    <x:row r="138" ht="15" hidden="0" customHeight="1">
      <x:c r="A138" s="70"/>
      <x:c r="B138" s="70"/>
      <x:c r="C138" s="70"/>
      <x:c r="D138" s="70"/>
      <x:c r="E138" s="70"/>
      <x:c r="F138" s="70"/>
      <x:c r="G138" s="70"/>
      <x:c r="H138" s="70"/>
      <x:c r="I138" s="70"/>
      <x:c r="J138" s="70"/>
      <x:c r="K138" s="70"/>
      <x:c r="L138" s="70"/>
      <x:c r="M138" s="70"/>
      <x:c r="N138" s="70"/>
      <x:c r="O138" s="70"/>
    </x:row>
    <x:row r="139" ht="15" hidden="0" customHeight="1">
      <x:c r="A139" s="70"/>
      <x:c r="B139" s="70"/>
      <x:c r="C139" s="70"/>
      <x:c r="D139" s="70"/>
      <x:c r="E139" s="70"/>
      <x:c r="F139" s="70"/>
      <x:c r="G139" s="70"/>
      <x:c r="H139" s="70"/>
      <x:c r="I139" s="70"/>
      <x:c r="J139" s="70"/>
      <x:c r="K139" s="70"/>
      <x:c r="L139" s="70"/>
      <x:c r="M139" s="70"/>
      <x:c r="N139" s="70"/>
      <x:c r="O139" s="70"/>
    </x:row>
    <x:row r="140" ht="15" hidden="0" customHeight="1">
      <x:c r="A140" s="70"/>
      <x:c r="B140" s="70"/>
      <x:c r="C140" s="70"/>
      <x:c r="D140" s="70"/>
      <x:c r="E140" s="70"/>
      <x:c r="F140" s="70"/>
      <x:c r="G140" s="70"/>
      <x:c r="H140" s="70"/>
      <x:c r="I140" s="70"/>
      <x:c r="J140" s="70"/>
      <x:c r="K140" s="70"/>
      <x:c r="L140" s="70"/>
      <x:c r="M140" s="70"/>
      <x:c r="N140" s="70"/>
      <x:c r="O140" s="70"/>
    </x:row>
    <x:row r="141" ht="15" hidden="0" customHeight="1">
      <x:c r="A141" s="70"/>
      <x:c r="B141" s="70"/>
      <x:c r="C141" s="70"/>
      <x:c r="D141" s="70"/>
      <x:c r="E141" s="70"/>
      <x:c r="F141" s="70"/>
      <x:c r="G141" s="70"/>
      <x:c r="H141" s="70"/>
      <x:c r="I141" s="70"/>
      <x:c r="J141" s="70"/>
      <x:c r="K141" s="70"/>
      <x:c r="L141" s="70"/>
      <x:c r="M141" s="70"/>
      <x:c r="N141" s="70"/>
      <x:c r="O141" s="70"/>
    </x:row>
    <x:row r="142" ht="15" hidden="0" customHeight="1">
      <x:c r="A142" s="70"/>
      <x:c r="B142" s="70"/>
      <x:c r="C142" s="70"/>
      <x:c r="D142" s="70"/>
      <x:c r="E142" s="70"/>
      <x:c r="F142" s="70"/>
      <x:c r="G142" s="70"/>
      <x:c r="H142" s="70"/>
      <x:c r="I142" s="70"/>
      <x:c r="J142" s="70"/>
      <x:c r="K142" s="70"/>
      <x:c r="L142" s="70"/>
      <x:c r="M142" s="70"/>
      <x:c r="N142" s="70"/>
      <x:c r="O142" s="70"/>
    </x:row>
    <x:row r="143" ht="15" hidden="0" customHeight="1">
      <x:c r="A143" s="70"/>
      <x:c r="B143" s="70"/>
      <x:c r="C143" s="70"/>
      <x:c r="D143" s="70"/>
      <x:c r="E143" s="70"/>
      <x:c r="F143" s="70"/>
      <x:c r="G143" s="70"/>
      <x:c r="H143" s="70"/>
      <x:c r="I143" s="70"/>
      <x:c r="J143" s="70"/>
      <x:c r="K143" s="70"/>
      <x:c r="L143" s="70"/>
      <x:c r="M143" s="70"/>
      <x:c r="N143" s="70"/>
      <x:c r="O143" s="70"/>
    </x:row>
    <x:row r="144" ht="15" hidden="0" customHeight="1">
      <x:c r="A144" s="70"/>
      <x:c r="B144" s="70"/>
      <x:c r="C144" s="70"/>
      <x:c r="D144" s="70"/>
      <x:c r="E144" s="70"/>
      <x:c r="F144" s="70"/>
      <x:c r="G144" s="70"/>
      <x:c r="H144" s="70"/>
      <x:c r="I144" s="70"/>
      <x:c r="J144" s="70"/>
      <x:c r="K144" s="70"/>
      <x:c r="L144" s="70"/>
      <x:c r="M144" s="70"/>
      <x:c r="N144" s="70"/>
      <x:c r="O144" s="70"/>
    </x:row>
    <x:row r="145" ht="15" hidden="0" customHeight="1">
      <x:c r="A145" s="70"/>
      <x:c r="B145" s="70"/>
      <x:c r="C145" s="70"/>
      <x:c r="D145" s="70"/>
      <x:c r="E145" s="70"/>
      <x:c r="F145" s="70"/>
      <x:c r="G145" s="70"/>
      <x:c r="H145" s="70"/>
      <x:c r="I145" s="70"/>
      <x:c r="J145" s="70"/>
      <x:c r="K145" s="70"/>
      <x:c r="L145" s="70"/>
      <x:c r="M145" s="70"/>
      <x:c r="N145" s="70"/>
      <x:c r="O145" s="70"/>
    </x:row>
    <x:row r="146" ht="15" hidden="0" customHeight="1">
      <x:c r="A146" s="70"/>
      <x:c r="B146" s="70"/>
      <x:c r="C146" s="70"/>
      <x:c r="D146" s="70"/>
      <x:c r="E146" s="70"/>
      <x:c r="F146" s="70"/>
      <x:c r="G146" s="70"/>
      <x:c r="H146" s="70"/>
      <x:c r="I146" s="70"/>
      <x:c r="J146" s="70"/>
      <x:c r="K146" s="70"/>
      <x:c r="L146" s="70"/>
      <x:c r="M146" s="70"/>
      <x:c r="N146" s="70"/>
      <x:c r="O146" s="70"/>
    </x:row>
    <x:row r="147" ht="15" hidden="0" customHeight="1">
      <x:c r="A147" s="70"/>
      <x:c r="B147" s="70"/>
      <x:c r="C147" s="70"/>
      <x:c r="D147" s="70"/>
      <x:c r="E147" s="70"/>
      <x:c r="F147" s="70"/>
      <x:c r="G147" s="70"/>
      <x:c r="H147" s="70"/>
      <x:c r="I147" s="70"/>
      <x:c r="J147" s="70"/>
      <x:c r="K147" s="70"/>
      <x:c r="L147" s="70"/>
      <x:c r="M147" s="70"/>
      <x:c r="N147" s="70"/>
      <x:c r="O147" s="70"/>
    </x:row>
    <x:row r="148" ht="15" hidden="0" customHeight="1">
      <x:c r="A148" s="70"/>
      <x:c r="B148" s="70"/>
      <x:c r="C148" s="70"/>
      <x:c r="D148" s="70"/>
      <x:c r="E148" s="70"/>
      <x:c r="F148" s="70"/>
      <x:c r="G148" s="70"/>
      <x:c r="H148" s="70"/>
      <x:c r="I148" s="70"/>
      <x:c r="J148" s="70"/>
      <x:c r="K148" s="70"/>
      <x:c r="L148" s="70"/>
      <x:c r="M148" s="70"/>
      <x:c r="N148" s="70"/>
      <x:c r="O148" s="70"/>
    </x:row>
    <x:row r="149" ht="15" hidden="0" customHeight="1">
      <x:c r="A149" s="70"/>
      <x:c r="B149" s="70"/>
      <x:c r="C149" s="70"/>
      <x:c r="D149" s="70"/>
      <x:c r="E149" s="70"/>
      <x:c r="F149" s="70"/>
      <x:c r="G149" s="70"/>
      <x:c r="H149" s="70"/>
      <x:c r="I149" s="70"/>
      <x:c r="J149" s="70"/>
      <x:c r="K149" s="70"/>
      <x:c r="L149" s="70"/>
      <x:c r="M149" s="70"/>
      <x:c r="N149" s="70"/>
      <x:c r="O149" s="70"/>
    </x:row>
    <x:row r="150" ht="15" hidden="0" customHeight="1">
      <x:c r="A150" s="70"/>
      <x:c r="B150" s="70"/>
      <x:c r="C150" s="70"/>
      <x:c r="D150" s="70"/>
      <x:c r="E150" s="70"/>
      <x:c r="F150" s="70"/>
      <x:c r="G150" s="70"/>
      <x:c r="H150" s="70"/>
      <x:c r="I150" s="70"/>
      <x:c r="J150" s="70"/>
      <x:c r="K150" s="70"/>
      <x:c r="L150" s="70"/>
      <x:c r="M150" s="70"/>
      <x:c r="N150" s="70"/>
      <x:c r="O150" s="70"/>
    </x:row>
    <x:row r="151" ht="15" hidden="0" customHeight="1">
      <x:c r="A151" s="70"/>
      <x:c r="B151" s="70"/>
      <x:c r="C151" s="70"/>
      <x:c r="D151" s="70"/>
      <x:c r="E151" s="70"/>
      <x:c r="F151" s="70"/>
      <x:c r="G151" s="70"/>
      <x:c r="H151" s="70"/>
      <x:c r="I151" s="70"/>
      <x:c r="J151" s="70"/>
      <x:c r="K151" s="70"/>
      <x:c r="L151" s="70"/>
      <x:c r="M151" s="70"/>
      <x:c r="N151" s="70"/>
      <x:c r="O151" s="70"/>
    </x:row>
    <x:row r="152" ht="15" hidden="0" customHeight="1">
      <x:c r="A152" s="70"/>
      <x:c r="B152" s="70"/>
      <x:c r="C152" s="70"/>
      <x:c r="D152" s="70"/>
      <x:c r="E152" s="70"/>
      <x:c r="F152" s="70"/>
      <x:c r="G152" s="70"/>
      <x:c r="H152" s="70"/>
      <x:c r="I152" s="70"/>
      <x:c r="J152" s="70"/>
      <x:c r="K152" s="70"/>
      <x:c r="L152" s="70"/>
      <x:c r="M152" s="70"/>
      <x:c r="N152" s="70"/>
      <x:c r="O152" s="70"/>
    </x:row>
    <x:row r="153" ht="15" hidden="0" customHeight="1">
      <x:c r="A153" s="70"/>
      <x:c r="B153" s="70"/>
      <x:c r="C153" s="70"/>
      <x:c r="D153" s="70"/>
      <x:c r="E153" s="70"/>
      <x:c r="F153" s="70"/>
      <x:c r="G153" s="70"/>
      <x:c r="H153" s="70"/>
      <x:c r="I153" s="70"/>
      <x:c r="J153" s="70"/>
      <x:c r="K153" s="70"/>
      <x:c r="L153" s="70"/>
      <x:c r="M153" s="70"/>
      <x:c r="N153" s="70"/>
      <x:c r="O153" s="70"/>
    </x:row>
    <x:row r="154" ht="15" hidden="0" customHeight="1">
      <x:c r="A154" s="70"/>
      <x:c r="B154" s="70"/>
      <x:c r="C154" s="70"/>
      <x:c r="D154" s="70"/>
      <x:c r="E154" s="70"/>
      <x:c r="F154" s="70"/>
      <x:c r="G154" s="70"/>
      <x:c r="H154" s="70"/>
      <x:c r="I154" s="70"/>
      <x:c r="J154" s="70"/>
      <x:c r="K154" s="70"/>
      <x:c r="L154" s="70"/>
      <x:c r="M154" s="70"/>
      <x:c r="N154" s="70"/>
      <x:c r="O154" s="70"/>
    </x:row>
    <x:row r="155" ht="15" hidden="0" customHeight="1">
      <x:c r="A155" s="70"/>
      <x:c r="B155" s="70"/>
      <x:c r="C155" s="70"/>
      <x:c r="D155" s="70"/>
      <x:c r="E155" s="70"/>
      <x:c r="F155" s="70"/>
      <x:c r="G155" s="70"/>
      <x:c r="H155" s="70"/>
      <x:c r="I155" s="70"/>
      <x:c r="J155" s="70"/>
      <x:c r="K155" s="70"/>
      <x:c r="L155" s="70"/>
      <x:c r="M155" s="70"/>
      <x:c r="N155" s="70"/>
      <x:c r="O155" s="70"/>
    </x:row>
    <x:row r="156" ht="15" hidden="0" customHeight="1">
      <x:c r="A156" s="70"/>
      <x:c r="B156" s="70"/>
      <x:c r="C156" s="70"/>
      <x:c r="D156" s="70"/>
      <x:c r="E156" s="70"/>
      <x:c r="F156" s="70"/>
      <x:c r="G156" s="70"/>
      <x:c r="H156" s="70"/>
      <x:c r="I156" s="70"/>
      <x:c r="J156" s="70"/>
      <x:c r="K156" s="70"/>
      <x:c r="L156" s="70"/>
      <x:c r="M156" s="70"/>
      <x:c r="N156" s="70"/>
      <x:c r="O156" s="70"/>
    </x:row>
    <x:row r="157" ht="15" hidden="0" customHeight="1">
      <x:c r="A157" s="70"/>
      <x:c r="B157" s="70"/>
      <x:c r="C157" s="70"/>
      <x:c r="D157" s="70"/>
      <x:c r="E157" s="70"/>
      <x:c r="F157" s="70"/>
      <x:c r="G157" s="70"/>
      <x:c r="H157" s="70"/>
      <x:c r="I157" s="70"/>
      <x:c r="J157" s="70"/>
      <x:c r="K157" s="70"/>
      <x:c r="L157" s="70"/>
      <x:c r="M157" s="70"/>
      <x:c r="N157" s="70"/>
      <x:c r="O157" s="70"/>
    </x:row>
    <x:row r="158" ht="15" hidden="0" customHeight="1">
      <x:c r="A158" s="70"/>
      <x:c r="B158" s="70"/>
      <x:c r="C158" s="70"/>
      <x:c r="D158" s="70"/>
      <x:c r="E158" s="70"/>
      <x:c r="F158" s="70"/>
      <x:c r="G158" s="70"/>
      <x:c r="H158" s="70"/>
      <x:c r="I158" s="70"/>
      <x:c r="J158" s="70"/>
      <x:c r="K158" s="70"/>
      <x:c r="L158" s="70"/>
      <x:c r="M158" s="70"/>
      <x:c r="N158" s="70"/>
      <x:c r="O158" s="70"/>
    </x:row>
    <x:row r="159" ht="15" hidden="0" customHeight="1">
      <x:c r="A159" s="70"/>
      <x:c r="B159" s="70"/>
      <x:c r="C159" s="70"/>
      <x:c r="D159" s="70"/>
      <x:c r="E159" s="70"/>
      <x:c r="F159" s="70"/>
      <x:c r="G159" s="70"/>
      <x:c r="H159" s="70"/>
      <x:c r="I159" s="70"/>
      <x:c r="J159" s="70"/>
      <x:c r="K159" s="70"/>
      <x:c r="L159" s="70"/>
      <x:c r="M159" s="70"/>
      <x:c r="N159" s="70"/>
      <x:c r="O159" s="70"/>
    </x:row>
    <x:row r="160" ht="15" hidden="0" customHeight="1">
      <x:c r="A160" s="70"/>
      <x:c r="B160" s="70"/>
      <x:c r="C160" s="70"/>
      <x:c r="D160" s="70"/>
      <x:c r="E160" s="70"/>
      <x:c r="F160" s="70"/>
      <x:c r="G160" s="70"/>
      <x:c r="H160" s="70"/>
      <x:c r="I160" s="70"/>
      <x:c r="J160" s="70"/>
      <x:c r="K160" s="70"/>
      <x:c r="L160" s="70"/>
      <x:c r="M160" s="70"/>
      <x:c r="N160" s="70"/>
      <x:c r="O160" s="70"/>
    </x:row>
    <x:row r="161" ht="15" hidden="0" customHeight="1">
      <x:c r="A161" s="70"/>
      <x:c r="B161" s="70"/>
      <x:c r="C161" s="70"/>
      <x:c r="D161" s="70"/>
      <x:c r="E161" s="70"/>
      <x:c r="F161" s="70"/>
      <x:c r="G161" s="70"/>
      <x:c r="H161" s="70"/>
      <x:c r="I161" s="70"/>
      <x:c r="J161" s="70"/>
      <x:c r="K161" s="70"/>
      <x:c r="L161" s="70"/>
      <x:c r="M161" s="70"/>
      <x:c r="N161" s="70"/>
      <x:c r="O161" s="70"/>
    </x:row>
    <x:row r="162" ht="15" hidden="0" customHeight="1">
      <x:c r="A162" s="70"/>
      <x:c r="B162" s="70"/>
      <x:c r="C162" s="70"/>
      <x:c r="D162" s="70"/>
      <x:c r="E162" s="70"/>
      <x:c r="F162" s="70"/>
      <x:c r="G162" s="70"/>
      <x:c r="H162" s="70"/>
      <x:c r="I162" s="70"/>
      <x:c r="J162" s="70"/>
      <x:c r="K162" s="70"/>
      <x:c r="L162" s="70"/>
      <x:c r="M162" s="70"/>
      <x:c r="N162" s="70"/>
      <x:c r="O162" s="70"/>
    </x:row>
    <x:row r="163" ht="15" hidden="0" customHeight="1">
      <x:c r="A163" s="70"/>
      <x:c r="B163" s="70"/>
      <x:c r="C163" s="70"/>
      <x:c r="D163" s="70"/>
      <x:c r="E163" s="70"/>
      <x:c r="F163" s="70"/>
      <x:c r="G163" s="70"/>
      <x:c r="H163" s="70"/>
      <x:c r="I163" s="70"/>
      <x:c r="J163" s="70"/>
      <x:c r="K163" s="70"/>
      <x:c r="L163" s="70"/>
      <x:c r="M163" s="70"/>
      <x:c r="N163" s="70"/>
      <x:c r="O163" s="70"/>
    </x:row>
    <x:row r="164" ht="15" hidden="0" customHeight="1">
      <x:c r="A164" s="70"/>
      <x:c r="B164" s="70"/>
      <x:c r="C164" s="70"/>
      <x:c r="D164" s="70"/>
      <x:c r="E164" s="70"/>
      <x:c r="F164" s="70"/>
      <x:c r="G164" s="70"/>
      <x:c r="H164" s="70"/>
      <x:c r="I164" s="70"/>
      <x:c r="J164" s="70"/>
      <x:c r="K164" s="70"/>
      <x:c r="L164" s="70"/>
      <x:c r="M164" s="70"/>
      <x:c r="N164" s="70"/>
      <x:c r="O164" s="70"/>
    </x:row>
    <x:row r="165" ht="15" hidden="0" customHeight="1">
      <x:c r="A165" s="70"/>
      <x:c r="B165" s="70"/>
      <x:c r="C165" s="70"/>
      <x:c r="D165" s="70"/>
      <x:c r="E165" s="70"/>
      <x:c r="F165" s="70"/>
      <x:c r="G165" s="70"/>
      <x:c r="H165" s="70"/>
      <x:c r="I165" s="70"/>
      <x:c r="J165" s="70"/>
      <x:c r="K165" s="70"/>
      <x:c r="L165" s="70"/>
      <x:c r="M165" s="70"/>
      <x:c r="N165" s="70"/>
      <x:c r="O165" s="70"/>
    </x:row>
    <x:row r="166" ht="15" hidden="0" customHeight="1">
      <x:c r="A166" s="70"/>
      <x:c r="B166" s="70"/>
      <x:c r="C166" s="70"/>
      <x:c r="D166" s="70"/>
      <x:c r="E166" s="70"/>
      <x:c r="F166" s="70"/>
      <x:c r="G166" s="70"/>
      <x:c r="H166" s="70"/>
      <x:c r="I166" s="70"/>
      <x:c r="J166" s="70"/>
      <x:c r="K166" s="70"/>
      <x:c r="L166" s="70"/>
      <x:c r="M166" s="70"/>
      <x:c r="N166" s="70"/>
      <x:c r="O166" s="70"/>
    </x:row>
    <x:row r="167" ht="15" hidden="0" customHeight="1">
      <x:c r="A167" s="70"/>
      <x:c r="B167" s="70"/>
      <x:c r="C167" s="70"/>
      <x:c r="D167" s="70"/>
      <x:c r="E167" s="70"/>
      <x:c r="F167" s="70"/>
      <x:c r="G167" s="70"/>
      <x:c r="H167" s="70"/>
      <x:c r="I167" s="70"/>
      <x:c r="J167" s="70"/>
      <x:c r="K167" s="70"/>
      <x:c r="L167" s="70"/>
      <x:c r="M167" s="70"/>
      <x:c r="N167" s="70"/>
      <x:c r="O167" s="70"/>
    </x:row>
    <x:row r="168" ht="15" hidden="0" customHeight="1">
      <x:c r="A168" s="70"/>
      <x:c r="B168" s="70"/>
      <x:c r="C168" s="70"/>
      <x:c r="D168" s="70"/>
      <x:c r="E168" s="70"/>
      <x:c r="F168" s="70"/>
      <x:c r="G168" s="70"/>
      <x:c r="H168" s="70"/>
      <x:c r="I168" s="70"/>
      <x:c r="J168" s="70"/>
      <x:c r="K168" s="70"/>
      <x:c r="L168" s="70"/>
      <x:c r="M168" s="70"/>
      <x:c r="N168" s="70"/>
      <x:c r="O168" s="70"/>
    </x:row>
    <x:row r="169" ht="15" hidden="0" customHeight="1">
      <x:c r="A169" s="70"/>
      <x:c r="B169" s="70"/>
      <x:c r="C169" s="70"/>
      <x:c r="D169" s="70"/>
      <x:c r="E169" s="70"/>
      <x:c r="F169" s="70"/>
      <x:c r="G169" s="70"/>
      <x:c r="H169" s="70"/>
      <x:c r="I169" s="70"/>
      <x:c r="J169" s="70"/>
      <x:c r="K169" s="70"/>
      <x:c r="L169" s="70"/>
      <x:c r="M169" s="70"/>
      <x:c r="N169" s="70"/>
      <x:c r="O169" s="70"/>
    </x:row>
    <x:row r="170" ht="15" hidden="0" customHeight="1">
      <x:c r="A170" s="70"/>
      <x:c r="B170" s="70"/>
      <x:c r="C170" s="70"/>
      <x:c r="D170" s="70"/>
      <x:c r="E170" s="70"/>
      <x:c r="F170" s="70"/>
      <x:c r="G170" s="70"/>
      <x:c r="H170" s="70"/>
      <x:c r="I170" s="70"/>
      <x:c r="J170" s="70"/>
      <x:c r="K170" s="70"/>
      <x:c r="L170" s="70"/>
      <x:c r="M170" s="70"/>
      <x:c r="N170" s="70"/>
      <x:c r="O170" s="70"/>
    </x:row>
    <x:row r="171" ht="15" hidden="0" customHeight="1">
      <x:c r="A171" s="70"/>
      <x:c r="B171" s="70"/>
      <x:c r="C171" s="70"/>
      <x:c r="D171" s="70"/>
      <x:c r="E171" s="70"/>
      <x:c r="F171" s="70"/>
      <x:c r="G171" s="70"/>
      <x:c r="H171" s="70"/>
      <x:c r="I171" s="70"/>
      <x:c r="J171" s="70"/>
      <x:c r="K171" s="70"/>
      <x:c r="L171" s="70"/>
      <x:c r="M171" s="70"/>
      <x:c r="N171" s="70"/>
      <x:c r="O171" s="70"/>
    </x:row>
    <x:row r="172" ht="15" hidden="0" customHeight="1">
      <x:c r="A172" s="70"/>
      <x:c r="B172" s="70"/>
      <x:c r="C172" s="70"/>
      <x:c r="D172" s="70"/>
      <x:c r="E172" s="70"/>
      <x:c r="F172" s="70"/>
      <x:c r="G172" s="70"/>
      <x:c r="H172" s="70"/>
      <x:c r="I172" s="70"/>
      <x:c r="J172" s="70"/>
      <x:c r="K172" s="70"/>
      <x:c r="L172" s="70"/>
      <x:c r="M172" s="70"/>
      <x:c r="N172" s="70"/>
      <x:c r="O172" s="70"/>
    </x:row>
    <x:row r="173" ht="15" hidden="0" customHeight="1">
      <x:c r="A173" s="70"/>
      <x:c r="B173" s="70"/>
      <x:c r="C173" s="70"/>
      <x:c r="D173" s="70"/>
      <x:c r="E173" s="70"/>
      <x:c r="F173" s="70"/>
      <x:c r="G173" s="70"/>
      <x:c r="H173" s="70"/>
      <x:c r="I173" s="70"/>
      <x:c r="J173" s="70"/>
      <x:c r="K173" s="70"/>
      <x:c r="L173" s="70"/>
      <x:c r="M173" s="70"/>
      <x:c r="N173" s="70"/>
      <x:c r="O173" s="70"/>
    </x:row>
    <x:row r="174" ht="15" hidden="0" customHeight="1">
      <x:c r="A174" s="70"/>
      <x:c r="B174" s="70"/>
      <x:c r="C174" s="70"/>
      <x:c r="D174" s="70"/>
      <x:c r="E174" s="70"/>
      <x:c r="F174" s="70"/>
      <x:c r="G174" s="70"/>
      <x:c r="H174" s="70"/>
      <x:c r="I174" s="70"/>
      <x:c r="J174" s="70"/>
      <x:c r="K174" s="70"/>
      <x:c r="L174" s="70"/>
      <x:c r="M174" s="70"/>
      <x:c r="N174" s="70"/>
      <x:c r="O174" s="70"/>
    </x:row>
    <x:row r="175" ht="15" hidden="0" customHeight="1">
      <x:c r="A175" s="70"/>
      <x:c r="B175" s="70"/>
      <x:c r="C175" s="70"/>
      <x:c r="D175" s="70"/>
      <x:c r="E175" s="70"/>
      <x:c r="F175" s="70"/>
      <x:c r="G175" s="70"/>
      <x:c r="H175" s="70"/>
      <x:c r="I175" s="70"/>
      <x:c r="J175" s="70"/>
      <x:c r="K175" s="70"/>
      <x:c r="L175" s="70"/>
      <x:c r="M175" s="70"/>
      <x:c r="N175" s="70"/>
      <x:c r="O175" s="70"/>
    </x:row>
    <x:row r="176" ht="15" hidden="0" customHeight="1">
      <x:c r="A176" s="70"/>
      <x:c r="B176" s="70"/>
      <x:c r="C176" s="70"/>
      <x:c r="D176" s="70"/>
      <x:c r="E176" s="70"/>
      <x:c r="F176" s="70"/>
      <x:c r="G176" s="70"/>
      <x:c r="H176" s="70"/>
      <x:c r="I176" s="70"/>
      <x:c r="J176" s="70"/>
      <x:c r="K176" s="70"/>
      <x:c r="L176" s="70"/>
      <x:c r="M176" s="70"/>
      <x:c r="N176" s="70"/>
      <x:c r="O176" s="70"/>
    </x:row>
    <x:row r="177" ht="15" hidden="0" customHeight="1">
      <x:c r="A177" s="70"/>
      <x:c r="B177" s="70"/>
      <x:c r="C177" s="70"/>
      <x:c r="D177" s="70"/>
      <x:c r="E177" s="70"/>
      <x:c r="F177" s="70"/>
      <x:c r="G177" s="70"/>
      <x:c r="H177" s="70"/>
      <x:c r="I177" s="70"/>
      <x:c r="J177" s="70"/>
      <x:c r="K177" s="70"/>
      <x:c r="L177" s="70"/>
      <x:c r="M177" s="70"/>
      <x:c r="N177" s="70"/>
      <x:c r="O177" s="70"/>
    </x:row>
    <x:row r="178" ht="15" hidden="0" customHeight="1">
      <x:c r="A178" s="70"/>
      <x:c r="B178" s="70"/>
      <x:c r="C178" s="70"/>
      <x:c r="D178" s="70"/>
      <x:c r="E178" s="70"/>
      <x:c r="F178" s="70"/>
      <x:c r="G178" s="70"/>
      <x:c r="H178" s="70"/>
      <x:c r="I178" s="70"/>
      <x:c r="J178" s="70"/>
      <x:c r="K178" s="70"/>
      <x:c r="L178" s="70"/>
      <x:c r="M178" s="70"/>
      <x:c r="N178" s="70"/>
      <x:c r="O178" s="70"/>
    </x:row>
    <x:row r="179" ht="15" hidden="0" customHeight="1">
      <x:c r="A179" s="70"/>
      <x:c r="B179" s="70"/>
      <x:c r="C179" s="70"/>
      <x:c r="D179" s="70"/>
      <x:c r="E179" s="70"/>
      <x:c r="F179" s="70"/>
      <x:c r="G179" s="70"/>
      <x:c r="H179" s="70"/>
      <x:c r="I179" s="70"/>
      <x:c r="J179" s="70"/>
      <x:c r="K179" s="70"/>
      <x:c r="L179" s="70"/>
      <x:c r="M179" s="70"/>
      <x:c r="N179" s="70"/>
      <x:c r="O179" s="70"/>
    </x:row>
    <x:row r="180" ht="15" hidden="0" customHeight="1">
      <x:c r="A180" s="70"/>
      <x:c r="B180" s="70"/>
      <x:c r="C180" s="70"/>
      <x:c r="D180" s="70"/>
      <x:c r="E180" s="70"/>
      <x:c r="F180" s="70"/>
      <x:c r="G180" s="70"/>
      <x:c r="H180" s="70"/>
      <x:c r="I180" s="70"/>
      <x:c r="J180" s="70"/>
      <x:c r="K180" s="70"/>
      <x:c r="L180" s="70"/>
      <x:c r="M180" s="70"/>
      <x:c r="N180" s="70"/>
      <x:c r="O180" s="70"/>
    </x:row>
    <x:row r="181" ht="15" hidden="0" customHeight="1">
      <x:c r="A181" s="70"/>
      <x:c r="B181" s="70"/>
      <x:c r="C181" s="70"/>
      <x:c r="D181" s="70"/>
      <x:c r="E181" s="70"/>
      <x:c r="F181" s="70"/>
      <x:c r="G181" s="70"/>
      <x:c r="H181" s="70"/>
      <x:c r="I181" s="70"/>
      <x:c r="J181" s="70"/>
      <x:c r="K181" s="70"/>
      <x:c r="L181" s="70"/>
      <x:c r="M181" s="70"/>
      <x:c r="N181" s="70"/>
      <x:c r="O181" s="70"/>
    </x:row>
    <x:row r="182" ht="15" hidden="0" customHeight="1">
      <x:c r="A182" s="70"/>
      <x:c r="B182" s="70"/>
      <x:c r="C182" s="70"/>
      <x:c r="D182" s="70"/>
      <x:c r="E182" s="70"/>
      <x:c r="F182" s="70"/>
      <x:c r="G182" s="70"/>
      <x:c r="H182" s="70"/>
      <x:c r="I182" s="70"/>
      <x:c r="J182" s="70"/>
      <x:c r="K182" s="70"/>
      <x:c r="L182" s="70"/>
      <x:c r="M182" s="70"/>
      <x:c r="N182" s="70"/>
      <x:c r="O182" s="70"/>
    </x:row>
    <x:row r="183" ht="15" hidden="0" customHeight="1">
      <x:c r="A183" s="70"/>
      <x:c r="B183" s="70"/>
      <x:c r="C183" s="70"/>
      <x:c r="D183" s="70"/>
      <x:c r="E183" s="70"/>
      <x:c r="F183" s="70"/>
      <x:c r="G183" s="70"/>
      <x:c r="H183" s="70"/>
      <x:c r="I183" s="70"/>
      <x:c r="J183" s="70"/>
      <x:c r="K183" s="70"/>
      <x:c r="L183" s="70"/>
      <x:c r="M183" s="70"/>
      <x:c r="N183" s="70"/>
      <x:c r="O183" s="70"/>
    </x:row>
    <x:row r="184" ht="15" hidden="0" customHeight="1">
      <x:c r="A184" s="70"/>
      <x:c r="B184" s="70"/>
      <x:c r="C184" s="70"/>
      <x:c r="D184" s="70"/>
      <x:c r="E184" s="70"/>
      <x:c r="F184" s="70"/>
      <x:c r="G184" s="70"/>
      <x:c r="H184" s="70"/>
      <x:c r="I184" s="70"/>
      <x:c r="J184" s="70"/>
      <x:c r="K184" s="70"/>
      <x:c r="L184" s="70"/>
      <x:c r="M184" s="70"/>
      <x:c r="N184" s="70"/>
      <x:c r="O184" s="70"/>
    </x:row>
    <x:row r="185" ht="15" hidden="0" customHeight="1">
      <x:c r="A185" s="70"/>
      <x:c r="B185" s="70"/>
      <x:c r="C185" s="70"/>
      <x:c r="D185" s="70"/>
      <x:c r="E185" s="70"/>
      <x:c r="F185" s="70"/>
      <x:c r="G185" s="70"/>
      <x:c r="H185" s="70"/>
      <x:c r="I185" s="70"/>
      <x:c r="J185" s="70"/>
      <x:c r="K185" s="70"/>
      <x:c r="L185" s="70"/>
      <x:c r="M185" s="70"/>
      <x:c r="N185" s="70"/>
      <x:c r="O185" s="70"/>
    </x:row>
    <x:row r="186" ht="15" hidden="0" customHeight="1">
      <x:c r="A186" s="70"/>
      <x:c r="B186" s="70"/>
      <x:c r="C186" s="70"/>
      <x:c r="D186" s="70"/>
      <x:c r="E186" s="70"/>
      <x:c r="F186" s="70"/>
      <x:c r="G186" s="70"/>
      <x:c r="H186" s="70"/>
      <x:c r="I186" s="70"/>
      <x:c r="J186" s="70"/>
      <x:c r="K186" s="70"/>
      <x:c r="L186" s="70"/>
      <x:c r="M186" s="70"/>
      <x:c r="N186" s="70"/>
      <x:c r="O186" s="70"/>
    </x:row>
    <x:row r="187" ht="15" hidden="0" customHeight="1">
      <x:c r="A187" s="70"/>
      <x:c r="B187" s="70"/>
      <x:c r="C187" s="70"/>
      <x:c r="D187" s="70"/>
      <x:c r="E187" s="70"/>
      <x:c r="F187" s="70"/>
      <x:c r="G187" s="70"/>
      <x:c r="H187" s="70"/>
      <x:c r="I187" s="70"/>
      <x:c r="J187" s="70"/>
      <x:c r="K187" s="70"/>
      <x:c r="L187" s="70"/>
      <x:c r="M187" s="70"/>
      <x:c r="N187" s="70"/>
      <x:c r="O187" s="70"/>
    </x:row>
    <x:row r="188" ht="15" hidden="0" customHeight="1">
      <x:c r="A188" s="70"/>
      <x:c r="B188" s="70"/>
      <x:c r="C188" s="70"/>
      <x:c r="D188" s="70"/>
      <x:c r="E188" s="70"/>
      <x:c r="F188" s="70"/>
      <x:c r="G188" s="70"/>
      <x:c r="H188" s="70"/>
      <x:c r="I188" s="70"/>
      <x:c r="J188" s="70"/>
      <x:c r="K188" s="70"/>
      <x:c r="L188" s="70"/>
      <x:c r="M188" s="70"/>
      <x:c r="N188" s="70"/>
      <x:c r="O188" s="70"/>
    </x:row>
    <x:row r="189" ht="15" hidden="0" customHeight="1">
      <x:c r="A189" s="70"/>
      <x:c r="B189" s="70"/>
      <x:c r="C189" s="70"/>
      <x:c r="D189" s="70"/>
      <x:c r="E189" s="70"/>
      <x:c r="F189" s="70"/>
      <x:c r="G189" s="70"/>
      <x:c r="H189" s="70"/>
      <x:c r="I189" s="70"/>
      <x:c r="J189" s="70"/>
      <x:c r="K189" s="70"/>
      <x:c r="L189" s="70"/>
      <x:c r="M189" s="70"/>
      <x:c r="N189" s="70"/>
      <x:c r="O189" s="70"/>
    </x:row>
    <x:row r="190" ht="15" hidden="0" customHeight="1">
      <x:c r="A190" s="70"/>
      <x:c r="B190" s="70"/>
      <x:c r="C190" s="70"/>
      <x:c r="D190" s="70"/>
      <x:c r="E190" s="70"/>
      <x:c r="F190" s="70"/>
      <x:c r="G190" s="70"/>
      <x:c r="H190" s="70"/>
      <x:c r="I190" s="70"/>
      <x:c r="J190" s="70"/>
      <x:c r="K190" s="70"/>
      <x:c r="L190" s="70"/>
      <x:c r="M190" s="70"/>
      <x:c r="N190" s="70"/>
      <x:c r="O190" s="70"/>
    </x:row>
    <x:row r="191" ht="15" hidden="0" customHeight="1">
      <x:c r="A191" s="70"/>
      <x:c r="B191" s="70"/>
      <x:c r="C191" s="70"/>
      <x:c r="D191" s="70"/>
      <x:c r="E191" s="70"/>
      <x:c r="F191" s="70"/>
      <x:c r="G191" s="70"/>
      <x:c r="H191" s="70"/>
      <x:c r="I191" s="70"/>
      <x:c r="J191" s="70"/>
      <x:c r="K191" s="70"/>
      <x:c r="L191" s="70"/>
      <x:c r="M191" s="70"/>
      <x:c r="N191" s="70"/>
      <x:c r="O191" s="70"/>
    </x:row>
    <x:row r="192" ht="15" hidden="0" customHeight="1">
      <x:c r="A192" s="70"/>
      <x:c r="B192" s="70"/>
      <x:c r="C192" s="70"/>
      <x:c r="D192" s="70"/>
      <x:c r="E192" s="70"/>
      <x:c r="F192" s="70"/>
      <x:c r="G192" s="70"/>
      <x:c r="H192" s="70"/>
      <x:c r="I192" s="70"/>
      <x:c r="J192" s="70"/>
      <x:c r="K192" s="70"/>
      <x:c r="L192" s="70"/>
      <x:c r="M192" s="70"/>
      <x:c r="N192" s="70"/>
      <x:c r="O192" s="70"/>
    </x:row>
    <x:row r="193" ht="15" hidden="0" customHeight="1">
      <x:c r="A193" s="70"/>
      <x:c r="B193" s="70"/>
      <x:c r="C193" s="70"/>
      <x:c r="D193" s="70"/>
      <x:c r="E193" s="70"/>
      <x:c r="F193" s="70"/>
      <x:c r="G193" s="70"/>
      <x:c r="H193" s="70"/>
      <x:c r="I193" s="70"/>
      <x:c r="J193" s="70"/>
      <x:c r="K193" s="70"/>
      <x:c r="L193" s="70"/>
      <x:c r="M193" s="70"/>
      <x:c r="N193" s="70"/>
      <x:c r="O193" s="70"/>
    </x:row>
    <x:row r="194" ht="15" hidden="0" customHeight="1">
      <x:c r="A194" s="70"/>
      <x:c r="B194" s="70"/>
      <x:c r="C194" s="70"/>
      <x:c r="D194" s="70"/>
      <x:c r="E194" s="70"/>
      <x:c r="F194" s="70"/>
      <x:c r="G194" s="70"/>
      <x:c r="H194" s="70"/>
      <x:c r="I194" s="70"/>
      <x:c r="J194" s="70"/>
      <x:c r="K194" s="70"/>
      <x:c r="L194" s="70"/>
      <x:c r="M194" s="70"/>
      <x:c r="N194" s="70"/>
      <x:c r="O194" s="70"/>
    </x:row>
    <x:row r="195" ht="15" hidden="0" customHeight="1">
      <x:c r="A195" s="70"/>
      <x:c r="B195" s="70"/>
      <x:c r="C195" s="70"/>
      <x:c r="D195" s="70"/>
      <x:c r="E195" s="70"/>
      <x:c r="F195" s="70"/>
      <x:c r="G195" s="70"/>
      <x:c r="H195" s="70"/>
      <x:c r="I195" s="70"/>
      <x:c r="J195" s="70"/>
      <x:c r="K195" s="70"/>
      <x:c r="L195" s="70"/>
      <x:c r="M195" s="70"/>
      <x:c r="N195" s="70"/>
      <x:c r="O195" s="70"/>
    </x:row>
    <x:row r="196" ht="15" hidden="0" customHeight="1">
      <x:c r="A196" s="70"/>
      <x:c r="B196" s="70"/>
      <x:c r="C196" s="70"/>
      <x:c r="D196" s="70"/>
      <x:c r="E196" s="70"/>
      <x:c r="F196" s="70"/>
      <x:c r="G196" s="70"/>
      <x:c r="H196" s="70"/>
      <x:c r="I196" s="70"/>
      <x:c r="J196" s="70"/>
      <x:c r="K196" s="70"/>
      <x:c r="L196" s="70"/>
      <x:c r="M196" s="70"/>
      <x:c r="N196" s="70"/>
      <x:c r="O196" s="70"/>
    </x:row>
    <x:row r="197" ht="15" hidden="0" customHeight="1">
      <x:c r="A197" s="70"/>
      <x:c r="B197" s="70"/>
      <x:c r="C197" s="70"/>
      <x:c r="D197" s="70"/>
      <x:c r="E197" s="70"/>
      <x:c r="F197" s="70"/>
      <x:c r="G197" s="70"/>
      <x:c r="H197" s="70"/>
      <x:c r="I197" s="70"/>
      <x:c r="J197" s="70"/>
      <x:c r="K197" s="70"/>
      <x:c r="L197" s="70"/>
      <x:c r="M197" s="70"/>
      <x:c r="N197" s="70"/>
      <x:c r="O197" s="70"/>
    </x:row>
    <x:row r="198" ht="15" hidden="0" customHeight="1">
      <x:c r="A198" s="70"/>
      <x:c r="B198" s="70"/>
      <x:c r="C198" s="70"/>
      <x:c r="D198" s="70"/>
      <x:c r="E198" s="70"/>
      <x:c r="F198" s="70"/>
      <x:c r="G198" s="70"/>
      <x:c r="H198" s="70"/>
      <x:c r="I198" s="70"/>
      <x:c r="J198" s="70"/>
      <x:c r="K198" s="70"/>
      <x:c r="L198" s="70"/>
      <x:c r="M198" s="70"/>
      <x:c r="N198" s="70"/>
      <x:c r="O198" s="70"/>
    </x:row>
    <x:row r="199" ht="15" hidden="0" customHeight="1">
      <x:c r="A199" s="70"/>
      <x:c r="B199" s="70"/>
      <x:c r="C199" s="70"/>
      <x:c r="D199" s="70"/>
      <x:c r="E199" s="70"/>
      <x:c r="F199" s="70"/>
      <x:c r="G199" s="70"/>
      <x:c r="H199" s="70"/>
      <x:c r="I199" s="70"/>
      <x:c r="J199" s="70"/>
      <x:c r="K199" s="70"/>
      <x:c r="L199" s="70"/>
      <x:c r="M199" s="70"/>
      <x:c r="N199" s="70"/>
      <x:c r="O199" s="70"/>
    </x:row>
    <x:row r="200" ht="15" hidden="0" customHeight="1">
      <x:c r="A200" s="70"/>
      <x:c r="B200" s="70"/>
      <x:c r="C200" s="70"/>
      <x:c r="D200" s="70"/>
      <x:c r="E200" s="70"/>
      <x:c r="F200" s="70"/>
      <x:c r="G200" s="70"/>
      <x:c r="H200" s="70"/>
      <x:c r="I200" s="70"/>
      <x:c r="J200" s="70"/>
      <x:c r="K200" s="70"/>
      <x:c r="L200" s="70"/>
      <x:c r="M200" s="70"/>
      <x:c r="N200" s="70"/>
      <x:c r="O200" s="70"/>
    </x:row>
    <x:row r="201" ht="15" hidden="0" customHeight="1">
      <x:c r="A201" s="70"/>
      <x:c r="B201" s="70"/>
      <x:c r="C201" s="70"/>
      <x:c r="D201" s="70"/>
      <x:c r="E201" s="70"/>
      <x:c r="F201" s="70"/>
      <x:c r="G201" s="70"/>
      <x:c r="H201" s="70"/>
      <x:c r="I201" s="70"/>
      <x:c r="J201" s="70"/>
      <x:c r="K201" s="70"/>
      <x:c r="L201" s="70"/>
      <x:c r="M201" s="70"/>
      <x:c r="N201" s="70"/>
      <x:c r="O201" s="70"/>
    </x:row>
    <x:row r="202" ht="15" hidden="0" customHeight="1">
      <x:c r="A202" s="70"/>
      <x:c r="B202" s="70"/>
      <x:c r="C202" s="70"/>
      <x:c r="D202" s="70"/>
      <x:c r="E202" s="70"/>
      <x:c r="F202" s="70"/>
      <x:c r="G202" s="70"/>
      <x:c r="H202" s="70"/>
      <x:c r="I202" s="70"/>
      <x:c r="J202" s="70"/>
      <x:c r="K202" s="70"/>
      <x:c r="L202" s="70"/>
      <x:c r="M202" s="70"/>
      <x:c r="N202" s="70"/>
      <x:c r="O202" s="70"/>
    </x:row>
    <x:row r="203" ht="15" hidden="0" customHeight="1">
      <x:c r="A203" s="70"/>
      <x:c r="B203" s="70"/>
      <x:c r="C203" s="70"/>
      <x:c r="D203" s="70"/>
      <x:c r="E203" s="70"/>
      <x:c r="F203" s="70"/>
      <x:c r="G203" s="70"/>
      <x:c r="H203" s="70"/>
      <x:c r="I203" s="70"/>
      <x:c r="J203" s="70"/>
      <x:c r="K203" s="70"/>
      <x:c r="L203" s="70"/>
      <x:c r="M203" s="70"/>
      <x:c r="N203" s="70"/>
      <x:c r="O203" s="70"/>
    </x:row>
    <x:row r="204" ht="15" hidden="0" customHeight="1">
      <x:c r="A204" s="70"/>
      <x:c r="B204" s="70"/>
      <x:c r="C204" s="70"/>
      <x:c r="D204" s="70"/>
      <x:c r="E204" s="70"/>
      <x:c r="F204" s="70"/>
      <x:c r="G204" s="70"/>
      <x:c r="H204" s="70"/>
      <x:c r="I204" s="70"/>
      <x:c r="J204" s="70"/>
      <x:c r="K204" s="70"/>
      <x:c r="L204" s="70"/>
      <x:c r="M204" s="70"/>
      <x:c r="N204" s="70"/>
      <x:c r="O204" s="70"/>
    </x:row>
    <x:row r="205" ht="15" hidden="0" customHeight="1">
      <x:c r="A205" s="70"/>
      <x:c r="B205" s="70"/>
      <x:c r="C205" s="70"/>
      <x:c r="D205" s="70"/>
      <x:c r="E205" s="70"/>
      <x:c r="F205" s="70"/>
      <x:c r="G205" s="70"/>
      <x:c r="H205" s="70"/>
      <x:c r="I205" s="70"/>
      <x:c r="J205" s="70"/>
      <x:c r="K205" s="70"/>
      <x:c r="L205" s="70"/>
      <x:c r="M205" s="70"/>
      <x:c r="N205" s="70"/>
      <x:c r="O205" s="70"/>
    </x:row>
    <x:row r="206" ht="15" hidden="0" customHeight="1">
      <x:c r="A206" s="70"/>
      <x:c r="B206" s="70"/>
      <x:c r="C206" s="70"/>
      <x:c r="D206" s="70"/>
      <x:c r="E206" s="70"/>
      <x:c r="F206" s="70"/>
      <x:c r="G206" s="70"/>
      <x:c r="H206" s="70"/>
      <x:c r="I206" s="70"/>
      <x:c r="J206" s="70"/>
      <x:c r="K206" s="70"/>
      <x:c r="L206" s="70"/>
      <x:c r="M206" s="70"/>
      <x:c r="N206" s="70"/>
      <x:c r="O206" s="70"/>
    </x:row>
    <x:row r="207" ht="15" hidden="0" customHeight="1">
      <x:c r="A207" s="70"/>
      <x:c r="B207" s="70"/>
      <x:c r="C207" s="70"/>
      <x:c r="D207" s="70"/>
      <x:c r="E207" s="70"/>
      <x:c r="F207" s="70"/>
      <x:c r="G207" s="70"/>
      <x:c r="H207" s="70"/>
      <x:c r="I207" s="70"/>
      <x:c r="J207" s="70"/>
      <x:c r="K207" s="70"/>
      <x:c r="L207" s="70"/>
      <x:c r="M207" s="70"/>
      <x:c r="N207" s="70"/>
      <x:c r="O207" s="70"/>
    </x:row>
    <x:row r="208" ht="15" hidden="0" customHeight="1">
      <x:c r="A208" s="70"/>
      <x:c r="B208" s="70"/>
      <x:c r="C208" s="70"/>
      <x:c r="D208" s="70"/>
      <x:c r="E208" s="70"/>
      <x:c r="F208" s="70"/>
      <x:c r="G208" s="70"/>
      <x:c r="H208" s="70"/>
      <x:c r="I208" s="70"/>
      <x:c r="J208" s="70"/>
      <x:c r="K208" s="70"/>
      <x:c r="L208" s="70"/>
      <x:c r="M208" s="70"/>
      <x:c r="N208" s="70"/>
      <x:c r="O208" s="70"/>
    </x:row>
    <x:row r="209" ht="15" hidden="0" customHeight="1">
      <x:c r="A209" s="70"/>
      <x:c r="B209" s="70"/>
      <x:c r="C209" s="70"/>
      <x:c r="D209" s="70"/>
      <x:c r="E209" s="70"/>
      <x:c r="F209" s="70"/>
      <x:c r="G209" s="70"/>
      <x:c r="H209" s="70"/>
      <x:c r="I209" s="70"/>
      <x:c r="J209" s="70"/>
      <x:c r="K209" s="70"/>
      <x:c r="L209" s="70"/>
      <x:c r="M209" s="70"/>
      <x:c r="N209" s="70"/>
      <x:c r="O209" s="70"/>
    </x:row>
    <x:row r="210" ht="15" hidden="0" customHeight="1">
      <x:c r="A210" s="70"/>
      <x:c r="B210" s="70"/>
      <x:c r="C210" s="70"/>
      <x:c r="D210" s="70"/>
      <x:c r="E210" s="70"/>
      <x:c r="F210" s="70"/>
      <x:c r="G210" s="70"/>
      <x:c r="H210" s="70"/>
      <x:c r="I210" s="70"/>
      <x:c r="J210" s="70"/>
      <x:c r="K210" s="70"/>
      <x:c r="L210" s="70"/>
      <x:c r="M210" s="70"/>
      <x:c r="N210" s="70"/>
      <x:c r="O210" s="70"/>
    </x:row>
    <x:row r="211" ht="15" hidden="0" customHeight="1">
      <x:c r="A211" s="70"/>
      <x:c r="B211" s="70"/>
      <x:c r="C211" s="70"/>
      <x:c r="D211" s="70"/>
      <x:c r="E211" s="70"/>
      <x:c r="F211" s="70"/>
      <x:c r="G211" s="70"/>
      <x:c r="H211" s="70"/>
      <x:c r="I211" s="70"/>
      <x:c r="J211" s="70"/>
      <x:c r="K211" s="70"/>
      <x:c r="L211" s="70"/>
      <x:c r="M211" s="70"/>
      <x:c r="N211" s="70"/>
      <x:c r="O211" s="70"/>
    </x:row>
    <x:row r="212" ht="15" hidden="0" customHeight="1">
      <x:c r="A212" s="70"/>
      <x:c r="B212" s="70"/>
      <x:c r="C212" s="70"/>
      <x:c r="D212" s="70"/>
      <x:c r="E212" s="70"/>
      <x:c r="F212" s="70"/>
      <x:c r="G212" s="70"/>
      <x:c r="H212" s="70"/>
      <x:c r="I212" s="70"/>
      <x:c r="J212" s="70"/>
      <x:c r="K212" s="70"/>
      <x:c r="L212" s="70"/>
      <x:c r="M212" s="70"/>
      <x:c r="N212" s="70"/>
      <x:c r="O212" s="70"/>
    </x:row>
    <x:row r="213" ht="15" hidden="0" customHeight="1">
      <x:c r="A213" s="70"/>
      <x:c r="B213" s="70"/>
      <x:c r="C213" s="70"/>
      <x:c r="D213" s="70"/>
      <x:c r="E213" s="70"/>
      <x:c r="F213" s="70"/>
      <x:c r="G213" s="70"/>
      <x:c r="H213" s="70"/>
      <x:c r="I213" s="70"/>
      <x:c r="J213" s="70"/>
      <x:c r="K213" s="70"/>
      <x:c r="L213" s="70"/>
      <x:c r="M213" s="70"/>
      <x:c r="N213" s="70"/>
      <x:c r="O213" s="70"/>
    </x:row>
    <x:row r="214" ht="15" hidden="0" customHeight="1">
      <x:c r="A214" s="70"/>
      <x:c r="B214" s="70"/>
      <x:c r="C214" s="70"/>
      <x:c r="D214" s="70"/>
      <x:c r="E214" s="70"/>
      <x:c r="F214" s="70"/>
      <x:c r="G214" s="70"/>
      <x:c r="H214" s="70"/>
      <x:c r="I214" s="70"/>
      <x:c r="J214" s="70"/>
      <x:c r="K214" s="70"/>
      <x:c r="L214" s="70"/>
      <x:c r="M214" s="70"/>
      <x:c r="N214" s="70"/>
      <x:c r="O214" s="70"/>
    </x:row>
    <x:row r="215" ht="15" hidden="0" customHeight="1">
      <x:c r="A215" s="70"/>
      <x:c r="B215" s="70"/>
      <x:c r="C215" s="70"/>
      <x:c r="D215" s="70"/>
      <x:c r="E215" s="70"/>
      <x:c r="F215" s="70"/>
      <x:c r="G215" s="70"/>
      <x:c r="H215" s="70"/>
      <x:c r="I215" s="70"/>
      <x:c r="J215" s="70"/>
      <x:c r="K215" s="70"/>
      <x:c r="L215" s="70"/>
      <x:c r="M215" s="70"/>
      <x:c r="N215" s="70"/>
      <x:c r="O215" s="70"/>
    </x:row>
    <x:row r="216" ht="15" hidden="0" customHeight="1">
      <x:c r="A216" s="70"/>
      <x:c r="B216" s="70"/>
      <x:c r="C216" s="70"/>
      <x:c r="D216" s="70"/>
      <x:c r="E216" s="70"/>
      <x:c r="F216" s="70"/>
      <x:c r="G216" s="70"/>
      <x:c r="H216" s="70"/>
      <x:c r="I216" s="70"/>
      <x:c r="J216" s="70"/>
      <x:c r="K216" s="70"/>
      <x:c r="L216" s="70"/>
      <x:c r="M216" s="70"/>
      <x:c r="N216" s="70"/>
      <x:c r="O216" s="70"/>
    </x:row>
    <x:row r="217" ht="15" hidden="0" customHeight="1">
      <x:c r="A217" s="70"/>
      <x:c r="B217" s="70"/>
      <x:c r="C217" s="70"/>
      <x:c r="D217" s="70"/>
      <x:c r="E217" s="70"/>
      <x:c r="F217" s="70"/>
      <x:c r="G217" s="70"/>
      <x:c r="H217" s="70"/>
      <x:c r="I217" s="70"/>
      <x:c r="J217" s="70"/>
      <x:c r="K217" s="70"/>
      <x:c r="L217" s="70"/>
      <x:c r="M217" s="70"/>
      <x:c r="N217" s="70"/>
      <x:c r="O217" s="70"/>
    </x:row>
    <x:row r="218" ht="15" hidden="0" customHeight="1">
      <x:c r="A218" s="70"/>
      <x:c r="B218" s="70"/>
      <x:c r="C218" s="70"/>
      <x:c r="D218" s="70"/>
      <x:c r="E218" s="70"/>
      <x:c r="F218" s="70"/>
      <x:c r="G218" s="70"/>
      <x:c r="H218" s="70"/>
      <x:c r="I218" s="70"/>
      <x:c r="J218" s="70"/>
      <x:c r="K218" s="70"/>
      <x:c r="L218" s="70"/>
      <x:c r="M218" s="70"/>
      <x:c r="N218" s="70"/>
      <x:c r="O218" s="70"/>
    </x:row>
    <x:row r="219" ht="15" hidden="0" customHeight="1">
      <x:c r="A219" s="70"/>
      <x:c r="B219" s="70"/>
      <x:c r="C219" s="70"/>
      <x:c r="D219" s="70"/>
      <x:c r="E219" s="70"/>
      <x:c r="F219" s="70"/>
      <x:c r="G219" s="70"/>
      <x:c r="H219" s="70"/>
      <x:c r="I219" s="70"/>
      <x:c r="J219" s="70"/>
      <x:c r="K219" s="70"/>
      <x:c r="L219" s="70"/>
      <x:c r="M219" s="70"/>
      <x:c r="N219" s="70"/>
      <x:c r="O219" s="70"/>
    </x:row>
    <x:row r="220" ht="15" hidden="0" customHeight="1">
      <x:c r="A220" s="70"/>
      <x:c r="B220" s="70"/>
      <x:c r="C220" s="70"/>
      <x:c r="D220" s="70"/>
      <x:c r="E220" s="70"/>
      <x:c r="F220" s="70"/>
      <x:c r="G220" s="70"/>
      <x:c r="H220" s="70"/>
      <x:c r="I220" s="70"/>
      <x:c r="J220" s="70"/>
      <x:c r="K220" s="70"/>
      <x:c r="L220" s="70"/>
      <x:c r="M220" s="70"/>
      <x:c r="N220" s="70"/>
      <x:c r="O220" s="70"/>
    </x:row>
    <x:row r="221" ht="15" hidden="0" customHeight="1">
      <x:c r="A221" s="70"/>
      <x:c r="B221" s="70"/>
      <x:c r="C221" s="70"/>
      <x:c r="D221" s="70"/>
      <x:c r="E221" s="70"/>
      <x:c r="F221" s="70"/>
      <x:c r="G221" s="70"/>
      <x:c r="H221" s="70"/>
      <x:c r="I221" s="70"/>
      <x:c r="J221" s="70"/>
      <x:c r="K221" s="70"/>
      <x:c r="L221" s="70"/>
      <x:c r="M221" s="70"/>
      <x:c r="N221" s="70"/>
      <x:c r="O221" s="70"/>
    </x:row>
    <x:row r="222" ht="15" hidden="0" customHeight="1">
      <x:c r="A222" s="70"/>
      <x:c r="B222" s="70"/>
      <x:c r="C222" s="70"/>
      <x:c r="D222" s="70"/>
      <x:c r="E222" s="70"/>
      <x:c r="F222" s="70"/>
      <x:c r="G222" s="70"/>
      <x:c r="H222" s="70"/>
      <x:c r="I222" s="70"/>
      <x:c r="J222" s="70"/>
      <x:c r="K222" s="70"/>
      <x:c r="L222" s="70"/>
      <x:c r="M222" s="70"/>
      <x:c r="N222" s="70"/>
      <x:c r="O222" s="70"/>
    </x:row>
    <x:row r="223" ht="15" hidden="0" customHeight="1">
      <x:c r="A223" s="70"/>
      <x:c r="B223" s="70"/>
      <x:c r="C223" s="70"/>
      <x:c r="D223" s="70"/>
      <x:c r="E223" s="70"/>
      <x:c r="F223" s="70"/>
      <x:c r="G223" s="70"/>
      <x:c r="H223" s="70"/>
      <x:c r="I223" s="70"/>
      <x:c r="J223" s="70"/>
      <x:c r="K223" s="70"/>
      <x:c r="L223" s="70"/>
      <x:c r="M223" s="70"/>
      <x:c r="N223" s="70"/>
      <x:c r="O223" s="70"/>
    </x:row>
    <x:row r="224" ht="15" hidden="0" customHeight="1">
      <x:c r="A224" s="70"/>
      <x:c r="B224" s="70"/>
      <x:c r="C224" s="70"/>
      <x:c r="D224" s="70"/>
      <x:c r="E224" s="70"/>
      <x:c r="F224" s="70"/>
      <x:c r="G224" s="70"/>
      <x:c r="H224" s="70"/>
      <x:c r="I224" s="70"/>
      <x:c r="J224" s="70"/>
      <x:c r="K224" s="70"/>
      <x:c r="L224" s="70"/>
      <x:c r="M224" s="70"/>
      <x:c r="N224" s="70"/>
      <x:c r="O224" s="70"/>
    </x:row>
    <x:row r="225" ht="15" hidden="0" customHeight="1">
      <x:c r="A225" s="70"/>
      <x:c r="B225" s="70"/>
      <x:c r="C225" s="70"/>
      <x:c r="D225" s="70"/>
      <x:c r="E225" s="70"/>
      <x:c r="F225" s="70"/>
      <x:c r="G225" s="70"/>
      <x:c r="H225" s="70"/>
      <x:c r="I225" s="70"/>
      <x:c r="J225" s="70"/>
      <x:c r="K225" s="70"/>
      <x:c r="L225" s="70"/>
      <x:c r="M225" s="70"/>
      <x:c r="N225" s="70"/>
      <x:c r="O225" s="70"/>
    </x:row>
    <x:row r="226" ht="15" hidden="0" customHeight="1">
      <x:c r="A226" s="70"/>
      <x:c r="B226" s="70"/>
      <x:c r="C226" s="70"/>
      <x:c r="D226" s="70"/>
      <x:c r="E226" s="70"/>
      <x:c r="F226" s="70"/>
      <x:c r="G226" s="70"/>
      <x:c r="H226" s="70"/>
      <x:c r="I226" s="70"/>
      <x:c r="J226" s="70"/>
      <x:c r="K226" s="70"/>
      <x:c r="L226" s="70"/>
      <x:c r="M226" s="70"/>
      <x:c r="N226" s="70"/>
      <x:c r="O226" s="70"/>
    </x:row>
    <x:row r="227" ht="15" hidden="0" customHeight="1">
      <x:c r="A227" s="70"/>
      <x:c r="B227" s="70"/>
      <x:c r="C227" s="70"/>
      <x:c r="D227" s="70"/>
      <x:c r="E227" s="70"/>
      <x:c r="F227" s="70"/>
      <x:c r="G227" s="70"/>
      <x:c r="H227" s="70"/>
      <x:c r="I227" s="70"/>
      <x:c r="J227" s="70"/>
      <x:c r="K227" s="70"/>
      <x:c r="L227" s="70"/>
      <x:c r="M227" s="70"/>
      <x:c r="N227" s="70"/>
      <x:c r="O227" s="70"/>
    </x:row>
    <x:row r="228" ht="15" hidden="0" customHeight="1">
      <x:c r="A228" s="70"/>
      <x:c r="B228" s="70"/>
      <x:c r="C228" s="70"/>
      <x:c r="D228" s="70"/>
      <x:c r="E228" s="70"/>
      <x:c r="F228" s="70"/>
      <x:c r="G228" s="70"/>
      <x:c r="H228" s="70"/>
      <x:c r="I228" s="70"/>
      <x:c r="J228" s="70"/>
      <x:c r="K228" s="70"/>
      <x:c r="L228" s="70"/>
      <x:c r="M228" s="70"/>
      <x:c r="N228" s="70"/>
      <x:c r="O228" s="70"/>
    </x:row>
    <x:row r="229" ht="15" hidden="0" customHeight="1">
      <x:c r="A229" s="70"/>
      <x:c r="B229" s="70"/>
      <x:c r="C229" s="70"/>
      <x:c r="D229" s="70"/>
      <x:c r="E229" s="70"/>
      <x:c r="F229" s="70"/>
      <x:c r="G229" s="70"/>
      <x:c r="H229" s="70"/>
      <x:c r="I229" s="70"/>
      <x:c r="J229" s="70"/>
      <x:c r="K229" s="70"/>
      <x:c r="L229" s="70"/>
      <x:c r="M229" s="70"/>
      <x:c r="N229" s="70"/>
      <x:c r="O229" s="70"/>
    </x:row>
    <x:row r="230" ht="15" hidden="0" customHeight="1">
      <x:c r="A230" s="70"/>
      <x:c r="B230" s="70"/>
      <x:c r="C230" s="70"/>
      <x:c r="D230" s="70"/>
      <x:c r="E230" s="70"/>
      <x:c r="F230" s="70"/>
      <x:c r="G230" s="70"/>
      <x:c r="H230" s="70"/>
      <x:c r="I230" s="70"/>
      <x:c r="J230" s="70"/>
      <x:c r="K230" s="70"/>
      <x:c r="L230" s="70"/>
      <x:c r="M230" s="70"/>
      <x:c r="N230" s="70"/>
      <x:c r="O230" s="70"/>
    </x:row>
    <x:row r="231" ht="15" hidden="0" customHeight="1">
      <x:c r="A231" s="70"/>
      <x:c r="B231" s="70"/>
      <x:c r="C231" s="70"/>
      <x:c r="D231" s="70"/>
      <x:c r="E231" s="70"/>
      <x:c r="F231" s="70"/>
      <x:c r="G231" s="70"/>
      <x:c r="H231" s="70"/>
      <x:c r="I231" s="70"/>
      <x:c r="J231" s="70"/>
      <x:c r="K231" s="70"/>
      <x:c r="L231" s="70"/>
      <x:c r="M231" s="70"/>
      <x:c r="N231" s="70"/>
      <x:c r="O231" s="70"/>
    </x:row>
    <x:row r="232" ht="15" hidden="0" customHeight="1">
      <x:c r="A232" s="70"/>
      <x:c r="B232" s="70"/>
      <x:c r="C232" s="70"/>
      <x:c r="D232" s="70"/>
      <x:c r="E232" s="70"/>
      <x:c r="F232" s="70"/>
      <x:c r="G232" s="70"/>
      <x:c r="H232" s="70"/>
      <x:c r="I232" s="70"/>
      <x:c r="J232" s="70"/>
      <x:c r="K232" s="70"/>
      <x:c r="L232" s="70"/>
      <x:c r="M232" s="70"/>
      <x:c r="N232" s="70"/>
      <x:c r="O232" s="70"/>
    </x:row>
    <x:row r="233" ht="15" hidden="0" customHeight="1">
      <x:c r="A233" s="70"/>
      <x:c r="B233" s="70"/>
      <x:c r="C233" s="70"/>
      <x:c r="D233" s="70"/>
      <x:c r="E233" s="70"/>
      <x:c r="F233" s="70"/>
      <x:c r="G233" s="70"/>
      <x:c r="H233" s="70"/>
      <x:c r="I233" s="70"/>
      <x:c r="J233" s="70"/>
      <x:c r="K233" s="70"/>
      <x:c r="L233" s="70"/>
      <x:c r="M233" s="70"/>
      <x:c r="N233" s="70"/>
      <x:c r="O233" s="70"/>
    </x:row>
    <x:row r="234" ht="15" hidden="0" customHeight="1">
      <x:c r="A234" s="70"/>
      <x:c r="B234" s="70"/>
      <x:c r="C234" s="70"/>
      <x:c r="D234" s="70"/>
      <x:c r="E234" s="70"/>
      <x:c r="F234" s="70"/>
      <x:c r="G234" s="70"/>
      <x:c r="H234" s="70"/>
      <x:c r="I234" s="70"/>
      <x:c r="J234" s="70"/>
      <x:c r="K234" s="70"/>
      <x:c r="L234" s="70"/>
      <x:c r="M234" s="70"/>
      <x:c r="N234" s="70"/>
      <x:c r="O234" s="70"/>
    </x:row>
    <x:row r="235" ht="15" hidden="0" customHeight="1">
      <x:c r="A235" s="70"/>
      <x:c r="B235" s="70"/>
      <x:c r="C235" s="70"/>
      <x:c r="D235" s="70"/>
      <x:c r="E235" s="70"/>
      <x:c r="F235" s="70"/>
      <x:c r="G235" s="70"/>
      <x:c r="H235" s="70"/>
      <x:c r="I235" s="70"/>
      <x:c r="J235" s="70"/>
      <x:c r="K235" s="70"/>
      <x:c r="L235" s="70"/>
      <x:c r="M235" s="70"/>
      <x:c r="N235" s="70"/>
      <x:c r="O235" s="70"/>
    </x:row>
    <x:row r="236" ht="15" hidden="0" customHeight="1">
      <x:c r="A236" s="70"/>
      <x:c r="B236" s="70"/>
      <x:c r="C236" s="70"/>
      <x:c r="D236" s="70"/>
      <x:c r="E236" s="70"/>
      <x:c r="F236" s="70"/>
      <x:c r="G236" s="70"/>
      <x:c r="H236" s="70"/>
      <x:c r="I236" s="70"/>
      <x:c r="J236" s="70"/>
      <x:c r="K236" s="70"/>
      <x:c r="L236" s="70"/>
      <x:c r="M236" s="70"/>
      <x:c r="N236" s="70"/>
      <x:c r="O236" s="70"/>
    </x:row>
    <x:row r="237" ht="15" hidden="0" customHeight="1">
      <x:c r="A237" s="70"/>
      <x:c r="B237" s="70"/>
      <x:c r="C237" s="70"/>
      <x:c r="D237" s="70"/>
      <x:c r="E237" s="70"/>
      <x:c r="F237" s="70"/>
      <x:c r="G237" s="70"/>
      <x:c r="H237" s="70"/>
      <x:c r="I237" s="70"/>
      <x:c r="J237" s="70"/>
      <x:c r="K237" s="70"/>
      <x:c r="L237" s="70"/>
      <x:c r="M237" s="70"/>
      <x:c r="N237" s="70"/>
      <x:c r="O237" s="70"/>
    </x:row>
    <x:row r="238" ht="15" hidden="0" customHeight="1">
      <x:c r="A238" s="70"/>
      <x:c r="B238" s="70"/>
      <x:c r="C238" s="70"/>
      <x:c r="D238" s="70"/>
      <x:c r="E238" s="70"/>
      <x:c r="F238" s="70"/>
      <x:c r="G238" s="70"/>
      <x:c r="H238" s="70"/>
      <x:c r="I238" s="70"/>
      <x:c r="J238" s="70"/>
      <x:c r="K238" s="70"/>
      <x:c r="L238" s="70"/>
      <x:c r="M238" s="70"/>
      <x:c r="N238" s="70"/>
      <x:c r="O238" s="70"/>
    </x:row>
    <x:row r="239" ht="15" hidden="0" customHeight="1">
      <x:c r="A239" s="70"/>
      <x:c r="B239" s="70"/>
      <x:c r="C239" s="70"/>
      <x:c r="D239" s="70"/>
      <x:c r="E239" s="70"/>
      <x:c r="F239" s="70"/>
      <x:c r="G239" s="70"/>
      <x:c r="H239" s="70"/>
      <x:c r="I239" s="70"/>
      <x:c r="J239" s="70"/>
      <x:c r="K239" s="70"/>
      <x:c r="L239" s="70"/>
      <x:c r="M239" s="70"/>
      <x:c r="N239" s="70"/>
      <x:c r="O239" s="70"/>
    </x:row>
    <x:row r="240" ht="15" hidden="0" customHeight="1">
      <x:c r="A240" s="70"/>
      <x:c r="B240" s="70"/>
      <x:c r="C240" s="70"/>
      <x:c r="D240" s="70"/>
      <x:c r="E240" s="70"/>
      <x:c r="F240" s="70"/>
      <x:c r="G240" s="70"/>
      <x:c r="H240" s="70"/>
      <x:c r="I240" s="70"/>
      <x:c r="J240" s="70"/>
      <x:c r="K240" s="70"/>
      <x:c r="L240" s="70"/>
      <x:c r="M240" s="70"/>
      <x:c r="N240" s="70"/>
      <x:c r="O240" s="70"/>
    </x:row>
    <x:row r="241" ht="15" hidden="0" customHeight="1">
      <x:c r="A241" s="70"/>
      <x:c r="B241" s="70"/>
      <x:c r="C241" s="70"/>
      <x:c r="D241" s="70"/>
      <x:c r="E241" s="70"/>
      <x:c r="F241" s="70"/>
      <x:c r="G241" s="70"/>
      <x:c r="H241" s="70"/>
      <x:c r="I241" s="70"/>
      <x:c r="J241" s="70"/>
      <x:c r="K241" s="70"/>
      <x:c r="L241" s="70"/>
      <x:c r="M241" s="70"/>
      <x:c r="N241" s="70"/>
      <x:c r="O241" s="70"/>
    </x:row>
    <x:row r="242" ht="15" hidden="0" customHeight="1">
      <x:c r="A242" s="70"/>
      <x:c r="B242" s="70"/>
      <x:c r="C242" s="70"/>
      <x:c r="D242" s="70"/>
      <x:c r="E242" s="70"/>
      <x:c r="F242" s="70"/>
      <x:c r="G242" s="70"/>
      <x:c r="H242" s="70"/>
      <x:c r="I242" s="70"/>
      <x:c r="J242" s="70"/>
      <x:c r="K242" s="70"/>
      <x:c r="L242" s="70"/>
      <x:c r="M242" s="70"/>
      <x:c r="N242" s="70"/>
      <x:c r="O242" s="70"/>
    </x:row>
    <x:row r="243" ht="15" hidden="0" customHeight="1">
      <x:c r="A243" s="70"/>
      <x:c r="B243" s="70"/>
      <x:c r="C243" s="70"/>
      <x:c r="D243" s="70"/>
      <x:c r="E243" s="70"/>
      <x:c r="F243" s="70"/>
      <x:c r="G243" s="70"/>
      <x:c r="H243" s="70"/>
      <x:c r="I243" s="70"/>
      <x:c r="J243" s="70"/>
      <x:c r="K243" s="70"/>
      <x:c r="L243" s="70"/>
      <x:c r="M243" s="70"/>
      <x:c r="N243" s="70"/>
      <x:c r="O243" s="70"/>
    </x:row>
    <x:row r="244" ht="15" hidden="0" customHeight="1">
      <x:c r="A244" s="70"/>
      <x:c r="B244" s="70"/>
      <x:c r="C244" s="70"/>
      <x:c r="D244" s="70"/>
      <x:c r="E244" s="70"/>
      <x:c r="F244" s="70"/>
      <x:c r="G244" s="70"/>
      <x:c r="H244" s="70"/>
      <x:c r="I244" s="70"/>
      <x:c r="J244" s="70"/>
      <x:c r="K244" s="70"/>
      <x:c r="L244" s="70"/>
      <x:c r="M244" s="70"/>
      <x:c r="N244" s="70"/>
      <x:c r="O244" s="70"/>
    </x:row>
    <x:row r="245" ht="15" hidden="0" customHeight="1">
      <x:c r="A245" s="70"/>
      <x:c r="B245" s="70"/>
      <x:c r="C245" s="70"/>
      <x:c r="D245" s="70"/>
      <x:c r="E245" s="70"/>
      <x:c r="F245" s="70"/>
      <x:c r="G245" s="70"/>
      <x:c r="H245" s="70"/>
      <x:c r="I245" s="70"/>
      <x:c r="J245" s="70"/>
      <x:c r="K245" s="70"/>
      <x:c r="L245" s="70"/>
      <x:c r="M245" s="70"/>
      <x:c r="N245" s="70"/>
      <x:c r="O245" s="70"/>
    </x:row>
    <x:row r="246" ht="15" hidden="0" customHeight="1">
      <x:c r="A246" s="70"/>
      <x:c r="B246" s="70"/>
      <x:c r="C246" s="70"/>
      <x:c r="D246" s="70"/>
      <x:c r="E246" s="70"/>
      <x:c r="F246" s="70"/>
      <x:c r="G246" s="70"/>
      <x:c r="H246" s="70"/>
      <x:c r="I246" s="70"/>
      <x:c r="J246" s="70"/>
      <x:c r="K246" s="70"/>
      <x:c r="L246" s="70"/>
      <x:c r="M246" s="70"/>
      <x:c r="N246" s="70"/>
      <x:c r="O246" s="70"/>
    </x:row>
    <x:row r="247" ht="15" hidden="0" customHeight="1">
      <x:c r="A247" s="70"/>
      <x:c r="B247" s="70"/>
      <x:c r="C247" s="70"/>
      <x:c r="D247" s="70"/>
      <x:c r="E247" s="70"/>
      <x:c r="F247" s="70"/>
      <x:c r="G247" s="70"/>
      <x:c r="H247" s="70"/>
      <x:c r="I247" s="70"/>
      <x:c r="J247" s="70"/>
      <x:c r="K247" s="70"/>
      <x:c r="L247" s="70"/>
      <x:c r="M247" s="70"/>
      <x:c r="N247" s="70"/>
      <x:c r="O247" s="70"/>
    </x:row>
    <x:row r="248" ht="15" hidden="0" customHeight="1">
      <x:c r="A248" s="70"/>
      <x:c r="B248" s="70"/>
      <x:c r="C248" s="70"/>
      <x:c r="D248" s="70"/>
      <x:c r="E248" s="70"/>
      <x:c r="F248" s="70"/>
      <x:c r="G248" s="70"/>
      <x:c r="H248" s="70"/>
      <x:c r="I248" s="70"/>
      <x:c r="J248" s="70"/>
      <x:c r="K248" s="70"/>
      <x:c r="L248" s="70"/>
      <x:c r="M248" s="70"/>
      <x:c r="N248" s="70"/>
      <x:c r="O248" s="70"/>
    </x:row>
    <x:row r="249" ht="15" hidden="0" customHeight="1">
      <x:c r="A249" s="70"/>
      <x:c r="B249" s="70"/>
      <x:c r="C249" s="70"/>
      <x:c r="D249" s="70"/>
      <x:c r="E249" s="70"/>
      <x:c r="F249" s="70"/>
      <x:c r="G249" s="70"/>
      <x:c r="H249" s="70"/>
      <x:c r="I249" s="70"/>
      <x:c r="J249" s="70"/>
      <x:c r="K249" s="70"/>
      <x:c r="L249" s="70"/>
      <x:c r="M249" s="70"/>
      <x:c r="N249" s="70"/>
      <x:c r="O249" s="70"/>
    </x:row>
    <x:row r="250" ht="15" hidden="0" customHeight="1">
      <x:c r="A250" s="70"/>
      <x:c r="B250" s="70"/>
      <x:c r="C250" s="70"/>
      <x:c r="D250" s="70"/>
      <x:c r="E250" s="70"/>
      <x:c r="F250" s="70"/>
      <x:c r="G250" s="70"/>
      <x:c r="H250" s="70"/>
      <x:c r="I250" s="70"/>
      <x:c r="J250" s="70"/>
      <x:c r="K250" s="70"/>
      <x:c r="L250" s="70"/>
      <x:c r="M250" s="70"/>
      <x:c r="N250" s="70"/>
      <x:c r="O250" s="70"/>
    </x:row>
    <x:row r="251" ht="15" hidden="0" customHeight="1">
      <x:c r="A251" s="70"/>
      <x:c r="B251" s="70"/>
      <x:c r="C251" s="70"/>
      <x:c r="D251" s="70"/>
      <x:c r="E251" s="70"/>
      <x:c r="F251" s="70"/>
      <x:c r="G251" s="70"/>
      <x:c r="H251" s="70"/>
      <x:c r="I251" s="70"/>
      <x:c r="J251" s="70"/>
      <x:c r="K251" s="70"/>
      <x:c r="L251" s="70"/>
      <x:c r="M251" s="70"/>
      <x:c r="N251" s="70"/>
      <x:c r="O251" s="70"/>
    </x:row>
    <x:row r="252" ht="15" hidden="0" customHeight="1">
      <x:c r="A252" s="70"/>
      <x:c r="B252" s="70"/>
      <x:c r="C252" s="70"/>
      <x:c r="D252" s="70"/>
      <x:c r="E252" s="70"/>
      <x:c r="F252" s="70"/>
      <x:c r="G252" s="70"/>
      <x:c r="H252" s="70"/>
      <x:c r="I252" s="70"/>
      <x:c r="J252" s="70"/>
      <x:c r="K252" s="70"/>
      <x:c r="L252" s="70"/>
      <x:c r="M252" s="70"/>
      <x:c r="N252" s="70"/>
      <x:c r="O252" s="70"/>
    </x:row>
    <x:row r="253" ht="15" hidden="0" customHeight="1">
      <x:c r="A253" s="70"/>
      <x:c r="B253" s="70"/>
      <x:c r="C253" s="70"/>
      <x:c r="D253" s="70"/>
      <x:c r="E253" s="70"/>
      <x:c r="F253" s="70"/>
      <x:c r="G253" s="70"/>
      <x:c r="H253" s="70"/>
      <x:c r="I253" s="70"/>
      <x:c r="J253" s="70"/>
      <x:c r="K253" s="70"/>
      <x:c r="L253" s="70"/>
      <x:c r="M253" s="70"/>
      <x:c r="N253" s="70"/>
      <x:c r="O253" s="70"/>
    </x:row>
    <x:row r="254" ht="15" hidden="0" customHeight="1">
      <x:c r="A254" s="70"/>
      <x:c r="B254" s="70"/>
      <x:c r="C254" s="70"/>
      <x:c r="D254" s="70"/>
      <x:c r="E254" s="70"/>
      <x:c r="F254" s="70"/>
      <x:c r="G254" s="70"/>
      <x:c r="H254" s="70"/>
      <x:c r="I254" s="70"/>
      <x:c r="J254" s="70"/>
      <x:c r="K254" s="70"/>
      <x:c r="L254" s="70"/>
      <x:c r="M254" s="70"/>
      <x:c r="N254" s="70"/>
      <x:c r="O254" s="70"/>
    </x:row>
    <x:row r="255" ht="15" hidden="0" customHeight="1">
      <x:c r="A255" s="70"/>
      <x:c r="B255" s="70"/>
      <x:c r="C255" s="70"/>
      <x:c r="D255" s="70"/>
      <x:c r="E255" s="70"/>
      <x:c r="F255" s="70"/>
      <x:c r="G255" s="70"/>
      <x:c r="H255" s="70"/>
      <x:c r="I255" s="70"/>
      <x:c r="J255" s="70"/>
      <x:c r="K255" s="70"/>
      <x:c r="L255" s="70"/>
      <x:c r="M255" s="70"/>
      <x:c r="N255" s="70"/>
      <x:c r="O255" s="70"/>
    </x:row>
    <x:row r="256" ht="15" hidden="0" customHeight="1">
      <x:c r="A256" s="70"/>
      <x:c r="B256" s="70"/>
      <x:c r="C256" s="70"/>
      <x:c r="D256" s="70"/>
      <x:c r="E256" s="70"/>
      <x:c r="F256" s="70"/>
      <x:c r="G256" s="70"/>
      <x:c r="H256" s="70"/>
      <x:c r="I256" s="70"/>
      <x:c r="J256" s="70"/>
      <x:c r="K256" s="70"/>
      <x:c r="L256" s="70"/>
      <x:c r="M256" s="70"/>
      <x:c r="N256" s="70"/>
      <x:c r="O256" s="70"/>
    </x:row>
    <x:row r="257" ht="15" hidden="0" customHeight="1">
      <x:c r="A257" s="70"/>
      <x:c r="B257" s="70"/>
      <x:c r="C257" s="70"/>
      <x:c r="D257" s="70"/>
      <x:c r="E257" s="70"/>
      <x:c r="F257" s="70"/>
      <x:c r="G257" s="70"/>
      <x:c r="H257" s="70"/>
      <x:c r="I257" s="70"/>
      <x:c r="J257" s="70"/>
      <x:c r="K257" s="70"/>
      <x:c r="L257" s="70"/>
      <x:c r="M257" s="70"/>
      <x:c r="N257" s="70"/>
      <x:c r="O257" s="70"/>
    </x:row>
    <x:row r="258" ht="15" hidden="0" customHeight="1">
      <x:c r="A258" s="70"/>
      <x:c r="B258" s="70"/>
      <x:c r="C258" s="70"/>
      <x:c r="D258" s="70"/>
      <x:c r="E258" s="70"/>
      <x:c r="F258" s="70"/>
      <x:c r="G258" s="70"/>
      <x:c r="H258" s="70"/>
      <x:c r="I258" s="70"/>
      <x:c r="J258" s="70"/>
      <x:c r="K258" s="70"/>
      <x:c r="L258" s="70"/>
      <x:c r="M258" s="70"/>
      <x:c r="N258" s="70"/>
      <x:c r="O258" s="70"/>
    </x:row>
    <x:row r="259" ht="15" hidden="0" customHeight="1">
      <x:c r="A259" s="70"/>
      <x:c r="B259" s="70"/>
      <x:c r="C259" s="70"/>
      <x:c r="D259" s="70"/>
      <x:c r="E259" s="70"/>
      <x:c r="F259" s="70"/>
      <x:c r="G259" s="70"/>
      <x:c r="H259" s="70"/>
      <x:c r="I259" s="70"/>
      <x:c r="J259" s="70"/>
      <x:c r="K259" s="70"/>
      <x:c r="L259" s="70"/>
      <x:c r="M259" s="70"/>
      <x:c r="N259" s="70"/>
      <x:c r="O259" s="70"/>
    </x:row>
    <x:row r="260" ht="15" hidden="0" customHeight="1">
      <x:c r="A260" s="70"/>
      <x:c r="B260" s="70"/>
      <x:c r="C260" s="70"/>
      <x:c r="D260" s="70"/>
      <x:c r="E260" s="70"/>
      <x:c r="F260" s="70"/>
      <x:c r="G260" s="70"/>
      <x:c r="H260" s="70"/>
      <x:c r="I260" s="70"/>
      <x:c r="J260" s="70"/>
      <x:c r="K260" s="70"/>
      <x:c r="L260" s="70"/>
      <x:c r="M260" s="70"/>
      <x:c r="N260" s="70"/>
      <x:c r="O260" s="70"/>
    </x:row>
    <x:row r="261" ht="15" hidden="0" customHeight="1">
      <x:c r="A261" s="70"/>
      <x:c r="B261" s="70"/>
      <x:c r="C261" s="70"/>
      <x:c r="D261" s="70"/>
      <x:c r="E261" s="70"/>
      <x:c r="F261" s="70"/>
      <x:c r="G261" s="70"/>
      <x:c r="H261" s="70"/>
      <x:c r="I261" s="70"/>
      <x:c r="J261" s="70"/>
      <x:c r="K261" s="70"/>
      <x:c r="L261" s="70"/>
      <x:c r="M261" s="70"/>
      <x:c r="N261" s="70"/>
      <x:c r="O261" s="70"/>
    </x:row>
    <x:row r="262" ht="15" hidden="0" customHeight="1">
      <x:c r="A262" s="70"/>
      <x:c r="B262" s="70"/>
      <x:c r="C262" s="70"/>
      <x:c r="D262" s="70"/>
      <x:c r="E262" s="70"/>
      <x:c r="F262" s="70"/>
      <x:c r="G262" s="70"/>
      <x:c r="H262" s="70"/>
      <x:c r="I262" s="70"/>
      <x:c r="J262" s="70"/>
      <x:c r="K262" s="70"/>
      <x:c r="L262" s="70"/>
      <x:c r="M262" s="70"/>
      <x:c r="N262" s="70"/>
      <x:c r="O262" s="70"/>
    </x:row>
    <x:row r="263" ht="15" hidden="0" customHeight="1">
      <x:c r="A263" s="70"/>
      <x:c r="B263" s="70"/>
      <x:c r="C263" s="70"/>
      <x:c r="D263" s="70"/>
      <x:c r="E263" s="70"/>
      <x:c r="F263" s="70"/>
      <x:c r="G263" s="70"/>
      <x:c r="H263" s="70"/>
      <x:c r="I263" s="70"/>
      <x:c r="J263" s="70"/>
      <x:c r="K263" s="70"/>
      <x:c r="L263" s="70"/>
      <x:c r="M263" s="70"/>
      <x:c r="N263" s="70"/>
      <x:c r="O263" s="70"/>
    </x:row>
    <x:row r="264" ht="15" hidden="0" customHeight="1">
      <x:c r="A264" s="70"/>
      <x:c r="B264" s="70"/>
      <x:c r="C264" s="70"/>
      <x:c r="D264" s="70"/>
      <x:c r="E264" s="70"/>
      <x:c r="F264" s="70"/>
      <x:c r="G264" s="70"/>
      <x:c r="H264" s="70"/>
      <x:c r="I264" s="70"/>
      <x:c r="J264" s="70"/>
      <x:c r="K264" s="70"/>
      <x:c r="L264" s="70"/>
      <x:c r="M264" s="70"/>
      <x:c r="N264" s="70"/>
      <x:c r="O264" s="70"/>
    </x:row>
    <x:row r="265" ht="15" hidden="0" customHeight="1">
      <x:c r="A265" s="70"/>
      <x:c r="B265" s="70"/>
      <x:c r="C265" s="70"/>
      <x:c r="D265" s="70"/>
      <x:c r="E265" s="70"/>
      <x:c r="F265" s="70"/>
      <x:c r="G265" s="70"/>
      <x:c r="H265" s="70"/>
      <x:c r="I265" s="70"/>
      <x:c r="J265" s="70"/>
      <x:c r="K265" s="70"/>
      <x:c r="L265" s="70"/>
      <x:c r="M265" s="70"/>
      <x:c r="N265" s="70"/>
      <x:c r="O265" s="70"/>
    </x:row>
    <x:row r="266" ht="15" hidden="0" customHeight="1">
      <x:c r="A266" s="70"/>
      <x:c r="B266" s="70"/>
      <x:c r="C266" s="70"/>
      <x:c r="D266" s="70"/>
      <x:c r="E266" s="70"/>
      <x:c r="F266" s="70"/>
      <x:c r="G266" s="70"/>
      <x:c r="H266" s="70"/>
      <x:c r="I266" s="70"/>
      <x:c r="J266" s="70"/>
      <x:c r="K266" s="70"/>
      <x:c r="L266" s="70"/>
      <x:c r="M266" s="70"/>
      <x:c r="N266" s="70"/>
      <x:c r="O266" s="70"/>
    </x:row>
    <x:row r="267" ht="15" hidden="0" customHeight="1">
      <x:c r="A267" s="70"/>
      <x:c r="B267" s="70"/>
      <x:c r="C267" s="70"/>
      <x:c r="D267" s="70"/>
      <x:c r="E267" s="70"/>
      <x:c r="F267" s="70"/>
      <x:c r="G267" s="70"/>
      <x:c r="H267" s="70"/>
      <x:c r="I267" s="70"/>
      <x:c r="J267" s="70"/>
      <x:c r="K267" s="70"/>
      <x:c r="L267" s="70"/>
      <x:c r="M267" s="70"/>
      <x:c r="N267" s="70"/>
      <x:c r="O267" s="70"/>
    </x:row>
    <x:row r="268" ht="15" hidden="0" customHeight="1">
      <x:c r="A268" s="70"/>
      <x:c r="B268" s="70"/>
      <x:c r="C268" s="70"/>
      <x:c r="D268" s="70"/>
      <x:c r="E268" s="70"/>
      <x:c r="F268" s="70"/>
      <x:c r="G268" s="70"/>
      <x:c r="H268" s="70"/>
      <x:c r="I268" s="70"/>
      <x:c r="J268" s="70"/>
      <x:c r="K268" s="70"/>
      <x:c r="L268" s="70"/>
      <x:c r="M268" s="70"/>
      <x:c r="N268" s="70"/>
      <x:c r="O268" s="70"/>
    </x:row>
    <x:row r="269" ht="15" hidden="0" customHeight="1">
      <x:c r="A269" s="70"/>
      <x:c r="B269" s="70"/>
      <x:c r="C269" s="70"/>
      <x:c r="D269" s="70"/>
      <x:c r="E269" s="70"/>
      <x:c r="F269" s="70"/>
      <x:c r="G269" s="70"/>
      <x:c r="H269" s="70"/>
      <x:c r="I269" s="70"/>
      <x:c r="J269" s="70"/>
      <x:c r="K269" s="70"/>
      <x:c r="L269" s="70"/>
      <x:c r="M269" s="70"/>
      <x:c r="N269" s="70"/>
      <x:c r="O269" s="70"/>
    </x:row>
    <x:row r="270" ht="15" hidden="0" customHeight="1">
      <x:c r="A270" s="70"/>
      <x:c r="B270" s="70"/>
      <x:c r="C270" s="70"/>
      <x:c r="D270" s="70"/>
      <x:c r="E270" s="70"/>
      <x:c r="F270" s="70"/>
      <x:c r="G270" s="70"/>
      <x:c r="H270" s="70"/>
      <x:c r="I270" s="70"/>
      <x:c r="J270" s="70"/>
      <x:c r="K270" s="70"/>
      <x:c r="L270" s="70"/>
      <x:c r="M270" s="70"/>
      <x:c r="N270" s="70"/>
      <x:c r="O270" s="70"/>
    </x:row>
    <x:row r="271" ht="15" hidden="0" customHeight="1">
      <x:c r="A271" s="70"/>
      <x:c r="B271" s="70"/>
      <x:c r="C271" s="70"/>
      <x:c r="D271" s="70"/>
      <x:c r="E271" s="70"/>
      <x:c r="F271" s="70"/>
      <x:c r="G271" s="70"/>
      <x:c r="H271" s="70"/>
      <x:c r="I271" s="70"/>
      <x:c r="J271" s="70"/>
      <x:c r="K271" s="70"/>
      <x:c r="L271" s="70"/>
      <x:c r="M271" s="70"/>
      <x:c r="N271" s="70"/>
      <x:c r="O271" s="70"/>
    </x:row>
    <x:row r="272" ht="15" hidden="0" customHeight="1">
      <x:c r="A272" s="70"/>
      <x:c r="B272" s="70"/>
      <x:c r="C272" s="70"/>
      <x:c r="D272" s="70"/>
      <x:c r="E272" s="70"/>
      <x:c r="F272" s="70"/>
      <x:c r="G272" s="70"/>
      <x:c r="H272" s="70"/>
      <x:c r="I272" s="70"/>
      <x:c r="J272" s="70"/>
      <x:c r="K272" s="70"/>
      <x:c r="L272" s="70"/>
      <x:c r="M272" s="70"/>
      <x:c r="N272" s="70"/>
      <x:c r="O272" s="70"/>
    </x:row>
    <x:row r="273" ht="15" hidden="0" customHeight="1">
      <x:c r="A273" s="70"/>
      <x:c r="B273" s="70"/>
      <x:c r="C273" s="70"/>
      <x:c r="D273" s="70"/>
      <x:c r="E273" s="70"/>
      <x:c r="F273" s="70"/>
      <x:c r="G273" s="70"/>
      <x:c r="H273" s="70"/>
      <x:c r="I273" s="70"/>
      <x:c r="J273" s="70"/>
      <x:c r="K273" s="70"/>
      <x:c r="L273" s="70"/>
      <x:c r="M273" s="70"/>
      <x:c r="N273" s="70"/>
      <x:c r="O273" s="70"/>
    </x:row>
    <x:row r="274" ht="15" hidden="0" customHeight="1">
      <x:c r="A274" s="70"/>
      <x:c r="B274" s="70"/>
      <x:c r="C274" s="70"/>
      <x:c r="D274" s="70"/>
      <x:c r="E274" s="70"/>
      <x:c r="F274" s="70"/>
      <x:c r="G274" s="70"/>
      <x:c r="H274" s="70"/>
      <x:c r="I274" s="70"/>
      <x:c r="J274" s="70"/>
      <x:c r="K274" s="70"/>
      <x:c r="L274" s="70"/>
      <x:c r="M274" s="70"/>
      <x:c r="N274" s="70"/>
      <x:c r="O274" s="70"/>
    </x:row>
    <x:row r="275" ht="15" hidden="0" customHeight="1">
      <x:c r="A275" s="70"/>
      <x:c r="B275" s="70"/>
      <x:c r="C275" s="70"/>
      <x:c r="D275" s="70"/>
      <x:c r="E275" s="70"/>
      <x:c r="F275" s="70"/>
      <x:c r="G275" s="70"/>
      <x:c r="H275" s="70"/>
      <x:c r="I275" s="70"/>
      <x:c r="J275" s="70"/>
      <x:c r="K275" s="70"/>
      <x:c r="L275" s="70"/>
      <x:c r="M275" s="70"/>
      <x:c r="N275" s="70"/>
      <x:c r="O275" s="70"/>
    </x:row>
    <x:row r="276" ht="15" hidden="0" customHeight="1">
      <x:c r="A276" s="70"/>
      <x:c r="B276" s="70"/>
      <x:c r="C276" s="70"/>
      <x:c r="D276" s="70"/>
      <x:c r="E276" s="70"/>
      <x:c r="F276" s="70"/>
      <x:c r="G276" s="70"/>
      <x:c r="H276" s="70"/>
      <x:c r="I276" s="70"/>
      <x:c r="J276" s="70"/>
      <x:c r="K276" s="70"/>
      <x:c r="L276" s="70"/>
      <x:c r="M276" s="70"/>
      <x:c r="N276" s="70"/>
      <x:c r="O276" s="70"/>
    </x:row>
    <x:row r="277" ht="15" hidden="0" customHeight="1">
      <x:c r="A277" s="70"/>
      <x:c r="B277" s="70"/>
      <x:c r="C277" s="70"/>
      <x:c r="D277" s="70"/>
      <x:c r="E277" s="70"/>
      <x:c r="F277" s="70"/>
      <x:c r="G277" s="70"/>
      <x:c r="H277" s="70"/>
      <x:c r="I277" s="70"/>
      <x:c r="J277" s="70"/>
      <x:c r="K277" s="70"/>
      <x:c r="L277" s="70"/>
      <x:c r="M277" s="70"/>
      <x:c r="N277" s="70"/>
      <x:c r="O277" s="70"/>
    </x:row>
    <x:row r="278" ht="15" hidden="0" customHeight="1">
      <x:c r="A278" s="70"/>
      <x:c r="B278" s="70"/>
      <x:c r="C278" s="70"/>
      <x:c r="D278" s="70"/>
      <x:c r="E278" s="70"/>
      <x:c r="F278" s="70"/>
      <x:c r="G278" s="70"/>
      <x:c r="H278" s="70"/>
      <x:c r="I278" s="70"/>
      <x:c r="J278" s="70"/>
      <x:c r="K278" s="70"/>
      <x:c r="L278" s="70"/>
      <x:c r="M278" s="70"/>
      <x:c r="N278" s="70"/>
      <x:c r="O278" s="70"/>
    </x:row>
    <x:row r="279" ht="15" hidden="0" customHeight="1">
      <x:c r="A279" s="70"/>
      <x:c r="B279" s="70"/>
      <x:c r="C279" s="70"/>
      <x:c r="D279" s="70"/>
      <x:c r="E279" s="70"/>
      <x:c r="F279" s="70"/>
      <x:c r="G279" s="70"/>
      <x:c r="H279" s="70"/>
      <x:c r="I279" s="70"/>
      <x:c r="J279" s="70"/>
      <x:c r="K279" s="70"/>
      <x:c r="L279" s="70"/>
      <x:c r="M279" s="70"/>
      <x:c r="N279" s="70"/>
      <x:c r="O279" s="70"/>
    </x:row>
    <x:row r="280" ht="15" hidden="0" customHeight="1">
      <x:c r="A280" s="70"/>
      <x:c r="B280" s="70"/>
      <x:c r="C280" s="70"/>
      <x:c r="D280" s="70"/>
      <x:c r="E280" s="70"/>
      <x:c r="F280" s="70"/>
      <x:c r="G280" s="70"/>
      <x:c r="H280" s="70"/>
      <x:c r="I280" s="70"/>
      <x:c r="J280" s="70"/>
      <x:c r="K280" s="70"/>
      <x:c r="L280" s="70"/>
      <x:c r="M280" s="70"/>
      <x:c r="N280" s="70"/>
      <x:c r="O280" s="70"/>
    </x:row>
    <x:row r="281" ht="15" hidden="0" customHeight="1">
      <x:c r="A281" s="70"/>
      <x:c r="B281" s="70"/>
      <x:c r="C281" s="70"/>
      <x:c r="D281" s="70"/>
      <x:c r="E281" s="70"/>
      <x:c r="F281" s="70"/>
      <x:c r="G281" s="70"/>
      <x:c r="H281" s="70"/>
      <x:c r="I281" s="70"/>
      <x:c r="J281" s="70"/>
      <x:c r="K281" s="70"/>
      <x:c r="L281" s="70"/>
      <x:c r="M281" s="70"/>
      <x:c r="N281" s="70"/>
      <x:c r="O281" s="70"/>
    </x:row>
    <x:row r="282" ht="15" hidden="0" customHeight="1">
      <x:c r="A282" s="70"/>
      <x:c r="B282" s="70"/>
      <x:c r="C282" s="70"/>
      <x:c r="D282" s="70"/>
      <x:c r="E282" s="70"/>
      <x:c r="F282" s="70"/>
      <x:c r="G282" s="70"/>
      <x:c r="H282" s="70"/>
      <x:c r="I282" s="70"/>
      <x:c r="J282" s="70"/>
      <x:c r="K282" s="70"/>
      <x:c r="L282" s="70"/>
      <x:c r="M282" s="70"/>
      <x:c r="N282" s="70"/>
      <x:c r="O282" s="70"/>
    </x:row>
    <x:row r="283" ht="15" hidden="0" customHeight="1">
      <x:c r="A283" s="70"/>
      <x:c r="B283" s="70"/>
      <x:c r="C283" s="70"/>
      <x:c r="D283" s="70"/>
      <x:c r="E283" s="70"/>
      <x:c r="F283" s="70"/>
      <x:c r="G283" s="70"/>
      <x:c r="H283" s="70"/>
      <x:c r="I283" s="70"/>
      <x:c r="J283" s="70"/>
      <x:c r="K283" s="70"/>
      <x:c r="L283" s="70"/>
      <x:c r="M283" s="70"/>
      <x:c r="N283" s="70"/>
      <x:c r="O283" s="70"/>
    </x:row>
    <x:row r="284" ht="15" hidden="0" customHeight="1">
      <x:c r="A284" s="70"/>
      <x:c r="B284" s="70"/>
      <x:c r="C284" s="70"/>
      <x:c r="D284" s="70"/>
      <x:c r="E284" s="70"/>
      <x:c r="F284" s="70"/>
      <x:c r="G284" s="70"/>
      <x:c r="H284" s="70"/>
      <x:c r="I284" s="70"/>
      <x:c r="J284" s="70"/>
      <x:c r="K284" s="70"/>
      <x:c r="L284" s="70"/>
      <x:c r="M284" s="70"/>
      <x:c r="N284" s="70"/>
      <x:c r="O284" s="70"/>
    </x:row>
    <x:row r="285" ht="15" hidden="0" customHeight="1">
      <x:c r="A285" s="70"/>
      <x:c r="B285" s="70"/>
      <x:c r="C285" s="70"/>
      <x:c r="D285" s="70"/>
      <x:c r="E285" s="70"/>
      <x:c r="F285" s="70"/>
      <x:c r="G285" s="70"/>
      <x:c r="H285" s="70"/>
      <x:c r="I285" s="70"/>
      <x:c r="J285" s="70"/>
      <x:c r="K285" s="70"/>
      <x:c r="L285" s="70"/>
      <x:c r="M285" s="70"/>
      <x:c r="N285" s="70"/>
      <x:c r="O285" s="70"/>
    </x:row>
    <x:row r="286" ht="15" hidden="0" customHeight="1">
      <x:c r="A286" s="70"/>
      <x:c r="B286" s="70"/>
      <x:c r="C286" s="70"/>
      <x:c r="D286" s="70"/>
      <x:c r="E286" s="70"/>
      <x:c r="F286" s="70"/>
      <x:c r="G286" s="70"/>
      <x:c r="H286" s="70"/>
      <x:c r="I286" s="70"/>
      <x:c r="J286" s="70"/>
      <x:c r="K286" s="70"/>
      <x:c r="L286" s="70"/>
      <x:c r="M286" s="70"/>
      <x:c r="N286" s="70"/>
      <x:c r="O286" s="70"/>
    </x:row>
    <x:row r="287" ht="15" hidden="0" customHeight="1">
      <x:c r="A287" s="70"/>
      <x:c r="B287" s="70"/>
      <x:c r="C287" s="70"/>
      <x:c r="D287" s="70"/>
      <x:c r="E287" s="70"/>
      <x:c r="F287" s="70"/>
      <x:c r="G287" s="70"/>
      <x:c r="H287" s="70"/>
      <x:c r="I287" s="70"/>
      <x:c r="J287" s="70"/>
      <x:c r="K287" s="70"/>
      <x:c r="L287" s="70"/>
      <x:c r="M287" s="70"/>
      <x:c r="N287" s="70"/>
      <x:c r="O287" s="70"/>
    </x:row>
    <x:row r="288" ht="15" hidden="0" customHeight="1">
      <x:c r="A288" s="70"/>
      <x:c r="B288" s="70"/>
      <x:c r="C288" s="70"/>
      <x:c r="D288" s="70"/>
      <x:c r="E288" s="70"/>
      <x:c r="F288" s="70"/>
      <x:c r="G288" s="70"/>
      <x:c r="H288" s="70"/>
      <x:c r="I288" s="70"/>
      <x:c r="J288" s="70"/>
      <x:c r="K288" s="70"/>
      <x:c r="L288" s="70"/>
      <x:c r="M288" s="70"/>
      <x:c r="N288" s="70"/>
      <x:c r="O288" s="70"/>
    </x:row>
    <x:row r="289" ht="15" hidden="0" customHeight="1">
      <x:c r="A289" s="70"/>
      <x:c r="B289" s="70"/>
      <x:c r="C289" s="70"/>
      <x:c r="D289" s="70"/>
      <x:c r="E289" s="70"/>
      <x:c r="F289" s="70"/>
      <x:c r="G289" s="70"/>
      <x:c r="H289" s="70"/>
      <x:c r="I289" s="70"/>
      <x:c r="J289" s="70"/>
      <x:c r="K289" s="70"/>
      <x:c r="L289" s="70"/>
      <x:c r="M289" s="70"/>
      <x:c r="N289" s="70"/>
      <x:c r="O289" s="70"/>
    </x:row>
    <x:row r="290" ht="15" hidden="0" customHeight="1">
      <x:c r="A290" s="70"/>
      <x:c r="B290" s="70"/>
      <x:c r="C290" s="70"/>
      <x:c r="D290" s="70"/>
      <x:c r="E290" s="70"/>
      <x:c r="F290" s="70"/>
      <x:c r="G290" s="70"/>
      <x:c r="H290" s="70"/>
      <x:c r="I290" s="70"/>
      <x:c r="J290" s="70"/>
      <x:c r="K290" s="70"/>
      <x:c r="L290" s="70"/>
      <x:c r="M290" s="70"/>
      <x:c r="N290" s="70"/>
      <x:c r="O290" s="70"/>
    </x:row>
    <x:row r="291" ht="15" hidden="0" customHeight="1">
      <x:c r="A291" s="70"/>
      <x:c r="B291" s="70"/>
      <x:c r="C291" s="70"/>
      <x:c r="D291" s="70"/>
      <x:c r="E291" s="70"/>
      <x:c r="F291" s="70"/>
      <x:c r="G291" s="70"/>
      <x:c r="H291" s="70"/>
      <x:c r="I291" s="70"/>
      <x:c r="J291" s="70"/>
      <x:c r="K291" s="70"/>
      <x:c r="L291" s="70"/>
      <x:c r="M291" s="70"/>
      <x:c r="N291" s="70"/>
      <x:c r="O291" s="70"/>
    </x:row>
    <x:row r="292" ht="15" hidden="0" customHeight="1">
      <x:c r="A292" s="70"/>
      <x:c r="B292" s="70"/>
      <x:c r="C292" s="70"/>
      <x:c r="D292" s="70"/>
      <x:c r="E292" s="70"/>
      <x:c r="F292" s="70"/>
      <x:c r="G292" s="70"/>
      <x:c r="H292" s="70"/>
      <x:c r="I292" s="70"/>
      <x:c r="J292" s="70"/>
      <x:c r="K292" s="70"/>
      <x:c r="L292" s="70"/>
      <x:c r="M292" s="70"/>
      <x:c r="N292" s="70"/>
      <x:c r="O292" s="70"/>
    </x:row>
    <x:row r="293" ht="15" hidden="0" customHeight="1">
      <x:c r="A293" s="70"/>
      <x:c r="B293" s="70"/>
      <x:c r="C293" s="70"/>
      <x:c r="D293" s="70"/>
      <x:c r="E293" s="70"/>
      <x:c r="F293" s="70"/>
      <x:c r="G293" s="70"/>
      <x:c r="H293" s="70"/>
      <x:c r="I293" s="70"/>
      <x:c r="J293" s="70"/>
      <x:c r="K293" s="70"/>
      <x:c r="L293" s="70"/>
      <x:c r="M293" s="70"/>
      <x:c r="N293" s="70"/>
      <x:c r="O293" s="70"/>
    </x:row>
    <x:row r="294" ht="15" hidden="0" customHeight="1">
      <x:c r="A294" s="70"/>
      <x:c r="B294" s="70"/>
      <x:c r="C294" s="70"/>
      <x:c r="D294" s="70"/>
      <x:c r="E294" s="70"/>
      <x:c r="F294" s="70"/>
      <x:c r="G294" s="70"/>
      <x:c r="H294" s="70"/>
      <x:c r="I294" s="70"/>
      <x:c r="J294" s="70"/>
      <x:c r="K294" s="70"/>
      <x:c r="L294" s="70"/>
      <x:c r="M294" s="70"/>
      <x:c r="N294" s="70"/>
      <x:c r="O294" s="70"/>
    </x:row>
    <x:row r="295" ht="15" hidden="0" customHeight="1">
      <x:c r="A295" s="70"/>
      <x:c r="B295" s="70"/>
      <x:c r="C295" s="70"/>
      <x:c r="D295" s="70"/>
      <x:c r="E295" s="70"/>
      <x:c r="F295" s="70"/>
      <x:c r="G295" s="70"/>
      <x:c r="H295" s="70"/>
      <x:c r="I295" s="70"/>
      <x:c r="J295" s="70"/>
      <x:c r="K295" s="70"/>
      <x:c r="L295" s="70"/>
      <x:c r="M295" s="70"/>
      <x:c r="N295" s="70"/>
      <x:c r="O295" s="70"/>
    </x:row>
    <x:row r="296" ht="15" hidden="0" customHeight="1">
      <x:c r="A296" s="70"/>
      <x:c r="B296" s="70"/>
      <x:c r="C296" s="70"/>
      <x:c r="D296" s="70"/>
      <x:c r="E296" s="70"/>
      <x:c r="F296" s="70"/>
      <x:c r="G296" s="70"/>
      <x:c r="H296" s="70"/>
      <x:c r="I296" s="70"/>
      <x:c r="J296" s="70"/>
      <x:c r="K296" s="70"/>
      <x:c r="L296" s="70"/>
      <x:c r="M296" s="70"/>
      <x:c r="N296" s="70"/>
      <x:c r="O296" s="70"/>
    </x:row>
    <x:row r="297" ht="15" hidden="0" customHeight="1">
      <x:c r="A297" s="70"/>
      <x:c r="B297" s="70"/>
      <x:c r="C297" s="70"/>
      <x:c r="D297" s="70"/>
      <x:c r="E297" s="70"/>
      <x:c r="F297" s="70"/>
      <x:c r="G297" s="70"/>
      <x:c r="H297" s="70"/>
      <x:c r="I297" s="70"/>
      <x:c r="J297" s="70"/>
      <x:c r="K297" s="70"/>
      <x:c r="L297" s="70"/>
      <x:c r="M297" s="70"/>
      <x:c r="N297" s="70"/>
      <x:c r="O297" s="70"/>
    </x:row>
    <x:row r="298" ht="15" hidden="0" customHeight="1">
      <x:c r="A298" s="70"/>
      <x:c r="B298" s="70"/>
      <x:c r="C298" s="70"/>
      <x:c r="D298" s="70"/>
      <x:c r="E298" s="70"/>
      <x:c r="F298" s="70"/>
      <x:c r="G298" s="70"/>
      <x:c r="H298" s="70"/>
      <x:c r="I298" s="70"/>
      <x:c r="J298" s="70"/>
      <x:c r="K298" s="70"/>
      <x:c r="L298" s="70"/>
      <x:c r="M298" s="70"/>
      <x:c r="N298" s="70"/>
      <x:c r="O298" s="70"/>
    </x:row>
    <x:row r="299" ht="15" hidden="0" customHeight="1">
      <x:c r="A299" s="70"/>
      <x:c r="B299" s="70"/>
      <x:c r="C299" s="70"/>
      <x:c r="D299" s="70"/>
      <x:c r="E299" s="70"/>
      <x:c r="F299" s="70"/>
      <x:c r="G299" s="70"/>
      <x:c r="H299" s="70"/>
      <x:c r="I299" s="70"/>
      <x:c r="J299" s="70"/>
      <x:c r="K299" s="70"/>
      <x:c r="L299" s="70"/>
      <x:c r="M299" s="70"/>
      <x:c r="N299" s="70"/>
      <x:c r="O299" s="70"/>
    </x:row>
    <x:row r="300" ht="15" hidden="0" customHeight="1">
      <x:c r="A300" s="70"/>
      <x:c r="B300" s="70"/>
      <x:c r="C300" s="70"/>
      <x:c r="D300" s="70"/>
      <x:c r="E300" s="70"/>
      <x:c r="F300" s="70"/>
      <x:c r="G300" s="70"/>
      <x:c r="H300" s="70"/>
      <x:c r="I300" s="70"/>
      <x:c r="J300" s="70"/>
      <x:c r="K300" s="70"/>
      <x:c r="L300" s="70"/>
      <x:c r="M300" s="70"/>
      <x:c r="N300" s="70"/>
      <x:c r="O300" s="70"/>
    </x:row>
    <x:row r="301" ht="15" hidden="0" customHeight="1">
      <x:c r="A301" s="70"/>
      <x:c r="B301" s="70"/>
      <x:c r="C301" s="70"/>
      <x:c r="D301" s="70"/>
      <x:c r="E301" s="70"/>
      <x:c r="F301" s="70"/>
      <x:c r="G301" s="70"/>
      <x:c r="H301" s="70"/>
      <x:c r="I301" s="70"/>
      <x:c r="J301" s="70"/>
      <x:c r="K301" s="70"/>
      <x:c r="L301" s="70"/>
      <x:c r="M301" s="70"/>
      <x:c r="N301" s="70"/>
      <x:c r="O301" s="70"/>
    </x:row>
    <x:row r="302" ht="15" hidden="0" customHeight="1">
      <x:c r="A302" s="70"/>
      <x:c r="B302" s="70"/>
      <x:c r="C302" s="70"/>
      <x:c r="D302" s="70"/>
      <x:c r="E302" s="70"/>
      <x:c r="F302" s="70"/>
      <x:c r="G302" s="70"/>
      <x:c r="H302" s="70"/>
      <x:c r="I302" s="70"/>
      <x:c r="J302" s="70"/>
      <x:c r="K302" s="70"/>
      <x:c r="L302" s="70"/>
      <x:c r="M302" s="70"/>
      <x:c r="N302" s="70"/>
      <x:c r="O302" s="70"/>
    </x:row>
    <x:row r="303" ht="15" hidden="0" customHeight="1">
      <x:c r="A303" s="70"/>
      <x:c r="B303" s="70"/>
      <x:c r="C303" s="70"/>
      <x:c r="D303" s="70"/>
      <x:c r="E303" s="70"/>
      <x:c r="F303" s="70"/>
      <x:c r="G303" s="70"/>
      <x:c r="H303" s="70"/>
      <x:c r="I303" s="70"/>
      <x:c r="J303" s="70"/>
      <x:c r="K303" s="70"/>
      <x:c r="L303" s="70"/>
      <x:c r="M303" s="70"/>
      <x:c r="N303" s="70"/>
      <x:c r="O303" s="70"/>
    </x:row>
    <x:row r="304" ht="15" hidden="0" customHeight="1">
      <x:c r="A304" s="70"/>
      <x:c r="B304" s="70"/>
      <x:c r="C304" s="70"/>
      <x:c r="D304" s="70"/>
      <x:c r="E304" s="70"/>
      <x:c r="F304" s="70"/>
      <x:c r="G304" s="70"/>
      <x:c r="H304" s="70"/>
      <x:c r="I304" s="70"/>
      <x:c r="J304" s="70"/>
      <x:c r="K304" s="70"/>
      <x:c r="L304" s="70"/>
      <x:c r="M304" s="70"/>
      <x:c r="N304" s="70"/>
      <x:c r="O304" s="70"/>
    </x:row>
    <x:row r="305" ht="15" hidden="0" customHeight="1">
      <x:c r="A305" s="70"/>
      <x:c r="B305" s="70"/>
      <x:c r="C305" s="70"/>
      <x:c r="D305" s="70"/>
      <x:c r="E305" s="70"/>
      <x:c r="F305" s="70"/>
      <x:c r="G305" s="70"/>
      <x:c r="H305" s="70"/>
      <x:c r="I305" s="70"/>
      <x:c r="J305" s="70"/>
      <x:c r="K305" s="70"/>
      <x:c r="L305" s="70"/>
      <x:c r="M305" s="70"/>
      <x:c r="N305" s="70"/>
      <x:c r="O305" s="70"/>
    </x:row>
    <x:row r="306" ht="15" hidden="0" customHeight="1">
      <x:c r="A306" s="70"/>
      <x:c r="B306" s="70"/>
      <x:c r="C306" s="70"/>
      <x:c r="D306" s="70"/>
      <x:c r="E306" s="70"/>
      <x:c r="F306" s="70"/>
      <x:c r="G306" s="70"/>
      <x:c r="H306" s="70"/>
      <x:c r="I306" s="70"/>
      <x:c r="J306" s="70"/>
      <x:c r="K306" s="70"/>
      <x:c r="L306" s="70"/>
      <x:c r="M306" s="70"/>
      <x:c r="N306" s="70"/>
      <x:c r="O306" s="70"/>
    </x:row>
    <x:row r="307" ht="15" hidden="0" customHeight="1">
      <x:c r="A307" s="70"/>
      <x:c r="B307" s="70"/>
      <x:c r="C307" s="70"/>
      <x:c r="D307" s="70"/>
      <x:c r="E307" s="70"/>
      <x:c r="F307" s="70"/>
      <x:c r="G307" s="70"/>
      <x:c r="H307" s="70"/>
      <x:c r="I307" s="70"/>
      <x:c r="J307" s="70"/>
      <x:c r="K307" s="70"/>
      <x:c r="L307" s="70"/>
      <x:c r="M307" s="70"/>
      <x:c r="N307" s="70"/>
      <x:c r="O307" s="70"/>
    </x:row>
    <x:row r="308" ht="15" hidden="0" customHeight="1">
      <x:c r="A308" s="70"/>
      <x:c r="B308" s="70"/>
      <x:c r="C308" s="70"/>
      <x:c r="D308" s="70"/>
      <x:c r="E308" s="70"/>
      <x:c r="F308" s="70"/>
      <x:c r="G308" s="70"/>
      <x:c r="H308" s="70"/>
      <x:c r="I308" s="70"/>
      <x:c r="J308" s="70"/>
      <x:c r="K308" s="70"/>
      <x:c r="L308" s="70"/>
      <x:c r="M308" s="70"/>
      <x:c r="N308" s="70"/>
      <x:c r="O308" s="70"/>
    </x:row>
    <x:row r="309" ht="15" hidden="0" customHeight="1">
      <x:c r="A309" s="70"/>
      <x:c r="B309" s="70"/>
      <x:c r="C309" s="70"/>
      <x:c r="D309" s="70"/>
      <x:c r="E309" s="70"/>
      <x:c r="F309" s="70"/>
      <x:c r="G309" s="70"/>
      <x:c r="H309" s="70"/>
      <x:c r="I309" s="70"/>
      <x:c r="J309" s="70"/>
      <x:c r="K309" s="70"/>
      <x:c r="L309" s="70"/>
      <x:c r="M309" s="70"/>
      <x:c r="N309" s="70"/>
      <x:c r="O309" s="70"/>
    </x:row>
    <x:row r="310" ht="15" hidden="0" customHeight="1">
      <x:c r="A310" s="70"/>
      <x:c r="B310" s="70"/>
      <x:c r="C310" s="70"/>
      <x:c r="D310" s="70"/>
      <x:c r="E310" s="70"/>
      <x:c r="F310" s="70"/>
      <x:c r="G310" s="70"/>
      <x:c r="H310" s="70"/>
      <x:c r="I310" s="70"/>
      <x:c r="J310" s="70"/>
      <x:c r="K310" s="70"/>
      <x:c r="L310" s="70"/>
      <x:c r="M310" s="70"/>
      <x:c r="N310" s="70"/>
      <x:c r="O310" s="70"/>
    </x:row>
    <x:row r="311" ht="15" hidden="0" customHeight="1">
      <x:c r="A311" s="70"/>
      <x:c r="B311" s="70"/>
      <x:c r="C311" s="70"/>
      <x:c r="D311" s="70"/>
      <x:c r="E311" s="70"/>
      <x:c r="F311" s="70"/>
      <x:c r="G311" s="70"/>
      <x:c r="H311" s="70"/>
      <x:c r="I311" s="70"/>
      <x:c r="J311" s="70"/>
      <x:c r="K311" s="70"/>
      <x:c r="L311" s="70"/>
      <x:c r="M311" s="70"/>
      <x:c r="N311" s="70"/>
      <x:c r="O311" s="70"/>
    </x:row>
    <x:row r="312" ht="15" hidden="0" customHeight="1">
      <x:c r="A312" s="70"/>
      <x:c r="B312" s="70"/>
      <x:c r="C312" s="70"/>
      <x:c r="D312" s="70"/>
      <x:c r="E312" s="70"/>
      <x:c r="F312" s="70"/>
      <x:c r="G312" s="70"/>
      <x:c r="H312" s="70"/>
      <x:c r="I312" s="70"/>
      <x:c r="J312" s="70"/>
      <x:c r="K312" s="70"/>
      <x:c r="L312" s="70"/>
      <x:c r="M312" s="70"/>
      <x:c r="N312" s="70"/>
      <x:c r="O312" s="70"/>
    </x:row>
    <x:row r="313" ht="15" hidden="0" customHeight="1">
      <x:c r="A313" s="70"/>
      <x:c r="B313" s="70"/>
      <x:c r="C313" s="70"/>
      <x:c r="D313" s="70"/>
      <x:c r="E313" s="70"/>
      <x:c r="F313" s="70"/>
      <x:c r="G313" s="70"/>
      <x:c r="H313" s="70"/>
      <x:c r="I313" s="70"/>
      <x:c r="J313" s="70"/>
      <x:c r="K313" s="70"/>
      <x:c r="L313" s="70"/>
      <x:c r="M313" s="70"/>
      <x:c r="N313" s="70"/>
      <x:c r="O313" s="70"/>
    </x:row>
    <x:row r="314" ht="15" hidden="0" customHeight="1">
      <x:c r="A314" s="70"/>
      <x:c r="B314" s="70"/>
      <x:c r="C314" s="70"/>
      <x:c r="D314" s="70"/>
      <x:c r="E314" s="70"/>
      <x:c r="F314" s="70"/>
      <x:c r="G314" s="70"/>
      <x:c r="H314" s="70"/>
      <x:c r="I314" s="70"/>
      <x:c r="J314" s="70"/>
      <x:c r="K314" s="70"/>
      <x:c r="L314" s="70"/>
      <x:c r="M314" s="70"/>
      <x:c r="N314" s="70"/>
      <x:c r="O314" s="70"/>
    </x:row>
    <x:row r="315" ht="15" hidden="0" customHeight="1">
      <x:c r="A315" s="70"/>
      <x:c r="B315" s="70"/>
      <x:c r="C315" s="70"/>
      <x:c r="D315" s="70"/>
      <x:c r="E315" s="70"/>
      <x:c r="F315" s="70"/>
      <x:c r="G315" s="70"/>
      <x:c r="H315" s="70"/>
      <x:c r="I315" s="70"/>
      <x:c r="J315" s="70"/>
      <x:c r="K315" s="70"/>
      <x:c r="L315" s="70"/>
      <x:c r="M315" s="70"/>
      <x:c r="N315" s="70"/>
      <x:c r="O315" s="70"/>
    </x:row>
    <x:row r="316" ht="15" hidden="0" customHeight="1">
      <x:c r="A316" s="70"/>
      <x:c r="B316" s="70"/>
      <x:c r="C316" s="70"/>
      <x:c r="D316" s="70"/>
      <x:c r="E316" s="70"/>
      <x:c r="F316" s="70"/>
      <x:c r="G316" s="70"/>
      <x:c r="H316" s="70"/>
      <x:c r="I316" s="70"/>
      <x:c r="J316" s="70"/>
      <x:c r="K316" s="70"/>
      <x:c r="L316" s="70"/>
      <x:c r="M316" s="70"/>
      <x:c r="N316" s="70"/>
      <x:c r="O316" s="70"/>
    </x:row>
    <x:row r="317" ht="15" hidden="0" customHeight="1">
      <x:c r="A317" s="70"/>
      <x:c r="B317" s="70"/>
      <x:c r="C317" s="70"/>
      <x:c r="D317" s="70"/>
      <x:c r="E317" s="70"/>
      <x:c r="F317" s="70"/>
      <x:c r="G317" s="70"/>
      <x:c r="H317" s="70"/>
      <x:c r="I317" s="70"/>
      <x:c r="J317" s="70"/>
      <x:c r="K317" s="70"/>
      <x:c r="L317" s="70"/>
      <x:c r="M317" s="70"/>
      <x:c r="N317" s="70"/>
      <x:c r="O317" s="70"/>
    </x:row>
    <x:row r="318" ht="15" hidden="0" customHeight="1">
      <x:c r="A318" s="70"/>
      <x:c r="B318" s="70"/>
      <x:c r="C318" s="70"/>
      <x:c r="D318" s="70"/>
      <x:c r="E318" s="70"/>
      <x:c r="F318" s="70"/>
      <x:c r="G318" s="70"/>
      <x:c r="H318" s="70"/>
      <x:c r="I318" s="70"/>
      <x:c r="J318" s="70"/>
      <x:c r="K318" s="70"/>
      <x:c r="L318" s="70"/>
      <x:c r="M318" s="70"/>
      <x:c r="N318" s="70"/>
      <x:c r="O318" s="70"/>
    </x:row>
    <x:row r="319" ht="15" hidden="0" customHeight="1">
      <x:c r="A319" s="70"/>
      <x:c r="B319" s="70"/>
      <x:c r="C319" s="70"/>
      <x:c r="D319" s="70"/>
      <x:c r="E319" s="70"/>
      <x:c r="F319" s="70"/>
      <x:c r="G319" s="70"/>
      <x:c r="H319" s="70"/>
      <x:c r="I319" s="70"/>
      <x:c r="J319" s="70"/>
      <x:c r="K319" s="70"/>
      <x:c r="L319" s="70"/>
      <x:c r="M319" s="70"/>
      <x:c r="N319" s="70"/>
      <x:c r="O319" s="70"/>
    </x:row>
    <x:row r="320" ht="15" hidden="0" customHeight="1">
      <x:c r="A320" s="70"/>
      <x:c r="B320" s="70"/>
      <x:c r="C320" s="70"/>
      <x:c r="D320" s="70"/>
      <x:c r="E320" s="70"/>
      <x:c r="F320" s="70"/>
      <x:c r="G320" s="70"/>
      <x:c r="H320" s="70"/>
      <x:c r="I320" s="70"/>
      <x:c r="J320" s="70"/>
      <x:c r="K320" s="70"/>
      <x:c r="L320" s="70"/>
      <x:c r="M320" s="70"/>
      <x:c r="N320" s="70"/>
      <x:c r="O320" s="70"/>
    </x:row>
    <x:row r="321" ht="15" hidden="0" customHeight="1">
      <x:c r="A321" s="70"/>
      <x:c r="B321" s="70"/>
      <x:c r="C321" s="70"/>
      <x:c r="D321" s="70"/>
      <x:c r="E321" s="70"/>
      <x:c r="F321" s="70"/>
      <x:c r="G321" s="70"/>
      <x:c r="H321" s="70"/>
      <x:c r="I321" s="70"/>
      <x:c r="J321" s="70"/>
      <x:c r="K321" s="70"/>
      <x:c r="L321" s="70"/>
      <x:c r="M321" s="70"/>
      <x:c r="N321" s="70"/>
      <x:c r="O321" s="70"/>
    </x:row>
    <x:row r="322" ht="15" hidden="0" customHeight="1">
      <x:c r="A322" s="70"/>
      <x:c r="B322" s="70"/>
      <x:c r="C322" s="70"/>
      <x:c r="D322" s="70"/>
      <x:c r="E322" s="70"/>
      <x:c r="F322" s="70"/>
      <x:c r="G322" s="70"/>
      <x:c r="H322" s="70"/>
      <x:c r="I322" s="70"/>
      <x:c r="J322" s="70"/>
      <x:c r="K322" s="70"/>
      <x:c r="L322" s="70"/>
      <x:c r="M322" s="70"/>
      <x:c r="N322" s="70"/>
      <x:c r="O322" s="70"/>
    </x:row>
    <x:row r="323" ht="15" hidden="0" customHeight="1">
      <x:c r="A323" s="70"/>
      <x:c r="B323" s="70"/>
      <x:c r="C323" s="70"/>
      <x:c r="D323" s="70"/>
      <x:c r="E323" s="70"/>
      <x:c r="F323" s="70"/>
      <x:c r="G323" s="70"/>
      <x:c r="H323" s="70"/>
      <x:c r="I323" s="70"/>
      <x:c r="J323" s="70"/>
      <x:c r="K323" s="70"/>
      <x:c r="L323" s="70"/>
      <x:c r="M323" s="70"/>
      <x:c r="N323" s="70"/>
      <x:c r="O323" s="70"/>
    </x:row>
    <x:row r="324" ht="15" hidden="0" customHeight="1">
      <x:c r="A324" s="70"/>
      <x:c r="B324" s="70"/>
      <x:c r="C324" s="70"/>
      <x:c r="D324" s="70"/>
      <x:c r="E324" s="70"/>
      <x:c r="F324" s="70"/>
      <x:c r="G324" s="70"/>
      <x:c r="H324" s="70"/>
      <x:c r="I324" s="70"/>
      <x:c r="J324" s="70"/>
      <x:c r="K324" s="70"/>
      <x:c r="L324" s="70"/>
      <x:c r="M324" s="70"/>
      <x:c r="N324" s="70"/>
      <x:c r="O324" s="70"/>
    </x:row>
    <x:row r="325" ht="15" hidden="0" customHeight="1">
      <x:c r="A325" s="70"/>
      <x:c r="B325" s="70"/>
      <x:c r="C325" s="70"/>
      <x:c r="D325" s="70"/>
      <x:c r="E325" s="70"/>
      <x:c r="F325" s="70"/>
      <x:c r="G325" s="70"/>
      <x:c r="H325" s="70"/>
      <x:c r="I325" s="70"/>
      <x:c r="J325" s="70"/>
      <x:c r="K325" s="70"/>
      <x:c r="L325" s="70"/>
      <x:c r="M325" s="70"/>
      <x:c r="N325" s="70"/>
      <x:c r="O325" s="70"/>
    </x:row>
    <x:row r="326" ht="15" hidden="0" customHeight="1">
      <x:c r="A326" s="70"/>
      <x:c r="B326" s="70"/>
      <x:c r="C326" s="70"/>
      <x:c r="D326" s="70"/>
      <x:c r="E326" s="70"/>
      <x:c r="F326" s="70"/>
      <x:c r="G326" s="70"/>
      <x:c r="H326" s="70"/>
      <x:c r="I326" s="70"/>
      <x:c r="J326" s="70"/>
      <x:c r="K326" s="70"/>
      <x:c r="L326" s="70"/>
      <x:c r="M326" s="70"/>
      <x:c r="N326" s="70"/>
      <x:c r="O326" s="70"/>
    </x:row>
    <x:row r="327" ht="15" hidden="0" customHeight="1">
      <x:c r="A327" s="70"/>
      <x:c r="B327" s="70"/>
      <x:c r="C327" s="70"/>
      <x:c r="D327" s="70"/>
      <x:c r="E327" s="70"/>
      <x:c r="F327" s="70"/>
      <x:c r="G327" s="70"/>
      <x:c r="H327" s="70"/>
      <x:c r="I327" s="70"/>
      <x:c r="J327" s="70"/>
      <x:c r="K327" s="70"/>
      <x:c r="L327" s="70"/>
      <x:c r="M327" s="70"/>
      <x:c r="N327" s="70"/>
      <x:c r="O327" s="70"/>
    </x:row>
    <x:row r="328" ht="15" hidden="0" customHeight="1">
      <x:c r="A328" s="70"/>
      <x:c r="B328" s="70"/>
      <x:c r="C328" s="70"/>
      <x:c r="D328" s="70"/>
      <x:c r="E328" s="70"/>
      <x:c r="F328" s="70"/>
      <x:c r="G328" s="70"/>
      <x:c r="H328" s="70"/>
      <x:c r="I328" s="70"/>
      <x:c r="J328" s="70"/>
      <x:c r="K328" s="70"/>
      <x:c r="L328" s="70"/>
      <x:c r="M328" s="70"/>
      <x:c r="N328" s="70"/>
      <x:c r="O328" s="70"/>
    </x:row>
    <x:row r="329" ht="15" hidden="0" customHeight="1">
      <x:c r="A329" s="70"/>
      <x:c r="B329" s="70"/>
      <x:c r="C329" s="70"/>
      <x:c r="D329" s="70"/>
      <x:c r="E329" s="70"/>
      <x:c r="F329" s="70"/>
      <x:c r="G329" s="70"/>
      <x:c r="H329" s="70"/>
      <x:c r="I329" s="70"/>
      <x:c r="J329" s="70"/>
      <x:c r="K329" s="70"/>
      <x:c r="L329" s="70"/>
      <x:c r="M329" s="70"/>
      <x:c r="N329" s="70"/>
      <x:c r="O329" s="70"/>
    </x:row>
    <x:row r="330" ht="15" hidden="0" customHeight="1">
      <x:c r="A330" s="70"/>
      <x:c r="B330" s="70"/>
      <x:c r="C330" s="70"/>
      <x:c r="D330" s="70"/>
      <x:c r="E330" s="70"/>
      <x:c r="F330" s="70"/>
      <x:c r="G330" s="70"/>
      <x:c r="H330" s="70"/>
      <x:c r="I330" s="70"/>
      <x:c r="J330" s="70"/>
      <x:c r="K330" s="70"/>
      <x:c r="L330" s="70"/>
      <x:c r="M330" s="70"/>
      <x:c r="N330" s="70"/>
      <x:c r="O330" s="70"/>
    </x:row>
    <x:row r="331" ht="15" hidden="0" customHeight="1">
      <x:c r="A331" s="70"/>
      <x:c r="B331" s="70"/>
      <x:c r="C331" s="70"/>
      <x:c r="D331" s="70"/>
      <x:c r="E331" s="70"/>
      <x:c r="F331" s="70"/>
      <x:c r="G331" s="70"/>
      <x:c r="H331" s="70"/>
      <x:c r="I331" s="70"/>
      <x:c r="J331" s="70"/>
      <x:c r="K331" s="70"/>
      <x:c r="L331" s="70"/>
      <x:c r="M331" s="70"/>
      <x:c r="N331" s="70"/>
      <x:c r="O331" s="70"/>
    </x:row>
    <x:row r="332" ht="15" hidden="0" customHeight="1">
      <x:c r="A332" s="70"/>
      <x:c r="B332" s="70"/>
      <x:c r="C332" s="70"/>
      <x:c r="D332" s="70"/>
      <x:c r="E332" s="70"/>
      <x:c r="F332" s="70"/>
      <x:c r="G332" s="70"/>
      <x:c r="H332" s="70"/>
      <x:c r="I332" s="70"/>
      <x:c r="J332" s="70"/>
      <x:c r="K332" s="70"/>
      <x:c r="L332" s="70"/>
      <x:c r="M332" s="70"/>
      <x:c r="N332" s="70"/>
      <x:c r="O332" s="70"/>
    </x:row>
    <x:row r="333" ht="15" hidden="0" customHeight="1">
      <x:c r="A333" s="70"/>
      <x:c r="B333" s="70"/>
      <x:c r="C333" s="70"/>
      <x:c r="D333" s="70"/>
      <x:c r="E333" s="70"/>
      <x:c r="F333" s="70"/>
      <x:c r="G333" s="70"/>
      <x:c r="H333" s="70"/>
      <x:c r="I333" s="70"/>
      <x:c r="J333" s="70"/>
      <x:c r="K333" s="70"/>
      <x:c r="L333" s="70"/>
      <x:c r="M333" s="70"/>
      <x:c r="N333" s="70"/>
      <x:c r="O333" s="70"/>
    </x:row>
    <x:row r="334" ht="15" hidden="0" customHeight="1">
      <x:c r="A334" s="70"/>
      <x:c r="B334" s="70"/>
      <x:c r="C334" s="70"/>
      <x:c r="D334" s="70"/>
      <x:c r="E334" s="70"/>
      <x:c r="F334" s="70"/>
      <x:c r="G334" s="70"/>
      <x:c r="H334" s="70"/>
      <x:c r="I334" s="70"/>
      <x:c r="J334" s="70"/>
      <x:c r="K334" s="70"/>
      <x:c r="L334" s="70"/>
      <x:c r="M334" s="70"/>
      <x:c r="N334" s="70"/>
      <x:c r="O334" s="70"/>
    </x:row>
    <x:row r="335" ht="15" hidden="0" customHeight="1">
      <x:c r="A335" s="70"/>
      <x:c r="B335" s="70"/>
      <x:c r="C335" s="70"/>
      <x:c r="D335" s="70"/>
      <x:c r="E335" s="70"/>
      <x:c r="F335" s="70"/>
      <x:c r="G335" s="70"/>
      <x:c r="H335" s="70"/>
      <x:c r="I335" s="70"/>
      <x:c r="J335" s="70"/>
      <x:c r="K335" s="70"/>
      <x:c r="L335" s="70"/>
      <x:c r="M335" s="70"/>
      <x:c r="N335" s="70"/>
      <x:c r="O335" s="70"/>
    </x:row>
    <x:row r="336" ht="15" hidden="0" customHeight="1">
      <x:c r="A336" s="70"/>
      <x:c r="B336" s="70"/>
      <x:c r="C336" s="70"/>
      <x:c r="D336" s="70"/>
      <x:c r="E336" s="70"/>
      <x:c r="F336" s="70"/>
      <x:c r="G336" s="70"/>
      <x:c r="H336" s="70"/>
      <x:c r="I336" s="70"/>
      <x:c r="J336" s="70"/>
      <x:c r="K336" s="70"/>
      <x:c r="L336" s="70"/>
      <x:c r="M336" s="70"/>
      <x:c r="N336" s="70"/>
      <x:c r="O336" s="70"/>
    </x:row>
    <x:row r="337" ht="15" hidden="0" customHeight="1">
      <x:c r="A337" s="70"/>
      <x:c r="B337" s="70"/>
      <x:c r="C337" s="70"/>
      <x:c r="D337" s="70"/>
      <x:c r="E337" s="70"/>
      <x:c r="F337" s="70"/>
      <x:c r="G337" s="70"/>
      <x:c r="H337" s="70"/>
      <x:c r="I337" s="70"/>
      <x:c r="J337" s="70"/>
      <x:c r="K337" s="70"/>
      <x:c r="L337" s="70"/>
      <x:c r="M337" s="70"/>
      <x:c r="N337" s="70"/>
      <x:c r="O337" s="70"/>
    </x:row>
    <x:row r="338" ht="15" hidden="0" customHeight="1">
      <x:c r="A338" s="70"/>
      <x:c r="B338" s="70"/>
      <x:c r="C338" s="70"/>
      <x:c r="D338" s="70"/>
      <x:c r="E338" s="70"/>
      <x:c r="F338" s="70"/>
      <x:c r="G338" s="70"/>
      <x:c r="H338" s="70"/>
      <x:c r="I338" s="70"/>
      <x:c r="J338" s="70"/>
      <x:c r="K338" s="70"/>
      <x:c r="L338" s="70"/>
      <x:c r="M338" s="70"/>
      <x:c r="N338" s="70"/>
      <x:c r="O338" s="70"/>
    </x:row>
    <x:row r="339" ht="15" hidden="0" customHeight="1">
      <x:c r="A339" s="70"/>
      <x:c r="B339" s="70"/>
      <x:c r="C339" s="70"/>
      <x:c r="D339" s="70"/>
      <x:c r="E339" s="70"/>
      <x:c r="F339" s="70"/>
      <x:c r="G339" s="70"/>
      <x:c r="H339" s="70"/>
      <x:c r="I339" s="70"/>
      <x:c r="J339" s="70"/>
      <x:c r="K339" s="70"/>
      <x:c r="L339" s="70"/>
      <x:c r="M339" s="70"/>
      <x:c r="N339" s="70"/>
      <x:c r="O339" s="70"/>
    </x:row>
    <x:row r="340" ht="15" hidden="0" customHeight="1">
      <x:c r="A340" s="70"/>
      <x:c r="B340" s="70"/>
      <x:c r="C340" s="70"/>
      <x:c r="D340" s="70"/>
      <x:c r="E340" s="70"/>
      <x:c r="F340" s="70"/>
      <x:c r="G340" s="70"/>
      <x:c r="H340" s="70"/>
      <x:c r="I340" s="70"/>
      <x:c r="J340" s="70"/>
      <x:c r="K340" s="70"/>
      <x:c r="L340" s="70"/>
      <x:c r="M340" s="70"/>
      <x:c r="N340" s="70"/>
      <x:c r="O340" s="70"/>
    </x:row>
    <x:row r="341" ht="15" hidden="0" customHeight="1">
      <x:c r="A341" s="70"/>
      <x:c r="B341" s="70"/>
      <x:c r="C341" s="70"/>
      <x:c r="D341" s="70"/>
      <x:c r="E341" s="70"/>
      <x:c r="F341" s="70"/>
      <x:c r="G341" s="70"/>
      <x:c r="H341" s="70"/>
      <x:c r="I341" s="70"/>
      <x:c r="J341" s="70"/>
      <x:c r="K341" s="70"/>
      <x:c r="L341" s="70"/>
      <x:c r="M341" s="70"/>
      <x:c r="N341" s="70"/>
      <x:c r="O341" s="70"/>
    </x:row>
    <x:row r="342" ht="15" hidden="0" customHeight="1">
      <x:c r="A342" s="70"/>
      <x:c r="B342" s="70"/>
      <x:c r="C342" s="70"/>
      <x:c r="D342" s="70"/>
      <x:c r="E342" s="70"/>
      <x:c r="F342" s="70"/>
      <x:c r="G342" s="70"/>
      <x:c r="H342" s="70"/>
      <x:c r="I342" s="70"/>
      <x:c r="J342" s="70"/>
      <x:c r="K342" s="70"/>
      <x:c r="L342" s="70"/>
      <x:c r="M342" s="70"/>
      <x:c r="N342" s="70"/>
      <x:c r="O342" s="70"/>
    </x:row>
    <x:row r="343" ht="15" hidden="0" customHeight="1">
      <x:c r="A343" s="70"/>
      <x:c r="B343" s="70"/>
      <x:c r="C343" s="70"/>
      <x:c r="D343" s="70"/>
      <x:c r="E343" s="70"/>
      <x:c r="F343" s="70"/>
      <x:c r="G343" s="70"/>
      <x:c r="H343" s="70"/>
      <x:c r="I343" s="70"/>
      <x:c r="J343" s="70"/>
      <x:c r="K343" s="70"/>
      <x:c r="L343" s="70"/>
      <x:c r="M343" s="70"/>
      <x:c r="N343" s="70"/>
      <x:c r="O343" s="70"/>
    </x:row>
    <x:row r="344" ht="15" hidden="0" customHeight="1">
      <x:c r="A344" s="70"/>
      <x:c r="B344" s="70"/>
      <x:c r="C344" s="70"/>
      <x:c r="D344" s="70"/>
      <x:c r="E344" s="70"/>
      <x:c r="F344" s="70"/>
      <x:c r="G344" s="70"/>
      <x:c r="H344" s="70"/>
      <x:c r="I344" s="70"/>
      <x:c r="J344" s="70"/>
      <x:c r="K344" s="70"/>
      <x:c r="L344" s="70"/>
      <x:c r="M344" s="70"/>
      <x:c r="N344" s="70"/>
      <x:c r="O344" s="70"/>
    </x:row>
    <x:row r="345" ht="15" hidden="0" customHeight="1">
      <x:c r="A345" s="70"/>
      <x:c r="B345" s="70"/>
      <x:c r="C345" s="70"/>
      <x:c r="D345" s="70"/>
      <x:c r="E345" s="70"/>
      <x:c r="F345" s="70"/>
      <x:c r="G345" s="70"/>
      <x:c r="H345" s="70"/>
      <x:c r="I345" s="70"/>
      <x:c r="J345" s="70"/>
      <x:c r="K345" s="70"/>
      <x:c r="L345" s="70"/>
      <x:c r="M345" s="70"/>
      <x:c r="N345" s="70"/>
      <x:c r="O345" s="70"/>
    </x:row>
    <x:row r="346" ht="15" hidden="0" customHeight="1">
      <x:c r="A346" s="70"/>
      <x:c r="B346" s="70"/>
      <x:c r="C346" s="70"/>
      <x:c r="D346" s="70"/>
      <x:c r="E346" s="70"/>
      <x:c r="F346" s="70"/>
      <x:c r="G346" s="70"/>
      <x:c r="H346" s="70"/>
      <x:c r="I346" s="70"/>
      <x:c r="J346" s="70"/>
      <x:c r="K346" s="70"/>
      <x:c r="L346" s="70"/>
      <x:c r="M346" s="70"/>
      <x:c r="N346" s="70"/>
      <x:c r="O346" s="70"/>
    </x:row>
    <x:row r="347" ht="15" hidden="0" customHeight="1">
      <x:c r="A347" s="70"/>
      <x:c r="B347" s="70"/>
      <x:c r="C347" s="70"/>
      <x:c r="D347" s="70"/>
      <x:c r="E347" s="70"/>
      <x:c r="F347" s="70"/>
      <x:c r="G347" s="70"/>
      <x:c r="H347" s="70"/>
      <x:c r="I347" s="70"/>
      <x:c r="J347" s="70"/>
      <x:c r="K347" s="70"/>
      <x:c r="L347" s="70"/>
      <x:c r="M347" s="70"/>
      <x:c r="N347" s="70"/>
      <x:c r="O347" s="70"/>
    </x:row>
    <x:row r="348" ht="15" hidden="0" customHeight="1">
      <x:c r="A348" s="70"/>
      <x:c r="B348" s="70"/>
      <x:c r="C348" s="70"/>
      <x:c r="D348" s="70"/>
      <x:c r="E348" s="70"/>
      <x:c r="F348" s="70"/>
      <x:c r="G348" s="70"/>
      <x:c r="H348" s="70"/>
      <x:c r="I348" s="70"/>
      <x:c r="J348" s="70"/>
      <x:c r="K348" s="70"/>
      <x:c r="L348" s="70"/>
      <x:c r="M348" s="70"/>
      <x:c r="N348" s="70"/>
      <x:c r="O348" s="70"/>
    </x:row>
    <x:row r="349" ht="15" hidden="0" customHeight="1">
      <x:c r="A349" s="70"/>
      <x:c r="B349" s="70"/>
      <x:c r="C349" s="70"/>
      <x:c r="D349" s="70"/>
      <x:c r="E349" s="70"/>
      <x:c r="F349" s="70"/>
      <x:c r="G349" s="70"/>
      <x:c r="H349" s="70"/>
      <x:c r="I349" s="70"/>
      <x:c r="J349" s="70"/>
      <x:c r="K349" s="70"/>
      <x:c r="L349" s="70"/>
      <x:c r="M349" s="70"/>
      <x:c r="N349" s="70"/>
      <x:c r="O349" s="70"/>
    </x:row>
    <x:row r="350" ht="15" hidden="0" customHeight="1">
      <x:c r="A350" s="70"/>
      <x:c r="B350" s="70"/>
      <x:c r="C350" s="70"/>
      <x:c r="D350" s="70"/>
      <x:c r="E350" s="70"/>
      <x:c r="F350" s="70"/>
      <x:c r="G350" s="70"/>
      <x:c r="H350" s="70"/>
      <x:c r="I350" s="70"/>
      <x:c r="J350" s="70"/>
      <x:c r="K350" s="70"/>
      <x:c r="L350" s="70"/>
      <x:c r="M350" s="70"/>
      <x:c r="N350" s="70"/>
      <x:c r="O350" s="70"/>
    </x:row>
    <x:row r="351" ht="15" hidden="0" customHeight="1">
      <x:c r="A351" s="70"/>
      <x:c r="B351" s="70"/>
      <x:c r="C351" s="70"/>
      <x:c r="D351" s="70"/>
      <x:c r="E351" s="70"/>
      <x:c r="F351" s="70"/>
      <x:c r="G351" s="70"/>
      <x:c r="H351" s="70"/>
      <x:c r="I351" s="70"/>
      <x:c r="J351" s="70"/>
      <x:c r="K351" s="70"/>
      <x:c r="L351" s="70"/>
      <x:c r="M351" s="70"/>
      <x:c r="N351" s="70"/>
      <x:c r="O351" s="70"/>
    </x:row>
    <x:row r="352" ht="15" hidden="0" customHeight="1">
      <x:c r="A352" s="70"/>
      <x:c r="B352" s="70"/>
      <x:c r="C352" s="70"/>
      <x:c r="D352" s="70"/>
      <x:c r="E352" s="70"/>
      <x:c r="F352" s="70"/>
      <x:c r="G352" s="70"/>
      <x:c r="H352" s="70"/>
      <x:c r="I352" s="70"/>
      <x:c r="J352" s="70"/>
      <x:c r="K352" s="70"/>
      <x:c r="L352" s="70"/>
      <x:c r="M352" s="70"/>
      <x:c r="N352" s="70"/>
      <x:c r="O352" s="70"/>
    </x:row>
    <x:row r="353" ht="15" hidden="0" customHeight="1">
      <x:c r="A353" s="70"/>
      <x:c r="B353" s="70"/>
      <x:c r="C353" s="70"/>
      <x:c r="D353" s="70"/>
      <x:c r="E353" s="70"/>
      <x:c r="F353" s="70"/>
      <x:c r="G353" s="70"/>
      <x:c r="H353" s="70"/>
      <x:c r="I353" s="70"/>
      <x:c r="J353" s="70"/>
      <x:c r="K353" s="70"/>
      <x:c r="L353" s="70"/>
      <x:c r="M353" s="70"/>
      <x:c r="N353" s="70"/>
      <x:c r="O353" s="70"/>
    </x:row>
    <x:row r="354" ht="15" hidden="0" customHeight="1">
      <x:c r="A354" s="70"/>
      <x:c r="B354" s="70"/>
      <x:c r="C354" s="70"/>
      <x:c r="D354" s="70"/>
      <x:c r="E354" s="70"/>
      <x:c r="F354" s="70"/>
      <x:c r="G354" s="70"/>
      <x:c r="H354" s="70"/>
      <x:c r="I354" s="70"/>
      <x:c r="J354" s="70"/>
      <x:c r="K354" s="70"/>
      <x:c r="L354" s="70"/>
      <x:c r="M354" s="70"/>
      <x:c r="N354" s="70"/>
      <x:c r="O354" s="70"/>
    </x:row>
    <x:row r="355" ht="15" hidden="0" customHeight="1">
      <x:c r="A355" s="70"/>
      <x:c r="B355" s="70"/>
      <x:c r="C355" s="70"/>
      <x:c r="D355" s="70"/>
      <x:c r="E355" s="70"/>
      <x:c r="F355" s="70"/>
      <x:c r="G355" s="70"/>
      <x:c r="H355" s="70"/>
      <x:c r="I355" s="70"/>
      <x:c r="J355" s="70"/>
      <x:c r="K355" s="70"/>
      <x:c r="L355" s="70"/>
      <x:c r="M355" s="70"/>
      <x:c r="N355" s="70"/>
      <x:c r="O355" s="70"/>
    </x:row>
    <x:row r="356" ht="15" hidden="0" customHeight="1">
      <x:c r="A356" s="70"/>
      <x:c r="B356" s="70"/>
      <x:c r="C356" s="70"/>
      <x:c r="D356" s="70"/>
      <x:c r="E356" s="70"/>
      <x:c r="F356" s="70"/>
      <x:c r="G356" s="70"/>
      <x:c r="H356" s="70"/>
      <x:c r="I356" s="70"/>
      <x:c r="J356" s="70"/>
      <x:c r="K356" s="70"/>
      <x:c r="L356" s="70"/>
      <x:c r="M356" s="70"/>
      <x:c r="N356" s="70"/>
      <x:c r="O356" s="70"/>
    </x:row>
    <x:row r="357" ht="15" hidden="0" customHeight="1">
      <x:c r="A357" s="70"/>
      <x:c r="B357" s="70"/>
      <x:c r="C357" s="70"/>
      <x:c r="D357" s="70"/>
      <x:c r="E357" s="70"/>
      <x:c r="F357" s="70"/>
      <x:c r="G357" s="70"/>
      <x:c r="H357" s="70"/>
      <x:c r="I357" s="70"/>
      <x:c r="J357" s="70"/>
      <x:c r="K357" s="70"/>
      <x:c r="L357" s="70"/>
      <x:c r="M357" s="70"/>
      <x:c r="N357" s="70"/>
      <x:c r="O357" s="70"/>
    </x:row>
    <x:row r="358" ht="15" hidden="0" customHeight="1">
      <x:c r="A358" s="70"/>
      <x:c r="B358" s="70"/>
      <x:c r="C358" s="70"/>
      <x:c r="D358" s="70"/>
      <x:c r="E358" s="70"/>
      <x:c r="F358" s="70"/>
      <x:c r="G358" s="70"/>
      <x:c r="H358" s="70"/>
      <x:c r="I358" s="70"/>
      <x:c r="J358" s="70"/>
      <x:c r="K358" s="70"/>
      <x:c r="L358" s="70"/>
      <x:c r="M358" s="70"/>
      <x:c r="N358" s="70"/>
      <x:c r="O358" s="70"/>
    </x:row>
    <x:row r="359" ht="15" hidden="0" customHeight="1">
      <x:c r="A359" s="70"/>
      <x:c r="B359" s="70"/>
      <x:c r="C359" s="70"/>
      <x:c r="D359" s="70"/>
      <x:c r="E359" s="70"/>
      <x:c r="F359" s="70"/>
      <x:c r="G359" s="70"/>
      <x:c r="H359" s="70"/>
      <x:c r="I359" s="70"/>
      <x:c r="J359" s="70"/>
      <x:c r="K359" s="70"/>
      <x:c r="L359" s="70"/>
      <x:c r="M359" s="70"/>
      <x:c r="N359" s="70"/>
      <x:c r="O359" s="70"/>
    </x:row>
    <x:row r="360" ht="15" hidden="0" customHeight="1">
      <x:c r="A360" s="70"/>
      <x:c r="B360" s="70"/>
      <x:c r="C360" s="70"/>
      <x:c r="D360" s="70"/>
      <x:c r="E360" s="70"/>
      <x:c r="F360" s="70"/>
      <x:c r="G360" s="70"/>
      <x:c r="H360" s="70"/>
      <x:c r="I360" s="70"/>
      <x:c r="J360" s="70"/>
      <x:c r="K360" s="70"/>
      <x:c r="L360" s="70"/>
      <x:c r="M360" s="70"/>
      <x:c r="N360" s="70"/>
      <x:c r="O360" s="70"/>
    </x:row>
    <x:row r="361" ht="15" hidden="0" customHeight="1">
      <x:c r="A361" s="70"/>
      <x:c r="B361" s="70"/>
      <x:c r="C361" s="70"/>
      <x:c r="D361" s="70"/>
      <x:c r="E361" s="70"/>
      <x:c r="F361" s="70"/>
      <x:c r="G361" s="70"/>
      <x:c r="H361" s="70"/>
      <x:c r="I361" s="70"/>
      <x:c r="J361" s="70"/>
      <x:c r="K361" s="70"/>
      <x:c r="L361" s="70"/>
      <x:c r="M361" s="70"/>
      <x:c r="N361" s="70"/>
      <x:c r="O361" s="70"/>
    </x:row>
    <x:row r="362" ht="15" hidden="0" customHeight="1">
      <x:c r="A362" s="70"/>
      <x:c r="B362" s="70"/>
      <x:c r="C362" s="70"/>
      <x:c r="D362" s="70"/>
      <x:c r="E362" s="70"/>
      <x:c r="F362" s="70"/>
      <x:c r="G362" s="70"/>
      <x:c r="H362" s="70"/>
      <x:c r="I362" s="70"/>
      <x:c r="J362" s="70"/>
      <x:c r="K362" s="70"/>
      <x:c r="L362" s="70"/>
      <x:c r="M362" s="70"/>
      <x:c r="N362" s="70"/>
      <x:c r="O362" s="70"/>
    </x:row>
    <x:row r="363" ht="15" hidden="0" customHeight="1">
      <x:c r="A363" s="70"/>
      <x:c r="B363" s="70"/>
      <x:c r="C363" s="70"/>
      <x:c r="D363" s="70"/>
      <x:c r="E363" s="70"/>
      <x:c r="F363" s="70"/>
      <x:c r="G363" s="70"/>
      <x:c r="H363" s="70"/>
      <x:c r="I363" s="70"/>
      <x:c r="J363" s="70"/>
      <x:c r="K363" s="70"/>
      <x:c r="L363" s="70"/>
      <x:c r="M363" s="70"/>
      <x:c r="N363" s="70"/>
      <x:c r="O363" s="70"/>
    </x:row>
    <x:row r="364" ht="15" hidden="0" customHeight="1">
      <x:c r="A364" s="70"/>
      <x:c r="B364" s="70"/>
      <x:c r="C364" s="70"/>
      <x:c r="D364" s="70"/>
      <x:c r="E364" s="70"/>
      <x:c r="F364" s="70"/>
      <x:c r="G364" s="70"/>
      <x:c r="H364" s="70"/>
      <x:c r="I364" s="70"/>
      <x:c r="J364" s="70"/>
      <x:c r="K364" s="70"/>
      <x:c r="L364" s="70"/>
      <x:c r="M364" s="70"/>
      <x:c r="N364" s="70"/>
      <x:c r="O364" s="70"/>
    </x:row>
    <x:row r="365" ht="15" hidden="0" customHeight="1">
      <x:c r="A365" s="70"/>
      <x:c r="B365" s="70"/>
      <x:c r="C365" s="70"/>
      <x:c r="D365" s="70"/>
      <x:c r="E365" s="70"/>
      <x:c r="F365" s="70"/>
      <x:c r="G365" s="70"/>
      <x:c r="H365" s="70"/>
      <x:c r="I365" s="70"/>
      <x:c r="J365" s="70"/>
      <x:c r="K365" s="70"/>
      <x:c r="L365" s="70"/>
      <x:c r="M365" s="70"/>
      <x:c r="N365" s="70"/>
      <x:c r="O365" s="70"/>
    </x:row>
    <x:row r="366" ht="15" hidden="0" customHeight="1">
      <x:c r="A366" s="70"/>
      <x:c r="B366" s="70"/>
      <x:c r="C366" s="70"/>
      <x:c r="D366" s="70"/>
      <x:c r="E366" s="70"/>
      <x:c r="F366" s="70"/>
      <x:c r="G366" s="70"/>
      <x:c r="H366" s="70"/>
      <x:c r="I366" s="70"/>
      <x:c r="J366" s="70"/>
      <x:c r="K366" s="70"/>
      <x:c r="L366" s="70"/>
      <x:c r="M366" s="70"/>
      <x:c r="N366" s="70"/>
      <x:c r="O366" s="70"/>
    </x:row>
    <x:row r="367" ht="15" hidden="0" customHeight="1">
      <x:c r="A367" s="70"/>
      <x:c r="B367" s="70"/>
      <x:c r="C367" s="70"/>
      <x:c r="D367" s="70"/>
      <x:c r="E367" s="70"/>
      <x:c r="F367" s="70"/>
      <x:c r="G367" s="70"/>
      <x:c r="H367" s="70"/>
      <x:c r="I367" s="70"/>
      <x:c r="J367" s="70"/>
      <x:c r="K367" s="70"/>
      <x:c r="L367" s="70"/>
      <x:c r="M367" s="70"/>
      <x:c r="N367" s="70"/>
      <x:c r="O367" s="70"/>
    </x:row>
    <x:row r="368" ht="15" hidden="0" customHeight="1">
      <x:c r="A368" s="70"/>
      <x:c r="B368" s="70"/>
      <x:c r="C368" s="70"/>
      <x:c r="D368" s="70"/>
      <x:c r="E368" s="70"/>
      <x:c r="F368" s="70"/>
      <x:c r="G368" s="70"/>
      <x:c r="H368" s="70"/>
      <x:c r="I368" s="70"/>
      <x:c r="J368" s="70"/>
      <x:c r="K368" s="70"/>
      <x:c r="L368" s="70"/>
      <x:c r="M368" s="70"/>
      <x:c r="N368" s="70"/>
      <x:c r="O368" s="70"/>
    </x:row>
    <x:row r="369" ht="15" hidden="0" customHeight="1">
      <x:c r="A369" s="70"/>
      <x:c r="B369" s="70"/>
      <x:c r="C369" s="70"/>
      <x:c r="D369" s="70"/>
      <x:c r="E369" s="70"/>
      <x:c r="F369" s="70"/>
      <x:c r="G369" s="70"/>
      <x:c r="H369" s="70"/>
      <x:c r="I369" s="70"/>
      <x:c r="J369" s="70"/>
      <x:c r="K369" s="70"/>
      <x:c r="L369" s="70"/>
      <x:c r="M369" s="70"/>
      <x:c r="N369" s="70"/>
      <x:c r="O369" s="70"/>
    </x:row>
    <x:row r="370" ht="15" hidden="0" customHeight="1">
      <x:c r="A370" s="70"/>
      <x:c r="B370" s="70"/>
      <x:c r="C370" s="70"/>
      <x:c r="D370" s="70"/>
      <x:c r="E370" s="70"/>
      <x:c r="F370" s="70"/>
      <x:c r="G370" s="70"/>
      <x:c r="H370" s="70"/>
      <x:c r="I370" s="70"/>
      <x:c r="J370" s="70"/>
      <x:c r="K370" s="70"/>
      <x:c r="L370" s="70"/>
      <x:c r="M370" s="70"/>
      <x:c r="N370" s="70"/>
      <x:c r="O370" s="70"/>
    </x:row>
    <x:row r="371" ht="15" hidden="0" customHeight="1">
      <x:c r="A371" s="70"/>
      <x:c r="B371" s="70"/>
      <x:c r="C371" s="70"/>
      <x:c r="D371" s="70"/>
      <x:c r="E371" s="70"/>
      <x:c r="F371" s="70"/>
      <x:c r="G371" s="70"/>
      <x:c r="H371" s="70"/>
      <x:c r="I371" s="70"/>
      <x:c r="J371" s="70"/>
      <x:c r="K371" s="70"/>
      <x:c r="L371" s="70"/>
      <x:c r="M371" s="70"/>
      <x:c r="N371" s="70"/>
      <x:c r="O371" s="70"/>
    </x:row>
    <x:row r="372" ht="15" hidden="0" customHeight="1">
      <x:c r="A372" s="70"/>
      <x:c r="B372" s="70"/>
      <x:c r="C372" s="70"/>
      <x:c r="D372" s="70"/>
      <x:c r="E372" s="70"/>
      <x:c r="F372" s="70"/>
      <x:c r="G372" s="70"/>
      <x:c r="H372" s="70"/>
      <x:c r="I372" s="70"/>
      <x:c r="J372" s="70"/>
      <x:c r="K372" s="70"/>
      <x:c r="L372" s="70"/>
      <x:c r="M372" s="70"/>
      <x:c r="N372" s="70"/>
      <x:c r="O372" s="70"/>
    </x:row>
    <x:row r="373" ht="15" hidden="0" customHeight="1">
      <x:c r="A373" s="70"/>
      <x:c r="B373" s="70"/>
      <x:c r="C373" s="70"/>
      <x:c r="D373" s="70"/>
      <x:c r="E373" s="70"/>
      <x:c r="F373" s="70"/>
      <x:c r="G373" s="70"/>
      <x:c r="H373" s="70"/>
      <x:c r="I373" s="70"/>
      <x:c r="J373" s="70"/>
      <x:c r="K373" s="70"/>
      <x:c r="L373" s="70"/>
      <x:c r="M373" s="70"/>
      <x:c r="N373" s="70"/>
      <x:c r="O373" s="70"/>
    </x:row>
    <x:row r="374" ht="15" hidden="0" customHeight="1">
      <x:c r="A374" s="70"/>
      <x:c r="B374" s="70"/>
      <x:c r="C374" s="70"/>
      <x:c r="D374" s="70"/>
      <x:c r="E374" s="70"/>
      <x:c r="F374" s="70"/>
      <x:c r="G374" s="70"/>
      <x:c r="H374" s="70"/>
      <x:c r="I374" s="70"/>
      <x:c r="J374" s="70"/>
      <x:c r="K374" s="70"/>
      <x:c r="L374" s="70"/>
      <x:c r="M374" s="70"/>
      <x:c r="N374" s="70"/>
      <x:c r="O374" s="70"/>
    </x:row>
    <x:row r="375" ht="15" hidden="0" customHeight="1">
      <x:c r="A375" s="70"/>
      <x:c r="B375" s="70"/>
      <x:c r="C375" s="70"/>
      <x:c r="D375" s="70"/>
      <x:c r="E375" s="70"/>
      <x:c r="F375" s="70"/>
      <x:c r="G375" s="70"/>
      <x:c r="H375" s="70"/>
      <x:c r="I375" s="70"/>
      <x:c r="J375" s="70"/>
      <x:c r="K375" s="70"/>
      <x:c r="L375" s="70"/>
      <x:c r="M375" s="70"/>
      <x:c r="N375" s="70"/>
      <x:c r="O375" s="70"/>
    </x:row>
    <x:row r="376" ht="15" hidden="0" customHeight="1">
      <x:c r="A376" s="70"/>
      <x:c r="B376" s="70"/>
      <x:c r="C376" s="70"/>
      <x:c r="D376" s="70"/>
      <x:c r="E376" s="70"/>
      <x:c r="F376" s="70"/>
      <x:c r="G376" s="70"/>
      <x:c r="H376" s="70"/>
      <x:c r="I376" s="70"/>
      <x:c r="J376" s="70"/>
      <x:c r="K376" s="70"/>
      <x:c r="L376" s="70"/>
      <x:c r="M376" s="70"/>
      <x:c r="N376" s="70"/>
      <x:c r="O376" s="70"/>
    </x:row>
    <x:row r="377" ht="15" hidden="0" customHeight="1">
      <x:c r="A377" s="70"/>
      <x:c r="B377" s="70"/>
      <x:c r="C377" s="70"/>
      <x:c r="D377" s="70"/>
      <x:c r="E377" s="70"/>
      <x:c r="F377" s="70"/>
      <x:c r="G377" s="70"/>
      <x:c r="H377" s="70"/>
      <x:c r="I377" s="70"/>
      <x:c r="J377" s="70"/>
      <x:c r="K377" s="70"/>
      <x:c r="L377" s="70"/>
      <x:c r="M377" s="70"/>
      <x:c r="N377" s="70"/>
      <x:c r="O377" s="70"/>
    </x:row>
    <x:row r="378" ht="15" hidden="0" customHeight="1">
      <x:c r="A378" s="70"/>
      <x:c r="B378" s="70"/>
      <x:c r="C378" s="70"/>
      <x:c r="D378" s="70"/>
      <x:c r="E378" s="70"/>
      <x:c r="F378" s="70"/>
      <x:c r="G378" s="70"/>
      <x:c r="H378" s="70"/>
      <x:c r="I378" s="70"/>
      <x:c r="J378" s="70"/>
      <x:c r="K378" s="70"/>
      <x:c r="L378" s="70"/>
      <x:c r="M378" s="70"/>
      <x:c r="N378" s="70"/>
      <x:c r="O378" s="70"/>
    </x:row>
    <x:row r="379" ht="15" hidden="0" customHeight="1">
      <x:c r="A379" s="70"/>
      <x:c r="B379" s="70"/>
      <x:c r="C379" s="70"/>
      <x:c r="D379" s="70"/>
      <x:c r="E379" s="70"/>
      <x:c r="F379" s="70"/>
      <x:c r="G379" s="70"/>
      <x:c r="H379" s="70"/>
      <x:c r="I379" s="70"/>
      <x:c r="J379" s="70"/>
      <x:c r="K379" s="70"/>
      <x:c r="L379" s="70"/>
      <x:c r="M379" s="70"/>
      <x:c r="N379" s="70"/>
      <x:c r="O379" s="70"/>
    </x:row>
    <x:row r="380" ht="15" hidden="0" customHeight="1">
      <x:c r="A380" s="70"/>
      <x:c r="B380" s="70"/>
      <x:c r="C380" s="70"/>
      <x:c r="D380" s="70"/>
      <x:c r="E380" s="70"/>
      <x:c r="F380" s="70"/>
      <x:c r="G380" s="70"/>
      <x:c r="H380" s="70"/>
      <x:c r="I380" s="70"/>
      <x:c r="J380" s="70"/>
      <x:c r="K380" s="70"/>
      <x:c r="L380" s="70"/>
      <x:c r="M380" s="70"/>
      <x:c r="N380" s="70"/>
      <x:c r="O380" s="70"/>
    </x:row>
    <x:row r="381" ht="15" hidden="0" customHeight="1">
      <x:c r="A381" s="70"/>
      <x:c r="B381" s="70"/>
      <x:c r="C381" s="70"/>
      <x:c r="D381" s="70"/>
      <x:c r="E381" s="70"/>
      <x:c r="F381" s="70"/>
      <x:c r="G381" s="70"/>
      <x:c r="H381" s="70"/>
      <x:c r="I381" s="70"/>
      <x:c r="J381" s="70"/>
      <x:c r="K381" s="70"/>
      <x:c r="L381" s="70"/>
      <x:c r="M381" s="70"/>
      <x:c r="N381" s="70"/>
      <x:c r="O381" s="70"/>
    </x:row>
    <x:row r="382" ht="15" hidden="0" customHeight="1">
      <x:c r="A382" s="70"/>
      <x:c r="B382" s="70"/>
      <x:c r="C382" s="70"/>
      <x:c r="D382" s="70"/>
      <x:c r="E382" s="70"/>
      <x:c r="F382" s="70"/>
      <x:c r="G382" s="70"/>
      <x:c r="H382" s="70"/>
      <x:c r="I382" s="70"/>
      <x:c r="J382" s="70"/>
      <x:c r="K382" s="70"/>
      <x:c r="L382" s="70"/>
      <x:c r="M382" s="70"/>
      <x:c r="N382" s="70"/>
      <x:c r="O382" s="70"/>
    </x:row>
    <x:row r="383" ht="15" hidden="0" customHeight="1">
      <x:c r="A383" s="70"/>
      <x:c r="B383" s="70"/>
      <x:c r="C383" s="70"/>
      <x:c r="D383" s="70"/>
      <x:c r="E383" s="70"/>
      <x:c r="F383" s="70"/>
      <x:c r="G383" s="70"/>
      <x:c r="H383" s="70"/>
      <x:c r="I383" s="70"/>
      <x:c r="J383" s="70"/>
      <x:c r="K383" s="70"/>
      <x:c r="L383" s="70"/>
      <x:c r="M383" s="70"/>
      <x:c r="N383" s="70"/>
      <x:c r="O383" s="70"/>
    </x:row>
    <x:row r="384" ht="15" hidden="0" customHeight="1">
      <x:c r="A384" s="70"/>
      <x:c r="B384" s="70"/>
      <x:c r="C384" s="70"/>
      <x:c r="D384" s="70"/>
      <x:c r="E384" s="70"/>
      <x:c r="F384" s="70"/>
      <x:c r="G384" s="70"/>
      <x:c r="H384" s="70"/>
      <x:c r="I384" s="70"/>
      <x:c r="J384" s="70"/>
      <x:c r="K384" s="70"/>
      <x:c r="L384" s="70"/>
      <x:c r="M384" s="70"/>
      <x:c r="N384" s="70"/>
      <x:c r="O384" s="70"/>
    </x:row>
    <x:row r="385" ht="15" hidden="0" customHeight="1">
      <x:c r="A385" s="70"/>
      <x:c r="B385" s="70"/>
      <x:c r="C385" s="70"/>
      <x:c r="D385" s="70"/>
      <x:c r="E385" s="70"/>
      <x:c r="F385" s="70"/>
      <x:c r="G385" s="70"/>
      <x:c r="H385" s="70"/>
      <x:c r="I385" s="70"/>
      <x:c r="J385" s="70"/>
      <x:c r="K385" s="70"/>
      <x:c r="L385" s="70"/>
      <x:c r="M385" s="70"/>
      <x:c r="N385" s="70"/>
      <x:c r="O385" s="70"/>
    </x:row>
    <x:row r="386" ht="15" hidden="0" customHeight="1">
      <x:c r="A386" s="70"/>
      <x:c r="B386" s="70"/>
      <x:c r="C386" s="70"/>
      <x:c r="D386" s="70"/>
      <x:c r="E386" s="70"/>
      <x:c r="F386" s="70"/>
      <x:c r="G386" s="70"/>
      <x:c r="H386" s="70"/>
      <x:c r="I386" s="70"/>
      <x:c r="J386" s="70"/>
      <x:c r="K386" s="70"/>
      <x:c r="L386" s="70"/>
      <x:c r="M386" s="70"/>
      <x:c r="N386" s="70"/>
      <x:c r="O386" s="70"/>
    </x:row>
    <x:row r="387" ht="15" hidden="0" customHeight="1">
      <x:c r="A387" s="70"/>
      <x:c r="B387" s="70"/>
      <x:c r="C387" s="70"/>
      <x:c r="D387" s="70"/>
      <x:c r="E387" s="70"/>
      <x:c r="F387" s="70"/>
      <x:c r="G387" s="70"/>
      <x:c r="H387" s="70"/>
      <x:c r="I387" s="70"/>
      <x:c r="J387" s="70"/>
      <x:c r="K387" s="70"/>
      <x:c r="L387" s="70"/>
      <x:c r="M387" s="70"/>
      <x:c r="N387" s="70"/>
      <x:c r="O387" s="70"/>
    </x:row>
    <x:row r="388" ht="15" hidden="0" customHeight="1">
      <x:c r="A388" s="70"/>
      <x:c r="B388" s="70"/>
      <x:c r="C388" s="70"/>
      <x:c r="D388" s="70"/>
      <x:c r="E388" s="70"/>
      <x:c r="F388" s="70"/>
      <x:c r="G388" s="70"/>
      <x:c r="H388" s="70"/>
      <x:c r="I388" s="70"/>
      <x:c r="J388" s="70"/>
      <x:c r="K388" s="70"/>
      <x:c r="L388" s="70"/>
      <x:c r="M388" s="70"/>
      <x:c r="N388" s="70"/>
      <x:c r="O388" s="70"/>
    </x:row>
    <x:row r="389" ht="15" hidden="0" customHeight="1">
      <x:c r="A389" s="70"/>
      <x:c r="B389" s="70"/>
      <x:c r="C389" s="70"/>
      <x:c r="D389" s="70"/>
      <x:c r="E389" s="70"/>
      <x:c r="F389" s="70"/>
      <x:c r="G389" s="70"/>
      <x:c r="H389" s="70"/>
      <x:c r="I389" s="70"/>
      <x:c r="J389" s="70"/>
      <x:c r="K389" s="70"/>
      <x:c r="L389" s="70"/>
      <x:c r="M389" s="70"/>
      <x:c r="N389" s="70"/>
      <x:c r="O389" s="70"/>
    </x:row>
    <x:row r="390" ht="15" hidden="0" customHeight="1">
      <x:c r="A390" s="70"/>
      <x:c r="B390" s="70"/>
      <x:c r="C390" s="70"/>
      <x:c r="D390" s="70"/>
      <x:c r="E390" s="70"/>
      <x:c r="F390" s="70"/>
      <x:c r="G390" s="70"/>
      <x:c r="H390" s="70"/>
      <x:c r="I390" s="70"/>
      <x:c r="J390" s="70"/>
      <x:c r="K390" s="70"/>
      <x:c r="L390" s="70"/>
      <x:c r="M390" s="70"/>
      <x:c r="N390" s="70"/>
      <x:c r="O390" s="70"/>
    </x:row>
    <x:row r="391" ht="15" hidden="0" customHeight="1">
      <x:c r="A391" s="70"/>
      <x:c r="B391" s="70"/>
      <x:c r="C391" s="70"/>
      <x:c r="D391" s="70"/>
      <x:c r="E391" s="70"/>
      <x:c r="F391" s="70"/>
      <x:c r="G391" s="70"/>
      <x:c r="H391" s="70"/>
      <x:c r="I391" s="70"/>
      <x:c r="J391" s="70"/>
      <x:c r="K391" s="70"/>
      <x:c r="L391" s="70"/>
      <x:c r="M391" s="70"/>
      <x:c r="N391" s="70"/>
      <x:c r="O391" s="70"/>
    </x:row>
    <x:row r="392" ht="15" hidden="0" customHeight="1">
      <x:c r="A392" s="70"/>
      <x:c r="B392" s="70"/>
      <x:c r="C392" s="70"/>
      <x:c r="D392" s="70"/>
      <x:c r="E392" s="70"/>
      <x:c r="F392" s="70"/>
      <x:c r="G392" s="70"/>
      <x:c r="H392" s="70"/>
      <x:c r="I392" s="70"/>
      <x:c r="J392" s="70"/>
      <x:c r="K392" s="70"/>
      <x:c r="L392" s="70"/>
      <x:c r="M392" s="70"/>
      <x:c r="N392" s="70"/>
      <x:c r="O392" s="70"/>
    </x:row>
    <x:row r="393" ht="15" hidden="0" customHeight="1">
      <x:c r="A393" s="70"/>
      <x:c r="B393" s="70"/>
      <x:c r="C393" s="70"/>
      <x:c r="D393" s="70"/>
      <x:c r="E393" s="70"/>
      <x:c r="F393" s="70"/>
      <x:c r="G393" s="70"/>
      <x:c r="H393" s="70"/>
      <x:c r="I393" s="70"/>
      <x:c r="J393" s="70"/>
      <x:c r="K393" s="70"/>
      <x:c r="L393" s="70"/>
      <x:c r="M393" s="70"/>
      <x:c r="N393" s="70"/>
      <x:c r="O393" s="70"/>
    </x:row>
    <x:row r="394" ht="15" hidden="0" customHeight="1">
      <x:c r="A394" s="70"/>
      <x:c r="B394" s="70"/>
      <x:c r="C394" s="70"/>
      <x:c r="D394" s="70"/>
      <x:c r="E394" s="70"/>
      <x:c r="F394" s="70"/>
      <x:c r="G394" s="70"/>
      <x:c r="H394" s="70"/>
      <x:c r="I394" s="70"/>
      <x:c r="J394" s="70"/>
      <x:c r="K394" s="70"/>
      <x:c r="L394" s="70"/>
      <x:c r="M394" s="70"/>
      <x:c r="N394" s="70"/>
      <x:c r="O394" s="70"/>
    </x:row>
    <x:row r="395" ht="15" hidden="0" customHeight="1">
      <x:c r="A395" s="70"/>
      <x:c r="B395" s="70"/>
      <x:c r="C395" s="70"/>
      <x:c r="D395" s="70"/>
      <x:c r="E395" s="70"/>
      <x:c r="F395" s="70"/>
      <x:c r="G395" s="70"/>
      <x:c r="H395" s="70"/>
      <x:c r="I395" s="70"/>
      <x:c r="J395" s="70"/>
      <x:c r="K395" s="70"/>
      <x:c r="L395" s="70"/>
      <x:c r="M395" s="70"/>
      <x:c r="N395" s="70"/>
      <x:c r="O395" s="70"/>
    </x:row>
    <x:row r="396" ht="15" hidden="0" customHeight="1">
      <x:c r="A396" s="70"/>
      <x:c r="B396" s="70"/>
      <x:c r="C396" s="70"/>
      <x:c r="D396" s="70"/>
      <x:c r="E396" s="70"/>
      <x:c r="F396" s="70"/>
      <x:c r="G396" s="70"/>
      <x:c r="H396" s="70"/>
      <x:c r="I396" s="70"/>
      <x:c r="J396" s="70"/>
      <x:c r="K396" s="70"/>
      <x:c r="L396" s="70"/>
      <x:c r="M396" s="70"/>
      <x:c r="N396" s="70"/>
      <x:c r="O396" s="70"/>
    </x:row>
    <x:row r="397" ht="15" hidden="0" customHeight="1">
      <x:c r="A397" s="70"/>
      <x:c r="B397" s="70"/>
      <x:c r="C397" s="70"/>
      <x:c r="D397" s="70"/>
      <x:c r="E397" s="70"/>
      <x:c r="F397" s="70"/>
      <x:c r="G397" s="70"/>
      <x:c r="H397" s="70"/>
      <x:c r="I397" s="70"/>
      <x:c r="J397" s="70"/>
      <x:c r="K397" s="70"/>
      <x:c r="L397" s="70"/>
      <x:c r="M397" s="70"/>
      <x:c r="N397" s="70"/>
      <x:c r="O397" s="70"/>
    </x:row>
    <x:row r="398" ht="15" hidden="0" customHeight="1">
      <x:c r="A398" s="70"/>
      <x:c r="B398" s="70"/>
      <x:c r="C398" s="70"/>
      <x:c r="D398" s="70"/>
      <x:c r="E398" s="70"/>
      <x:c r="F398" s="70"/>
      <x:c r="G398" s="70"/>
      <x:c r="H398" s="70"/>
      <x:c r="I398" s="70"/>
      <x:c r="J398" s="70"/>
      <x:c r="K398" s="70"/>
      <x:c r="L398" s="70"/>
      <x:c r="M398" s="70"/>
      <x:c r="N398" s="70"/>
      <x:c r="O398" s="70"/>
    </x:row>
    <x:row r="399" ht="15" hidden="0" customHeight="1">
      <x:c r="A399" s="70"/>
      <x:c r="B399" s="70"/>
      <x:c r="C399" s="70"/>
      <x:c r="D399" s="70"/>
      <x:c r="E399" s="70"/>
      <x:c r="F399" s="70"/>
      <x:c r="G399" s="70"/>
      <x:c r="H399" s="70"/>
      <x:c r="I399" s="70"/>
      <x:c r="J399" s="70"/>
      <x:c r="K399" s="70"/>
      <x:c r="L399" s="70"/>
      <x:c r="M399" s="70"/>
      <x:c r="N399" s="70"/>
      <x:c r="O399" s="70"/>
    </x:row>
    <x:row r="400" ht="15" hidden="0" customHeight="1">
      <x:c r="A400" s="70"/>
      <x:c r="B400" s="70"/>
      <x:c r="C400" s="70"/>
      <x:c r="D400" s="70"/>
      <x:c r="E400" s="70"/>
      <x:c r="F400" s="70"/>
      <x:c r="G400" s="70"/>
      <x:c r="H400" s="70"/>
      <x:c r="I400" s="70"/>
      <x:c r="J400" s="70"/>
      <x:c r="K400" s="70"/>
      <x:c r="L400" s="70"/>
      <x:c r="M400" s="70"/>
      <x:c r="N400" s="70"/>
      <x:c r="O400" s="70"/>
    </x:row>
  </x:sheetData>
  <x:mergeCells>
    <x:mergeCell ref="A1:F1"/>
  </x:mergeCells>
  <x:pageMargins left="0.7" right="0.7" top="0.75" bottom="0.75" header="0.3" footer="0.3"/>
</x:worksheet>
</file>

<file path=xl/worksheets/sheet14.xml><?xml version="1.0" encoding="utf-8"?>
<x:worksheet xmlns:x="http://schemas.openxmlformats.org/spreadsheetml/2006/main">
  <x:sheetViews>
    <x:sheetView showGridLines="0" workbookViewId="0">
      <x:pane xSplit="1" ySplit="4" topLeftCell="B5" activePane="bottomRight" state="frozen"/>
    </x:sheetView>
  </x:sheetViews>
  <x:sheetFormatPr defaultRowHeight="15"/>
  <x:cols>
    <x:col min="1" max="1" width="80" hidden="0" customWidth="1"/>
    <x:col min="2" max="2" width="36" hidden="0" customWidth="1"/>
    <x:col min="3" max="3" width="26" hidden="0" customWidth="1"/>
    <x:col min="4" max="4" width="80" hidden="0" customWidth="1"/>
    <x:col min="5" max="5" width="70" hidden="0" customWidth="1"/>
    <x:col min="6" max="6" width="18" hidden="0" customWidth="1"/>
  </x:cols>
  <x:sheetData>
    <x:row r="1" ht="30" customHeight="1">
      <x:c r="A1" s="75" t="str">
        <x:v>Đối chiếu đọc nguồn</x:v>
      </x:c>
      <x:c r="B1" s="75"/>
      <x:c r="C1" s="75"/>
      <x:c r="D1" s="75"/>
      <x:c r="E1" s="75"/>
      <x:c r="F1" s="75"/>
    </x:row>
    <x:row r="4" ht="36" customHeight="1">
      <x:c r="A4" s="68" t="str">
        <x:v>path</x:v>
      </x:c>
      <x:c r="B4" s="68" t="str">
        <x:v>reader_lane</x:v>
      </x:c>
      <x:c r="C4" s="68" t="str">
        <x:v>read_status</x:v>
      </x:c>
      <x:c r="D4" s="68" t="str">
        <x:v>method</x:v>
      </x:c>
      <x:c r="E4" s="68" t="str">
        <x:v>source_sha256</x:v>
      </x:c>
      <x:c r="F4" s="68" t="str">
        <x:v>source_preserved</x:v>
      </x:c>
    </x:row>
    <x:row r="5" ht="15" hidden="0" customHeight="1">
      <x:c r="A5" s="56" t="str">
        <x:v>00_Doc_truoc/CHANGELOG.md</x:v>
      </x:c>
      <x:c r="B5" s="56" t="str">
        <x:v>root integration and governance</x:v>
      </x:c>
      <x:c r="C5" s="56" t="str">
        <x:v>READ_COMPLETE</x:v>
      </x:c>
      <x:c r="D5" s="56" t="str">
        <x:v>Full text and cross references</x:v>
      </x:c>
      <x:c r="E5" s="56" t="str">
        <x:v>1fc6e579bd73f23bb36a85e27921f0d1b304f50f348411eb7877f0c45e84617d</x:v>
      </x:c>
      <x:c r="F5" s="72" t="b">
        <x:v>1</x:v>
      </x:c>
    </x:row>
    <x:row r="6" ht="15" hidden="0" customHeight="1">
      <x:c r="A6" s="56" t="str">
        <x:v>00_Doc_truoc/DOCUMENT_INDEX.json</x:v>
      </x:c>
      <x:c r="B6" s="56" t="str">
        <x:v>root integration and governance</x:v>
      </x:c>
      <x:c r="C6" s="56" t="str">
        <x:v>READ_COMPLETE</x:v>
      </x:c>
      <x:c r="D6" s="56" t="str">
        <x:v>Complete structured/text parse with record/reference inspection</x:v>
      </x:c>
      <x:c r="E6" s="56" t="str">
        <x:v>25957f5d3a912f72e71ecea2d6861971cee141b71593dd3797470ea8072e8382</x:v>
      </x:c>
      <x:c r="F6" s="72" t="b">
        <x:v>1</x:v>
      </x:c>
    </x:row>
    <x:row r="7" ht="15" hidden="0" customHeight="1">
      <x:c r="A7" s="56" t="str">
        <x:v>00_Doc_truoc/EIGHT_BUNDLES_MAP.md</x:v>
      </x:c>
      <x:c r="B7" s="56" t="str">
        <x:v>root integration and governance</x:v>
      </x:c>
      <x:c r="C7" s="56" t="str">
        <x:v>READ_COMPLETE</x:v>
      </x:c>
      <x:c r="D7" s="56" t="str">
        <x:v>Full text and cross references</x:v>
      </x:c>
      <x:c r="E7" s="56" t="str">
        <x:v>3ceb7705d624865f629357b00851d5565df7794527bf0880fa541ede88229870</x:v>
      </x:c>
      <x:c r="F7" s="72" t="b">
        <x:v>1</x:v>
      </x:c>
    </x:row>
    <x:row r="8" ht="15" hidden="0" customHeight="1">
      <x:c r="A8" s="56" t="str">
        <x:v>00_Doc_truoc/EXPORT_QA.json</x:v>
      </x:c>
      <x:c r="B8" s="56" t="str">
        <x:v>root integration and governance</x:v>
      </x:c>
      <x:c r="C8" s="56" t="str">
        <x:v>READ_COMPLETE</x:v>
      </x:c>
      <x:c r="D8" s="56" t="str">
        <x:v>Complete structured/text parse with record/reference inspection</x:v>
      </x:c>
      <x:c r="E8" s="56" t="str">
        <x:v>a07f8ec80550c16fc22397dfb47394c5538934ce35b5cd547c46b65ea39f1501</x:v>
      </x:c>
      <x:c r="F8" s="72" t="b">
        <x:v>1</x:v>
      </x:c>
    </x:row>
    <x:row r="9" ht="15" hidden="0" customHeight="1">
      <x:c r="A9" s="56" t="str">
        <x:v>00_Doc_truoc/KNOWN_LIMITATIONS.md</x:v>
      </x:c>
      <x:c r="B9" s="56" t="str">
        <x:v>root integration and governance</x:v>
      </x:c>
      <x:c r="C9" s="56" t="str">
        <x:v>READ_COMPLETE</x:v>
      </x:c>
      <x:c r="D9" s="56" t="str">
        <x:v>Full text and cross references</x:v>
      </x:c>
      <x:c r="E9" s="56" t="str">
        <x:v>4891b8dab927163385800c2df2944a3169ce5c9e5a5b2fb0c78b30442afe8cec</x:v>
      </x:c>
      <x:c r="F9" s="72" t="b">
        <x:v>1</x:v>
      </x:c>
    </x:row>
    <x:row r="10" ht="15" hidden="0" customHeight="1">
      <x:c r="A10" s="56" t="str">
        <x:v>00_Doc_truoc/Life_Code_OS_Execution_Board.xlsx</x:v>
      </x:c>
      <x:c r="B10" s="56" t="str">
        <x:v>root integration and governance</x:v>
      </x:c>
      <x:c r="C10" s="56" t="str">
        <x:v>READ_COMPLETE</x:v>
      </x:c>
      <x:c r="D10" s="56" t="str">
        <x:v>All 11 sheets/cells and 46 formulas extracted; original workbook retained</x:v>
      </x:c>
      <x:c r="E10" s="56" t="str">
        <x:v>49a9a1a0ab18101c472d0a016c8b3906978f4b6e9c0109ac11516ca3f45f47a0</x:v>
      </x:c>
      <x:c r="F10" s="72" t="b">
        <x:v>1</x:v>
      </x:c>
    </x:row>
    <x:row r="11" ht="15" hidden="0" customHeight="1">
      <x:c r="A11" s="56" t="str">
        <x:v>00_Doc_truoc/Life_Code_OS_Master_Upgrade_Plan.docx</x:v>
      </x:c>
      <x:c r="B11" s="56" t="str">
        <x:v>root integration and governance</x:v>
      </x:c>
      <x:c r="C11" s="56" t="str">
        <x:v>READ_COMPLETE</x:v>
      </x:c>
      <x:c r="D11" s="56" t="str">
        <x:v>All 846 paragraphs and 2 tables extracted; original OOXML retained</x:v>
      </x:c>
      <x:c r="E11" s="56" t="str">
        <x:v>28c51030e3df873e95d6188efa4cf82d06fee3ad8bbe27be006b0088e9a571a1</x:v>
      </x:c>
      <x:c r="F11" s="72" t="b">
        <x:v>1</x:v>
      </x:c>
    </x:row>
    <x:row r="12" ht="15" hidden="0" customHeight="1">
      <x:c r="A12" s="56" t="str">
        <x:v>00_Doc_truoc/Life_Code_OS_Master_Upgrade_Plan.md</x:v>
      </x:c>
      <x:c r="B12" s="56" t="str">
        <x:v>root integration and governance</x:v>
      </x:c>
      <x:c r="C12" s="56" t="str">
        <x:v>READ_COMPLETE</x:v>
      </x:c>
      <x:c r="D12" s="56" t="str">
        <x:v>Full text and cross references</x:v>
      </x:c>
      <x:c r="E12" s="56" t="str">
        <x:v>13da5e73434718b6c69e914ef7e386e3b5d971027753706acdc4e5eddb13ab18</x:v>
      </x:c>
      <x:c r="F12" s="72" t="b">
        <x:v>1</x:v>
      </x:c>
    </x:row>
    <x:row r="13" ht="15" hidden="0" customHeight="1">
      <x:c r="A13" s="56" t="str">
        <x:v>00_Doc_truoc/Life_Code_OS_Master_Upgrade_Plan.pdf</x:v>
      </x:c>
      <x:c r="B13" s="56" t="str">
        <x:v>root integration and governance</x:v>
      </x:c>
      <x:c r="C13" s="56" t="str">
        <x:v>READ_COMPLETE</x:v>
      </x:c>
      <x:c r="D13" s="56" t="str">
        <x:v>All 47 pages text extracted; original export retained</x:v>
      </x:c>
      <x:c r="E13" s="56" t="str">
        <x:v>7d56e8a897eabdd90decf893a9a21738750381385794cccfb2a4b095fd2963bd</x:v>
      </x:c>
      <x:c r="F13" s="72" t="b">
        <x:v>1</x:v>
      </x:c>
    </x:row>
    <x:row r="14" ht="15" hidden="0" customHeight="1">
      <x:c r="A14" s="56" t="str">
        <x:v>00_Doc_truoc/PACKAGE_QA.json</x:v>
      </x:c>
      <x:c r="B14" s="56" t="str">
        <x:v>root integration and governance</x:v>
      </x:c>
      <x:c r="C14" s="56" t="str">
        <x:v>READ_COMPLETE</x:v>
      </x:c>
      <x:c r="D14" s="56" t="str">
        <x:v>Complete structured/text parse with record/reference inspection</x:v>
      </x:c>
      <x:c r="E14" s="56" t="str">
        <x:v>f571484a236e5fc505a3375f07c2d0b88664d02e36be833637f83c8036ebafd5</x:v>
      </x:c>
      <x:c r="F14" s="72" t="b">
        <x:v>1</x:v>
      </x:c>
    </x:row>
    <x:row r="15" ht="15" hidden="0" customHeight="1">
      <x:c r="A15" s="56" t="str">
        <x:v>00_Doc_truoc/WORKBOOK_QA.json</x:v>
      </x:c>
      <x:c r="B15" s="56" t="str">
        <x:v>root integration and governance</x:v>
      </x:c>
      <x:c r="C15" s="56" t="str">
        <x:v>READ_COMPLETE</x:v>
      </x:c>
      <x:c r="D15" s="56" t="str">
        <x:v>Complete structured/text parse with record/reference inspection</x:v>
      </x:c>
      <x:c r="E15" s="56" t="str">
        <x:v>4776275c57cf72154b441fb2b2cf8ed30e3504766572548baf33856790688ac3</x:v>
      </x:c>
      <x:c r="F15" s="72" t="b">
        <x:v>1</x:v>
      </x:c>
    </x:row>
    <x:row r="16" ht="15" hidden="0" customHeight="1">
      <x:c r="A16" s="56" t="str">
        <x:v>01_Chien_luoc_San_pham/01_MASTER_VISION.md</x:v>
      </x:c>
      <x:c r="B16" s="56" t="str">
        <x:v>product_frontend_ai_business</x:v>
      </x:c>
      <x:c r="C16" s="56" t="str">
        <x:v>READ_COMPLETE</x:v>
      </x:c>
      <x:c r="D16" s="56" t="str">
        <x:v>Full text and cross references</x:v>
      </x:c>
      <x:c r="E16" s="56" t="str">
        <x:v>02902402814b77bd73d018d4c628093b59710ec434cbb074c5cabe197412d98a</x:v>
      </x:c>
      <x:c r="F16" s="72" t="b">
        <x:v>1</x:v>
      </x:c>
    </x:row>
    <x:row r="17" ht="15" hidden="0" customHeight="1">
      <x:c r="A17" s="56" t="str">
        <x:v>01_Chien_luoc_San_pham/02_FREE_TO_ENTERPRISE.md</x:v>
      </x:c>
      <x:c r="B17" s="56" t="str">
        <x:v>product_frontend_ai_business</x:v>
      </x:c>
      <x:c r="C17" s="56" t="str">
        <x:v>READ_COMPLETE</x:v>
      </x:c>
      <x:c r="D17" s="56" t="str">
        <x:v>Full text and cross references</x:v>
      </x:c>
      <x:c r="E17" s="56" t="str">
        <x:v>fd6851112a120def9f9211f1ef10a6a0ac864a06f0d6cd866461328a39d64a4c</x:v>
      </x:c>
      <x:c r="F17" s="72" t="b">
        <x:v>1</x:v>
      </x:c>
    </x:row>
    <x:row r="18" ht="15" hidden="0" customHeight="1">
      <x:c r="A18" s="56" t="str">
        <x:v>01_Chien_luoc_San_pham/03_NINE_LEVEL_CONTRACT.md</x:v>
      </x:c>
      <x:c r="B18" s="56" t="str">
        <x:v>product_frontend_ai_business</x:v>
      </x:c>
      <x:c r="C18" s="56" t="str">
        <x:v>READ_COMPLETE</x:v>
      </x:c>
      <x:c r="D18" s="56" t="str">
        <x:v>Full text and cross references</x:v>
      </x:c>
      <x:c r="E18" s="56" t="str">
        <x:v>e9ebf0828397c15816b15012de820dcf6b34b4b741c74f9dbaaf3056f52a753a</x:v>
      </x:c>
      <x:c r="F18" s="72" t="b">
        <x:v>1</x:v>
      </x:c>
    </x:row>
    <x:row r="19" ht="15" hidden="0" customHeight="1">
      <x:c r="A19" s="56" t="str">
        <x:v>01_Chien_luoc_San_pham/04_USER_JOURNEYS.md</x:v>
      </x:c>
      <x:c r="B19" s="56" t="str">
        <x:v>product_frontend_ai_business</x:v>
      </x:c>
      <x:c r="C19" s="56" t="str">
        <x:v>READ_COMPLETE</x:v>
      </x:c>
      <x:c r="D19" s="56" t="str">
        <x:v>Full text and cross references</x:v>
      </x:c>
      <x:c r="E19" s="56" t="str">
        <x:v>9ddf5b2581300f8bdec1a7d96c4b07aad231ece8883dc26b1dd4aa8bf2b7c0a5</x:v>
      </x:c>
      <x:c r="F19" s="72" t="b">
        <x:v>1</x:v>
      </x:c>
    </x:row>
    <x:row r="20" ht="15" hidden="0" customHeight="1">
      <x:c r="A20" s="56" t="str">
        <x:v>01_Chien_luoc_San_pham/05_ACADEMY_AND_PRACTITIONERS.md</x:v>
      </x:c>
      <x:c r="B20" s="56" t="str">
        <x:v>product_frontend_ai_business</x:v>
      </x:c>
      <x:c r="C20" s="56" t="str">
        <x:v>READ_COMPLETE</x:v>
      </x:c>
      <x:c r="D20" s="56" t="str">
        <x:v>Full text and cross references</x:v>
      </x:c>
      <x:c r="E20" s="56" t="str">
        <x:v>d8e38e8b44a18af948d37aa3e95ab8d53b72c19d2fafcad87caf3fae1cbbf2a1</x:v>
      </x:c>
      <x:c r="F20" s="72" t="b">
        <x:v>1</x:v>
      </x:c>
    </x:row>
    <x:row r="21" ht="15" hidden="0" customHeight="1">
      <x:c r="A21" s="56" t="str">
        <x:v>01_Chien_luoc_San_pham/06_ORGANIZATION_AND_FAMILY.md</x:v>
      </x:c>
      <x:c r="B21" s="56" t="str">
        <x:v>product_frontend_ai_business</x:v>
      </x:c>
      <x:c r="C21" s="56" t="str">
        <x:v>READ_COMPLETE</x:v>
      </x:c>
      <x:c r="D21" s="56" t="str">
        <x:v>Full text and cross references</x:v>
      </x:c>
      <x:c r="E21" s="56" t="str">
        <x:v>3e90762e266ed0d82202fd80b6a6625fda6ae288718d50b8afea580d755c26a3</x:v>
      </x:c>
      <x:c r="F21" s="72" t="b">
        <x:v>1</x:v>
      </x:c>
    </x:row>
    <x:row r="22" ht="15" hidden="0" customHeight="1">
      <x:c r="A22" s="56" t="str">
        <x:v>01_Chien_luoc_San_pham/NINE_LEVELS.json</x:v>
      </x:c>
      <x:c r="B22" s="56" t="str">
        <x:v>product_frontend_ai_business</x:v>
      </x:c>
      <x:c r="C22" s="56" t="str">
        <x:v>READ_COMPLETE</x:v>
      </x:c>
      <x:c r="D22" s="56" t="str">
        <x:v>Complete structured/text parse with record/reference inspection</x:v>
      </x:c>
      <x:c r="E22" s="56" t="str">
        <x:v>6854b7b9ee26c7531f8420607d0997862ddbd9f46cc199f6f27435a25a84bb6d</x:v>
      </x:c>
      <x:c r="F22" s="72" t="b">
        <x:v>1</x:v>
      </x:c>
    </x:row>
    <x:row r="23" ht="15" hidden="0" customHeight="1">
      <x:c r="A23" s="56" t="str">
        <x:v>01_Chien_luoc_San_pham/PRODUCT_CATALOG.csv</x:v>
      </x:c>
      <x:c r="B23" s="56" t="str">
        <x:v>product_frontend_ai_business</x:v>
      </x:c>
      <x:c r="C23" s="56" t="str">
        <x:v>READ_COMPLETE</x:v>
      </x:c>
      <x:c r="D23" s="56" t="str">
        <x:v>Complete structured/text parse with record/reference inspection</x:v>
      </x:c>
      <x:c r="E23" s="56" t="str">
        <x:v>c72f2799c33afa490796278e0dc9b8a241e0c08d6eb23a58118e2849aea55f20</x:v>
      </x:c>
      <x:c r="F23" s="72" t="b">
        <x:v>1</x:v>
      </x:c>
    </x:row>
    <x:row r="24" ht="15" hidden="0" customHeight="1">
      <x:c r="A24" s="56" t="str">
        <x:v>01_Chien_luoc_San_pham/PRODUCT_CATALOG.json</x:v>
      </x:c>
      <x:c r="B24" s="56" t="str">
        <x:v>product_frontend_ai_business</x:v>
      </x:c>
      <x:c r="C24" s="56" t="str">
        <x:v>READ_COMPLETE</x:v>
      </x:c>
      <x:c r="D24" s="56" t="str">
        <x:v>Complete structured/text parse with record/reference inspection</x:v>
      </x:c>
      <x:c r="E24" s="56" t="str">
        <x:v>07f231482f840e205047f33ffc91197ba0eb4dcf218f12beb375dd5aeff9d475</x:v>
      </x:c>
      <x:c r="F24" s="72" t="b">
        <x:v>1</x:v>
      </x:c>
    </x:row>
    <x:row r="25" ht="15" hidden="0" customHeight="1">
      <x:c r="A25" s="56" t="str">
        <x:v>01_Chien_luoc_San_pham/QUOTA_POLICY_PROPOSED.json</x:v>
      </x:c>
      <x:c r="B25" s="56" t="str">
        <x:v>product_frontend_ai_business</x:v>
      </x:c>
      <x:c r="C25" s="56" t="str">
        <x:v>READ_COMPLETE</x:v>
      </x:c>
      <x:c r="D25" s="56" t="str">
        <x:v>Complete structured/text parse with record/reference inspection</x:v>
      </x:c>
      <x:c r="E25" s="56" t="str">
        <x:v>cdced6403e55ad312c59e45cb60b91564d298e0847454d4203ce67f619d4df34</x:v>
      </x:c>
      <x:c r="F25" s="72" t="b">
        <x:v>1</x:v>
      </x:c>
    </x:row>
    <x:row r="26" ht="15" hidden="0" customHeight="1">
      <x:c r="A26" s="56" t="str">
        <x:v>02_Tri_thuc_HNH/01_HNH_DOCTRINE.md</x:v>
      </x:c>
      <x:c r="B26" s="56" t="str">
        <x:v>/root/code_claims/hnh_data_audit</x:v>
      </x:c>
      <x:c r="C26" s="56" t="str">
        <x:v>READ_COMPLETE</x:v>
      </x:c>
      <x:c r="D26" s="56" t="str">
        <x:v>Full text and cross references</x:v>
      </x:c>
      <x:c r="E26" s="56" t="str">
        <x:v>05a7aca604191fa932a15f813ff2d0d76f312afe47198a10082fce7bb65d53fc</x:v>
      </x:c>
      <x:c r="F26" s="72" t="b">
        <x:v>1</x:v>
      </x:c>
    </x:row>
    <x:row r="27" ht="15" hidden="0" customHeight="1">
      <x:c r="A27" s="56" t="str">
        <x:v>02_Tri_thuc_HNH/02_METHOD_RESEARCH_PROTOCOL.md</x:v>
      </x:c>
      <x:c r="B27" s="56" t="str">
        <x:v>/root/code_claims/hnh_data_audit</x:v>
      </x:c>
      <x:c r="C27" s="56" t="str">
        <x:v>READ_COMPLETE</x:v>
      </x:c>
      <x:c r="D27" s="56" t="str">
        <x:v>Full text and cross references</x:v>
      </x:c>
      <x:c r="E27" s="56" t="str">
        <x:v>9004ecb60c97c2429da1af12e0e104d5b88ffa8b8d27cbd13b9b8d5ebf47259a</x:v>
      </x:c>
      <x:c r="F27" s="72" t="b">
        <x:v>1</x:v>
      </x:c>
    </x:row>
    <x:row r="28" ht="15" hidden="0" customHeight="1">
      <x:c r="A28" s="56" t="str">
        <x:v>02_Tri_thuc_HNH/03_RESONANCE_AND_LIFE_DESIGN.md</x:v>
      </x:c>
      <x:c r="B28" s="56" t="str">
        <x:v>/root/code_claims/hnh_data_audit</x:v>
      </x:c>
      <x:c r="C28" s="56" t="str">
        <x:v>READ_COMPLETE</x:v>
      </x:c>
      <x:c r="D28" s="56" t="str">
        <x:v>Full text and cross references</x:v>
      </x:c>
      <x:c r="E28" s="56" t="str">
        <x:v>cb5010be794223e6799388388e385dbd5b76c29f56df946772ef203d37b00cb8</x:v>
      </x:c>
      <x:c r="F28" s="72" t="b">
        <x:v>1</x:v>
      </x:c>
    </x:row>
    <x:row r="29" ht="15" hidden="0" customHeight="1">
      <x:c r="A29" s="56" t="str">
        <x:v>02_Tri_thuc_HNH/04_DEEP_RESEARCH_SYLLABUS.md</x:v>
      </x:c>
      <x:c r="B29" s="56" t="str">
        <x:v>/root/code_claims/hnh_data_audit</x:v>
      </x:c>
      <x:c r="C29" s="56" t="str">
        <x:v>READ_COMPLETE</x:v>
      </x:c>
      <x:c r="D29" s="56" t="str">
        <x:v>Full text and cross references</x:v>
      </x:c>
      <x:c r="E29" s="56" t="str">
        <x:v>e81a76c3522bf93599ecc49d451543eafe5dccb7a232c7ea771d2a5602f2a462</x:v>
      </x:c>
      <x:c r="F29" s="72" t="b">
        <x:v>1</x:v>
      </x:c>
    </x:row>
    <x:row r="30" ht="15" hidden="0" customHeight="1">
      <x:c r="A30" s="56" t="str">
        <x:v>02_Tri_thuc_HNH/GLOSSARY_VI_EN.json</x:v>
      </x:c>
      <x:c r="B30" s="56" t="str">
        <x:v>/root/code_claims/hnh_data_audit</x:v>
      </x:c>
      <x:c r="C30" s="56" t="str">
        <x:v>READ_COMPLETE</x:v>
      </x:c>
      <x:c r="D30" s="56" t="str">
        <x:v>Complete structured/text parse with record/reference inspection</x:v>
      </x:c>
      <x:c r="E30" s="56" t="str">
        <x:v>772619f2492d76811118fe2eddaa785c2a1936b813649a8895cd5fbf4e70065b</x:v>
      </x:c>
      <x:c r="F30" s="72" t="b">
        <x:v>1</x:v>
      </x:c>
    </x:row>
    <x:row r="31" ht="15" hidden="0" customHeight="1">
      <x:c r="A31" s="56" t="str">
        <x:v>02_Tri_thuc_HNH/GLOSSARY_VI_EN.md</x:v>
      </x:c>
      <x:c r="B31" s="56" t="str">
        <x:v>/root/code_claims/hnh_data_audit</x:v>
      </x:c>
      <x:c r="C31" s="56" t="str">
        <x:v>READ_COMPLETE</x:v>
      </x:c>
      <x:c r="D31" s="56" t="str">
        <x:v>Full text and cross references</x:v>
      </x:c>
      <x:c r="E31" s="56" t="str">
        <x:v>5cb8832aa506438c17ab134143aa9a85d8ba8d70aa5c465f7e392dca1179faf6</x:v>
      </x:c>
      <x:c r="F31" s="72" t="b">
        <x:v>1</x:v>
      </x:c>
    </x:row>
    <x:row r="32" ht="15" hidden="0" customHeight="1">
      <x:c r="A32" s="56" t="str">
        <x:v>02_Tri_thuc_HNH/LAYERS_AND_FIELDS.json</x:v>
      </x:c>
      <x:c r="B32" s="56" t="str">
        <x:v>/root/code_claims/hnh_data_audit</x:v>
      </x:c>
      <x:c r="C32" s="56" t="str">
        <x:v>READ_COMPLETE</x:v>
      </x:c>
      <x:c r="D32" s="56" t="str">
        <x:v>Complete structured/text parse with record/reference inspection</x:v>
      </x:c>
      <x:c r="E32" s="56" t="str">
        <x:v>0b95e26a6f50d7fa325e2d190f47ca3cfce138c5afee7aa1af7133186d1b2f63</x:v>
      </x:c>
      <x:c r="F32" s="72" t="b">
        <x:v>1</x:v>
      </x:c>
    </x:row>
    <x:row r="33" ht="15" hidden="0" customHeight="1">
      <x:c r="A33" s="56" t="str">
        <x:v>02_Tri_thuc_HNH/METHOD_FAMILIES.csv</x:v>
      </x:c>
      <x:c r="B33" s="56" t="str">
        <x:v>/root/code_claims/hnh_data_audit</x:v>
      </x:c>
      <x:c r="C33" s="56" t="str">
        <x:v>READ_COMPLETE</x:v>
      </x:c>
      <x:c r="D33" s="56" t="str">
        <x:v>Complete structured/text parse with record/reference inspection</x:v>
      </x:c>
      <x:c r="E33" s="56" t="str">
        <x:v>370aa37d517d44cc4e4e9008c5a60d32e60d73ac2b316acd58ab207e8ca0784a</x:v>
      </x:c>
      <x:c r="F33" s="72" t="b">
        <x:v>1</x:v>
      </x:c>
    </x:row>
    <x:row r="34" ht="15" hidden="0" customHeight="1">
      <x:c r="A34" s="56" t="str">
        <x:v>02_Tri_thuc_HNH/METHOD_FAMILIES.json</x:v>
      </x:c>
      <x:c r="B34" s="56" t="str">
        <x:v>/root/code_claims/hnh_data_audit</x:v>
      </x:c>
      <x:c r="C34" s="56" t="str">
        <x:v>READ_COMPLETE</x:v>
      </x:c>
      <x:c r="D34" s="56" t="str">
        <x:v>Complete structured/text parse with record/reference inspection</x:v>
      </x:c>
      <x:c r="E34" s="56" t="str">
        <x:v>b76688b91ab543c4382cc32fa3336fe281cb89c12b8cfb22d353d6253a8fcb54</x:v>
      </x:c>
      <x:c r="F34" s="72" t="b">
        <x:v>1</x:v>
      </x:c>
    </x:row>
    <x:row r="35" ht="15" hidden="0" customHeight="1">
      <x:c r="A35" s="56" t="str">
        <x:v>02_Tri_thuc_HNH/METHOD_PASSPORTS.json</x:v>
      </x:c>
      <x:c r="B35" s="56" t="str">
        <x:v>/root/code_claims/hnh_data_audit</x:v>
      </x:c>
      <x:c r="C35" s="56" t="str">
        <x:v>READ_COMPLETE</x:v>
      </x:c>
      <x:c r="D35" s="56" t="str">
        <x:v>Complete structured/text parse with record/reference inspection</x:v>
      </x:c>
      <x:c r="E35" s="56" t="str">
        <x:v>7a286db190565398bb03e7d42a8d598e74523d594ca75fa646c7832a0c30bbe6</x:v>
      </x:c>
      <x:c r="F35" s="72" t="b">
        <x:v>1</x:v>
      </x:c>
    </x:row>
    <x:row r="36" ht="15" hidden="0" customHeight="1">
      <x:c r="A36" s="56" t="str">
        <x:v>03_Du_lieu_Phep_tinh/01_DOMAIN_MODEL.md</x:v>
      </x:c>
      <x:c r="B36" s="56" t="str">
        <x:v>/root/code_claims/hnh_data_audit</x:v>
      </x:c>
      <x:c r="C36" s="56" t="str">
        <x:v>READ_COMPLETE</x:v>
      </x:c>
      <x:c r="D36" s="56" t="str">
        <x:v>Full text and cross references</x:v>
      </x:c>
      <x:c r="E36" s="56" t="str">
        <x:v>6c204b3f5be2d6e6079f166fcd13113af736b3d1d27f0c0f81ca9716e89b2c30</x:v>
      </x:c>
      <x:c r="F36" s="72" t="b">
        <x:v>1</x:v>
      </x:c>
    </x:row>
    <x:row r="37" ht="15" hidden="0" customHeight="1">
      <x:c r="A37" s="56" t="str">
        <x:v>03_Du_lieu_Phep_tinh/02_METHOD_CONTRACT_AND_METRICS.md</x:v>
      </x:c>
      <x:c r="B37" s="56" t="str">
        <x:v>/root/code_claims/hnh_data_audit</x:v>
      </x:c>
      <x:c r="C37" s="56" t="str">
        <x:v>READ_COMPLETE</x:v>
      </x:c>
      <x:c r="D37" s="56" t="str">
        <x:v>Full text and cross references</x:v>
      </x:c>
      <x:c r="E37" s="56" t="str">
        <x:v>fa394fd8e4295167e53d0653fdc15b37feab1c565fd15b5cf80520af7a5d9bee</x:v>
      </x:c>
      <x:c r="F37" s="72" t="b">
        <x:v>1</x:v>
      </x:c>
    </x:row>
    <x:row r="38" ht="15" hidden="0" customHeight="1">
      <x:c r="A38" s="56" t="str">
        <x:v>03_Du_lieu_Phep_tinh/03_NUMBERS_AND_TAIL80.md</x:v>
      </x:c>
      <x:c r="B38" s="56" t="str">
        <x:v>/root/code_claims/hnh_data_audit</x:v>
      </x:c>
      <x:c r="C38" s="56" t="str">
        <x:v>READ_COMPLETE</x:v>
      </x:c>
      <x:c r="D38" s="56" t="str">
        <x:v>Full text and cross references</x:v>
      </x:c>
      <x:c r="E38" s="56" t="str">
        <x:v>685724029478fe6225234bd5b0b89b9d5548487ebc8ff32712e0a0b91768e8c6</x:v>
      </x:c>
      <x:c r="F38" s="72" t="b">
        <x:v>1</x:v>
      </x:c>
    </x:row>
    <x:row r="39" ht="15" hidden="0" customHeight="1">
      <x:c r="A39" s="56" t="str">
        <x:v>03_Du_lieu_Phep_tinh/04_TIMELINE_AND_SCENARIOS.md</x:v>
      </x:c>
      <x:c r="B39" s="56" t="str">
        <x:v>/root/code_claims/hnh_data_audit</x:v>
      </x:c>
      <x:c r="C39" s="56" t="str">
        <x:v>READ_COMPLETE</x:v>
      </x:c>
      <x:c r="D39" s="56" t="str">
        <x:v>Full text and cross references</x:v>
      </x:c>
      <x:c r="E39" s="56" t="str">
        <x:v>ce204fa6cf1cc38813124384bc2f95774e046d8d3786720dbf9c850147225175</x:v>
      </x:c>
      <x:c r="F39" s="72" t="b">
        <x:v>1</x:v>
      </x:c>
    </x:row>
    <x:row r="40" ht="15" hidden="0" customHeight="1">
      <x:c r="A40" s="56" t="str">
        <x:v>03_Du_lieu_Phep_tinh/DATA_FIELD_REGISTRY_120.csv</x:v>
      </x:c>
      <x:c r="B40" s="56" t="str">
        <x:v>/root/code_claims/hnh_data_audit</x:v>
      </x:c>
      <x:c r="C40" s="56" t="str">
        <x:v>READ_COMPLETE</x:v>
      </x:c>
      <x:c r="D40" s="56" t="str">
        <x:v>Complete structured/text parse with record/reference inspection</x:v>
      </x:c>
      <x:c r="E40" s="56" t="str">
        <x:v>7a984704e6f410c17a32f885b73e87773ed1518a63c80d1c32b6e22d20d077a2</x:v>
      </x:c>
      <x:c r="F40" s="72" t="b">
        <x:v>1</x:v>
      </x:c>
    </x:row>
    <x:row r="41" ht="15" hidden="0" customHeight="1">
      <x:c r="A41" s="56" t="str">
        <x:v>03_Du_lieu_Phep_tinh/DATA_FIELD_REGISTRY_120.json</x:v>
      </x:c>
      <x:c r="B41" s="56" t="str">
        <x:v>/root/code_claims/hnh_data_audit</x:v>
      </x:c>
      <x:c r="C41" s="56" t="str">
        <x:v>READ_COMPLETE</x:v>
      </x:c>
      <x:c r="D41" s="56" t="str">
        <x:v>Complete structured/text parse with record/reference inspection</x:v>
      </x:c>
      <x:c r="E41" s="56" t="str">
        <x:v>12036706a99364009c176d6470dd57c1aaebe85f17b8ded36b1f13e194dbffad</x:v>
      </x:c>
      <x:c r="F41" s="72" t="b">
        <x:v>1</x:v>
      </x:c>
    </x:row>
    <x:row r="42" ht="15" hidden="0" customHeight="1">
      <x:c r="A42" s="56" t="str">
        <x:v>03_Du_lieu_Phep_tinh/examples/Claim.example.json</x:v>
      </x:c>
      <x:c r="B42" s="56" t="str">
        <x:v>/root/code_claims/hnh_data_audit</x:v>
      </x:c>
      <x:c r="C42" s="56" t="str">
        <x:v>READ_COMPLETE</x:v>
      </x:c>
      <x:c r="D42" s="56" t="str">
        <x:v>Complete structured/text parse with record/reference inspection</x:v>
      </x:c>
      <x:c r="E42" s="56" t="str">
        <x:v>b8c005e229b4e7aada74c64d2b9f86b0059461f0399a04ee0085f8fe24f54ceb</x:v>
      </x:c>
      <x:c r="F42" s="72" t="b">
        <x:v>1</x:v>
      </x:c>
    </x:row>
    <x:row r="43" ht="15" hidden="0" customHeight="1">
      <x:c r="A43" s="56" t="str">
        <x:v>03_Du_lieu_Phep_tinh/examples/JobEnvelope.example.json</x:v>
      </x:c>
      <x:c r="B43" s="56" t="str">
        <x:v>/root/code_claims/hnh_data_audit</x:v>
      </x:c>
      <x:c r="C43" s="56" t="str">
        <x:v>READ_COMPLETE</x:v>
      </x:c>
      <x:c r="D43" s="56" t="str">
        <x:v>Complete structured/text parse with record/reference inspection</x:v>
      </x:c>
      <x:c r="E43" s="56" t="str">
        <x:v>3a9a69bcc8914a8db532adf9122fca041a11bed4b50b2f9d2f3a26c49521f040</x:v>
      </x:c>
      <x:c r="F43" s="72" t="b">
        <x:v>1</x:v>
      </x:c>
    </x:row>
    <x:row r="44" ht="15" hidden="0" customHeight="1">
      <x:c r="A44" s="56" t="str">
        <x:v>03_Du_lieu_Phep_tinh/examples/MethodRelease.example.json</x:v>
      </x:c>
      <x:c r="B44" s="56" t="str">
        <x:v>/root/code_claims/hnh_data_audit</x:v>
      </x:c>
      <x:c r="C44" s="56" t="str">
        <x:v>READ_COMPLETE</x:v>
      </x:c>
      <x:c r="D44" s="56" t="str">
        <x:v>Complete structured/text parse with record/reference inspection</x:v>
      </x:c>
      <x:c r="E44" s="56" t="str">
        <x:v>8a7a044c24183b23f84cb25a7e35c7042d4b07e961c353effe90403c6d886eac</x:v>
      </x:c>
      <x:c r="F44" s="72" t="b">
        <x:v>1</x:v>
      </x:c>
    </x:row>
    <x:row r="45" ht="15" hidden="0" customHeight="1">
      <x:c r="A45" s="56" t="str">
        <x:v>03_Du_lieu_Phep_tinh/examples/MethodResult.example.json</x:v>
      </x:c>
      <x:c r="B45" s="56" t="str">
        <x:v>/root/code_claims/hnh_data_audit</x:v>
      </x:c>
      <x:c r="C45" s="56" t="str">
        <x:v>READ_COMPLETE</x:v>
      </x:c>
      <x:c r="D45" s="56" t="str">
        <x:v>Complete structured/text parse with record/reference inspection</x:v>
      </x:c>
      <x:c r="E45" s="56" t="str">
        <x:v>0031c755fd9333b6ffb1dc2fc1ae9baca6ccb2f1abe496826c344aceaf687cee</x:v>
      </x:c>
      <x:c r="F45" s="72" t="b">
        <x:v>1</x:v>
      </x:c>
    </x:row>
    <x:row r="46" ht="15" hidden="0" customHeight="1">
      <x:c r="A46" s="56" t="str">
        <x:v>03_Du_lieu_Phep_tinh/examples/Metric.example.json</x:v>
      </x:c>
      <x:c r="B46" s="56" t="str">
        <x:v>/root/code_claims/hnh_data_audit</x:v>
      </x:c>
      <x:c r="C46" s="56" t="str">
        <x:v>READ_COMPLETE</x:v>
      </x:c>
      <x:c r="D46" s="56" t="str">
        <x:v>Complete structured/text parse with record/reference inspection</x:v>
      </x:c>
      <x:c r="E46" s="56" t="str">
        <x:v>77024b90db82edf1ab0914b99d63c950c5a7bd04497d1672238468ff3ddde4a4</x:v>
      </x:c>
      <x:c r="F46" s="72" t="b">
        <x:v>1</x:v>
      </x:c>
    </x:row>
    <x:row r="47" ht="15" hidden="0" customHeight="1">
      <x:c r="A47" s="56" t="str">
        <x:v>03_Du_lieu_Phep_tinh/examples/ProfileVersion.example.json</x:v>
      </x:c>
      <x:c r="B47" s="56" t="str">
        <x:v>/root/code_claims/hnh_data_audit</x:v>
      </x:c>
      <x:c r="C47" s="56" t="str">
        <x:v>READ_COMPLETE</x:v>
      </x:c>
      <x:c r="D47" s="56" t="str">
        <x:v>Complete structured/text parse with record/reference inspection</x:v>
      </x:c>
      <x:c r="E47" s="56" t="str">
        <x:v>e6ea345f0b60c66739400766c7e4168c07df2301cc9fb4765d1d9910d0ba0077</x:v>
      </x:c>
      <x:c r="F47" s="72" t="b">
        <x:v>1</x:v>
      </x:c>
    </x:row>
    <x:row r="48" ht="15" hidden="0" customHeight="1">
      <x:c r="A48" s="56" t="str">
        <x:v>03_Du_lieu_Phep_tinh/examples/ReleaseReceipt.example.json</x:v>
      </x:c>
      <x:c r="B48" s="56" t="str">
        <x:v>/root/code_claims/hnh_data_audit</x:v>
      </x:c>
      <x:c r="C48" s="56" t="str">
        <x:v>READ_COMPLETE</x:v>
      </x:c>
      <x:c r="D48" s="56" t="str">
        <x:v>Complete structured/text parse with record/reference inspection</x:v>
      </x:c>
      <x:c r="E48" s="56" t="str">
        <x:v>46fc34bdcc5458b2049d795b088c251218cf477381217226b63c90d229d73845</x:v>
      </x:c>
      <x:c r="F48" s="72" t="b">
        <x:v>1</x:v>
      </x:c>
    </x:row>
    <x:row r="49" ht="15" hidden="0" customHeight="1">
      <x:c r="A49" s="56" t="str">
        <x:v>03_Du_lieu_Phep_tinh/examples/ReportSnapshot.example.json</x:v>
      </x:c>
      <x:c r="B49" s="56" t="str">
        <x:v>/root/code_claims/hnh_data_audit</x:v>
      </x:c>
      <x:c r="C49" s="56" t="str">
        <x:v>READ_COMPLETE</x:v>
      </x:c>
      <x:c r="D49" s="56" t="str">
        <x:v>Complete structured/text parse with record/reference inspection</x:v>
      </x:c>
      <x:c r="E49" s="56" t="str">
        <x:v>0dfee7a649435057267c5a3b150a79090a3c9d08e8598fca80a315f2596308ce</x:v>
      </x:c>
      <x:c r="F49" s="72" t="b">
        <x:v>1</x:v>
      </x:c>
    </x:row>
    <x:row r="50" ht="15" hidden="0" customHeight="1">
      <x:c r="A50" s="56" t="str">
        <x:v>03_Du_lieu_Phep_tinh/examples/Tail80Result.example.json</x:v>
      </x:c>
      <x:c r="B50" s="56" t="str">
        <x:v>/root/code_claims/hnh_data_audit</x:v>
      </x:c>
      <x:c r="C50" s="56" t="str">
        <x:v>READ_COMPLETE</x:v>
      </x:c>
      <x:c r="D50" s="56" t="str">
        <x:v>Complete structured/text parse with record/reference inspection</x:v>
      </x:c>
      <x:c r="E50" s="56" t="str">
        <x:v>6323be63f262cb8e91404fe9f0f7a32dcb180f051dcf4a39f8676671d19b52de</x:v>
      </x:c>
      <x:c r="F50" s="72" t="b">
        <x:v>1</x:v>
      </x:c>
    </x:row>
    <x:row r="51" ht="15" hidden="0" customHeight="1">
      <x:c r="A51" s="56" t="str">
        <x:v>03_Du_lieu_Phep_tinh/schemas/Claim.schema.json</x:v>
      </x:c>
      <x:c r="B51" s="56" t="str">
        <x:v>/root/code_claims/hnh_data_audit</x:v>
      </x:c>
      <x:c r="C51" s="56" t="str">
        <x:v>READ_COMPLETE</x:v>
      </x:c>
      <x:c r="D51" s="56" t="str">
        <x:v>Complete structured/text parse with record/reference inspection</x:v>
      </x:c>
      <x:c r="E51" s="56" t="str">
        <x:v>ddf67830aa8dc32a967fe5829bc88e980d44a66860433a54704edd274d682dd0</x:v>
      </x:c>
      <x:c r="F51" s="72" t="b">
        <x:v>1</x:v>
      </x:c>
    </x:row>
    <x:row r="52" ht="15" hidden="0" customHeight="1">
      <x:c r="A52" s="56" t="str">
        <x:v>03_Du_lieu_Phep_tinh/schemas/JobEnvelope.schema.json</x:v>
      </x:c>
      <x:c r="B52" s="56" t="str">
        <x:v>/root/code_claims/hnh_data_audit</x:v>
      </x:c>
      <x:c r="C52" s="56" t="str">
        <x:v>READ_COMPLETE</x:v>
      </x:c>
      <x:c r="D52" s="56" t="str">
        <x:v>Complete structured/text parse with record/reference inspection</x:v>
      </x:c>
      <x:c r="E52" s="56" t="str">
        <x:v>3eed377cc61f981d5384bf3ccf8effc5d989a2b30c237a9b4e06284d98794d24</x:v>
      </x:c>
      <x:c r="F52" s="72" t="b">
        <x:v>1</x:v>
      </x:c>
    </x:row>
    <x:row r="53" ht="15" hidden="0" customHeight="1">
      <x:c r="A53" s="56" t="str">
        <x:v>03_Du_lieu_Phep_tinh/schemas/MethodRelease.schema.json</x:v>
      </x:c>
      <x:c r="B53" s="56" t="str">
        <x:v>/root/code_claims/hnh_data_audit</x:v>
      </x:c>
      <x:c r="C53" s="56" t="str">
        <x:v>READ_COMPLETE</x:v>
      </x:c>
      <x:c r="D53" s="56" t="str">
        <x:v>Complete structured/text parse with record/reference inspection</x:v>
      </x:c>
      <x:c r="E53" s="56" t="str">
        <x:v>b1fd70ae0690e22ae09f3e5bc5085ecc5e14806e994f3cd60891fad078ab81c4</x:v>
      </x:c>
      <x:c r="F53" s="72" t="b">
        <x:v>1</x:v>
      </x:c>
    </x:row>
    <x:row r="54" ht="15" hidden="0" customHeight="1">
      <x:c r="A54" s="56" t="str">
        <x:v>03_Du_lieu_Phep_tinh/schemas/MethodResult.schema.json</x:v>
      </x:c>
      <x:c r="B54" s="56" t="str">
        <x:v>/root/code_claims/hnh_data_audit</x:v>
      </x:c>
      <x:c r="C54" s="56" t="str">
        <x:v>READ_COMPLETE</x:v>
      </x:c>
      <x:c r="D54" s="56" t="str">
        <x:v>Complete structured/text parse with record/reference inspection</x:v>
      </x:c>
      <x:c r="E54" s="56" t="str">
        <x:v>6ac7a8e060ee48682552b69c7da2faf1e5ca3d974f03b1afdc1ea6c47a0052de</x:v>
      </x:c>
      <x:c r="F54" s="72" t="b">
        <x:v>1</x:v>
      </x:c>
    </x:row>
    <x:row r="55" ht="15" hidden="0" customHeight="1">
      <x:c r="A55" s="56" t="str">
        <x:v>03_Du_lieu_Phep_tinh/schemas/Metric.schema.json</x:v>
      </x:c>
      <x:c r="B55" s="56" t="str">
        <x:v>/root/code_claims/hnh_data_audit</x:v>
      </x:c>
      <x:c r="C55" s="56" t="str">
        <x:v>READ_COMPLETE</x:v>
      </x:c>
      <x:c r="D55" s="56" t="str">
        <x:v>Complete structured/text parse with record/reference inspection</x:v>
      </x:c>
      <x:c r="E55" s="56" t="str">
        <x:v>0631326f54e30dcf8b08b246e01af1a82e524818ae3d2f46c17022c70398d2ba</x:v>
      </x:c>
      <x:c r="F55" s="72" t="b">
        <x:v>1</x:v>
      </x:c>
    </x:row>
    <x:row r="56" ht="15" hidden="0" customHeight="1">
      <x:c r="A56" s="56" t="str">
        <x:v>03_Du_lieu_Phep_tinh/schemas/ProfileVersion.schema.json</x:v>
      </x:c>
      <x:c r="B56" s="56" t="str">
        <x:v>/root/code_claims/hnh_data_audit</x:v>
      </x:c>
      <x:c r="C56" s="56" t="str">
        <x:v>READ_COMPLETE</x:v>
      </x:c>
      <x:c r="D56" s="56" t="str">
        <x:v>Complete structured/text parse with record/reference inspection</x:v>
      </x:c>
      <x:c r="E56" s="56" t="str">
        <x:v>4bbcfc3c8b857b681107ae14ccfbbeaeec38ec8ca3303f6317b393bf896b0e9d</x:v>
      </x:c>
      <x:c r="F56" s="72" t="b">
        <x:v>1</x:v>
      </x:c>
    </x:row>
    <x:row r="57" ht="15" hidden="0" customHeight="1">
      <x:c r="A57" s="56" t="str">
        <x:v>03_Du_lieu_Phep_tinh/schemas/ReleaseReceipt.schema.json</x:v>
      </x:c>
      <x:c r="B57" s="56" t="str">
        <x:v>/root/code_claims/hnh_data_audit</x:v>
      </x:c>
      <x:c r="C57" s="56" t="str">
        <x:v>READ_COMPLETE</x:v>
      </x:c>
      <x:c r="D57" s="56" t="str">
        <x:v>Complete structured/text parse with record/reference inspection</x:v>
      </x:c>
      <x:c r="E57" s="56" t="str">
        <x:v>6c1743b8ae14be6f2cb5af0c14c39dde1324114f5c9eebf1c0c1299be0a195f9</x:v>
      </x:c>
      <x:c r="F57" s="72" t="b">
        <x:v>1</x:v>
      </x:c>
    </x:row>
    <x:row r="58" ht="15" hidden="0" customHeight="1">
      <x:c r="A58" s="56" t="str">
        <x:v>03_Du_lieu_Phep_tinh/schemas/ReportSnapshot.schema.json</x:v>
      </x:c>
      <x:c r="B58" s="56" t="str">
        <x:v>/root/code_claims/hnh_data_audit</x:v>
      </x:c>
      <x:c r="C58" s="56" t="str">
        <x:v>READ_COMPLETE</x:v>
      </x:c>
      <x:c r="D58" s="56" t="str">
        <x:v>Complete structured/text parse with record/reference inspection</x:v>
      </x:c>
      <x:c r="E58" s="56" t="str">
        <x:v>0e0d8e6d01bd561ce49bddf7acd254fc5eda01383c2063d5840104aaa6f229de</x:v>
      </x:c>
      <x:c r="F58" s="72" t="b">
        <x:v>1</x:v>
      </x:c>
    </x:row>
    <x:row r="59" ht="15" hidden="0" customHeight="1">
      <x:c r="A59" s="56" t="str">
        <x:v>03_Du_lieu_Phep_tinh/schemas/Tail80Result.schema.json</x:v>
      </x:c>
      <x:c r="B59" s="56" t="str">
        <x:v>/root/code_claims/hnh_data_audit</x:v>
      </x:c>
      <x:c r="C59" s="56" t="str">
        <x:v>READ_COMPLETE</x:v>
      </x:c>
      <x:c r="D59" s="56" t="str">
        <x:v>Complete structured/text parse with record/reference inspection</x:v>
      </x:c>
      <x:c r="E59" s="56" t="str">
        <x:v>e6c48bb7fe55ee74dd70daa70ab24512a359838ad96b04315c2393e230007962</x:v>
      </x:c>
      <x:c r="F59" s="72" t="b">
        <x:v>1</x:v>
      </x:c>
    </x:row>
    <x:row r="60" ht="15" hidden="0" customHeight="1">
      <x:c r="A60" s="56" t="str">
        <x:v>04_Backend_API/01_TARGET_ARCHITECTURE.md</x:v>
      </x:c>
      <x:c r="B60" s="56" t="str">
        <x:v>/root/code_claims</x:v>
      </x:c>
      <x:c r="C60" s="56" t="str">
        <x:v>READ_COMPLETE</x:v>
      </x:c>
      <x:c r="D60" s="56" t="str">
        <x:v>Full text and cross references</x:v>
      </x:c>
      <x:c r="E60" s="56" t="str">
        <x:v>3e10b6293eb70b068456a4facb6ce85216fae060b848cdab6dd3c460ba0f597e</x:v>
      </x:c>
      <x:c r="F60" s="72" t="b">
        <x:v>1</x:v>
      </x:c>
    </x:row>
    <x:row r="61" ht="15" hidden="0" customHeight="1">
      <x:c r="A61" s="56" t="str">
        <x:v>04_Backend_API/02_AUTH_AND_AUTHORIZATION.md</x:v>
      </x:c>
      <x:c r="B61" s="56" t="str">
        <x:v>/root/code_claims</x:v>
      </x:c>
      <x:c r="C61" s="56" t="str">
        <x:v>READ_COMPLETE</x:v>
      </x:c>
      <x:c r="D61" s="56" t="str">
        <x:v>Full text and cross references</x:v>
      </x:c>
      <x:c r="E61" s="56" t="str">
        <x:v>c3c53a35d73e129b13174c17e13783a30f2591298d6be8ebe6b7a6f817c243ec</x:v>
      </x:c>
      <x:c r="F61" s="72" t="b">
        <x:v>1</x:v>
      </x:c>
    </x:row>
    <x:row r="62" ht="15" hidden="0" customHeight="1">
      <x:c r="A62" s="56" t="str">
        <x:v>04_Backend_API/03_JOBS_IDEMPOTENCY_AND_COMMERCE.md</x:v>
      </x:c>
      <x:c r="B62" s="56" t="str">
        <x:v>/root/code_claims</x:v>
      </x:c>
      <x:c r="C62" s="56" t="str">
        <x:v>READ_COMPLETE</x:v>
      </x:c>
      <x:c r="D62" s="56" t="str">
        <x:v>Full text and cross references</x:v>
      </x:c>
      <x:c r="E62" s="56" t="str">
        <x:v>a9131cb0128cb43f93ce6aef38bae1d487ffe5919de6a28dbbb8b4e9b8a1f019</x:v>
      </x:c>
      <x:c r="F62" s="72" t="b">
        <x:v>1</x:v>
      </x:c>
    </x:row>
    <x:row r="63" ht="15" hidden="0" customHeight="1">
      <x:c r="A63" s="56" t="str">
        <x:v>04_Backend_API/04_API_AND_MIGRATION.md</x:v>
      </x:c>
      <x:c r="B63" s="56" t="str">
        <x:v>/root/code_claims</x:v>
      </x:c>
      <x:c r="C63" s="56" t="str">
        <x:v>READ_COMPLETE</x:v>
      </x:c>
      <x:c r="D63" s="56" t="str">
        <x:v>Full text and cross references</x:v>
      </x:c>
      <x:c r="E63" s="56" t="str">
        <x:v>6231bc4519bbc6c4fb3270ca90c56954f6fb6d24b2666901cb3a09e9070b1f7a</x:v>
      </x:c>
      <x:c r="F63" s="72" t="b">
        <x:v>1</x:v>
      </x:c>
    </x:row>
    <x:row r="64" ht="15" hidden="0" customHeight="1">
      <x:c r="A64" s="56" t="str">
        <x:v>04_Backend_API/API_OPERATIONS.json</x:v>
      </x:c>
      <x:c r="B64" s="56" t="str">
        <x:v>/root/code_claims</x:v>
      </x:c>
      <x:c r="C64" s="56" t="str">
        <x:v>READ_COMPLETE</x:v>
      </x:c>
      <x:c r="D64" s="56" t="str">
        <x:v>Complete structured/text parse with record/reference inspection</x:v>
      </x:c>
      <x:c r="E64" s="56" t="str">
        <x:v>a10ace2ed34f5470f172c82b3016bce219d8a5a5a6307454f73fc48a263f3e97</x:v>
      </x:c>
      <x:c r="F64" s="72" t="b">
        <x:v>1</x:v>
      </x:c>
    </x:row>
    <x:row r="65" ht="15" hidden="0" customHeight="1">
      <x:c r="A65" s="56" t="str">
        <x:v>04_Backend_API/ARCHITECTURE.mmd</x:v>
      </x:c>
      <x:c r="B65" s="56" t="str">
        <x:v>/root/code_claims</x:v>
      </x:c>
      <x:c r="C65" s="56" t="str">
        <x:v>READ_COMPLETE</x:v>
      </x:c>
      <x:c r="D65" s="56" t="str">
        <x:v>Complete structured/text parse with record/reference inspection</x:v>
      </x:c>
      <x:c r="E65" s="56" t="str">
        <x:v>0a5059f17c321026dfe8fc2c21d55b82ada8f8fd1749bf56c03f1b9eb76d6d19</x:v>
      </x:c>
      <x:c r="F65" s="72" t="b">
        <x:v>1</x:v>
      </x:c>
    </x:row>
    <x:row r="66" ht="15" hidden="0" customHeight="1">
      <x:c r="A66" s="56" t="str">
        <x:v>04_Backend_API/ENTITY_REGISTRY.json</x:v>
      </x:c>
      <x:c r="B66" s="56" t="str">
        <x:v>/root/code_claims</x:v>
      </x:c>
      <x:c r="C66" s="56" t="str">
        <x:v>READ_COMPLETE</x:v>
      </x:c>
      <x:c r="D66" s="56" t="str">
        <x:v>Complete structured/text parse with record/reference inspection</x:v>
      </x:c>
      <x:c r="E66" s="56" t="str">
        <x:v>361b942e963b3e6f23d3b9d7264ba6a3b55c13183cbd3f516a642cc5d48db046</x:v>
      </x:c>
      <x:c r="F66" s="72" t="b">
        <x:v>1</x:v>
      </x:c>
    </x:row>
    <x:row r="67" ht="15" hidden="0" customHeight="1">
      <x:c r="A67" s="56" t="str">
        <x:v>04_Backend_API/SCHEMA_DESIGN_REFERENCE.sql</x:v>
      </x:c>
      <x:c r="B67" s="56" t="str">
        <x:v>/root/code_claims</x:v>
      </x:c>
      <x:c r="C67" s="56" t="str">
        <x:v>READ_COMPLETE</x:v>
      </x:c>
      <x:c r="D67" s="56" t="str">
        <x:v>Complete structured/text parse with record/reference inspection</x:v>
      </x:c>
      <x:c r="E67" s="56" t="str">
        <x:v>064602c61f7f5352628d2a8452575b8954686b74df5875277b7394a5bb920c92</x:v>
      </x:c>
      <x:c r="F67" s="72" t="b">
        <x:v>1</x:v>
      </x:c>
    </x:row>
    <x:row r="68" ht="15" hidden="0" customHeight="1">
      <x:c r="A68" s="56" t="str">
        <x:v>04_Backend_API/SCHEMA_README.md</x:v>
      </x:c>
      <x:c r="B68" s="56" t="str">
        <x:v>/root/code_claims</x:v>
      </x:c>
      <x:c r="C68" s="56" t="str">
        <x:v>READ_COMPLETE</x:v>
      </x:c>
      <x:c r="D68" s="56" t="str">
        <x:v>Full text and cross references</x:v>
      </x:c>
      <x:c r="E68" s="56" t="str">
        <x:v>86205fc0e2bac05b90e1670288cb9bddacc326c97ed7d6fa94514b8d061cac7e</x:v>
      </x:c>
      <x:c r="F68" s="72" t="b">
        <x:v>1</x:v>
      </x:c>
    </x:row>
    <x:row r="69" ht="15" hidden="0" customHeight="1">
      <x:c r="A69" s="56" t="str">
        <x:v>04_Backend_API/openapi.json</x:v>
      </x:c>
      <x:c r="B69" s="56" t="str">
        <x:v>/root/code_claims</x:v>
      </x:c>
      <x:c r="C69" s="56" t="str">
        <x:v>READ_COMPLETE</x:v>
      </x:c>
      <x:c r="D69" s="56" t="str">
        <x:v>Complete structured/text parse with record/reference inspection</x:v>
      </x:c>
      <x:c r="E69" s="56" t="str">
        <x:v>3fbd57337e33747f4d26acb2fd642b46532a73a255615a605aa6124725013825</x:v>
      </x:c>
      <x:c r="F69" s="72" t="b">
        <x:v>1</x:v>
      </x:c>
    </x:row>
    <x:row r="70" ht="15" hidden="0" customHeight="1">
      <x:c r="A70" s="56" t="str">
        <x:v>04_Backend_API/openapi.yaml</x:v>
      </x:c>
      <x:c r="B70" s="56" t="str">
        <x:v>/root/code_claims</x:v>
      </x:c>
      <x:c r="C70" s="56" t="str">
        <x:v>READ_COMPLETE</x:v>
      </x:c>
      <x:c r="D70" s="56" t="str">
        <x:v>Complete structured/text parse with record/reference inspection</x:v>
      </x:c>
      <x:c r="E70" s="56" t="str">
        <x:v>b98d0a744253de3b6eb5c950df83f9db3b1912cca73b252a4907c2a21107121e</x:v>
      </x:c>
      <x:c r="F70" s="72" t="b">
        <x:v>1</x:v>
      </x:c>
    </x:row>
    <x:row r="71" ht="15" hidden="0" customHeight="1">
      <x:c r="A71" s="56" t="str">
        <x:v>05_Frontend_UI/01_INFORMATION_ARCHITECTURE.md</x:v>
      </x:c>
      <x:c r="B71" s="56" t="str">
        <x:v>product_frontend_ai_business</x:v>
      </x:c>
      <x:c r="C71" s="56" t="str">
        <x:v>READ_COMPLETE</x:v>
      </x:c>
      <x:c r="D71" s="56" t="str">
        <x:v>Full text and cross references</x:v>
      </x:c>
      <x:c r="E71" s="56" t="str">
        <x:v>c5eb9607999423d551c42b0adab489b344c46aa1cd4bf1d0a872900ec17b8739</x:v>
      </x:c>
      <x:c r="F71" s="72" t="b">
        <x:v>1</x:v>
      </x:c>
    </x:row>
    <x:row r="72" ht="15" hidden="0" customHeight="1">
      <x:c r="A72" s="56" t="str">
        <x:v>05_Frontend_UI/02_DESIGN_SYSTEM_AND_A11Y.md</x:v>
      </x:c>
      <x:c r="B72" s="56" t="str">
        <x:v>product_frontend_ai_business</x:v>
      </x:c>
      <x:c r="C72" s="56" t="str">
        <x:v>READ_COMPLETE</x:v>
      </x:c>
      <x:c r="D72" s="56" t="str">
        <x:v>Full text and cross references</x:v>
      </x:c>
      <x:c r="E72" s="56" t="str">
        <x:v>47aede81a1c411e47b572ab7b2a7b9acaf89b99a826136327482b2fb88070f10</x:v>
      </x:c>
      <x:c r="F72" s="72" t="b">
        <x:v>1</x:v>
      </x:c>
    </x:row>
    <x:row r="73" ht="15" hidden="0" customHeight="1">
      <x:c r="A73" s="56" t="str">
        <x:v>05_Frontend_UI/03_PUBLIC_COPY_AND_SEO_MIGRATION.md</x:v>
      </x:c>
      <x:c r="B73" s="56" t="str">
        <x:v>product_frontend_ai_business</x:v>
      </x:c>
      <x:c r="C73" s="56" t="str">
        <x:v>READ_COMPLETE</x:v>
      </x:c>
      <x:c r="D73" s="56" t="str">
        <x:v>Full text and cross references</x:v>
      </x:c>
      <x:c r="E73" s="56" t="str">
        <x:v>b8aa46ad6b57ff65a9db83342fe228822f2ca7b376241cdf1f1ce02dff72bec7</x:v>
      </x:c>
      <x:c r="F73" s="72" t="b">
        <x:v>1</x:v>
      </x:c>
    </x:row>
    <x:row r="74" ht="15" hidden="0" customHeight="1">
      <x:c r="A74" s="56" t="str">
        <x:v>05_Frontend_UI/DESIGN_TOKENS.json</x:v>
      </x:c>
      <x:c r="B74" s="56" t="str">
        <x:v>product_frontend_ai_business</x:v>
      </x:c>
      <x:c r="C74" s="56" t="str">
        <x:v>READ_COMPLETE</x:v>
      </x:c>
      <x:c r="D74" s="56" t="str">
        <x:v>Complete structured/text parse with record/reference inspection</x:v>
      </x:c>
      <x:c r="E74" s="56" t="str">
        <x:v>d07c335d4bdd22d168d8d766a1d575457c938c087fa13a8ec140d3e5b1fb5eb7</x:v>
      </x:c>
      <x:c r="F74" s="72" t="b">
        <x:v>1</x:v>
      </x:c>
    </x:row>
    <x:row r="75" ht="15" hidden="0" customHeight="1">
      <x:c r="A75" s="56" t="str">
        <x:v>05_Frontend_UI/SCREEN_REGISTRY.csv</x:v>
      </x:c>
      <x:c r="B75" s="56" t="str">
        <x:v>product_frontend_ai_business</x:v>
      </x:c>
      <x:c r="C75" s="56" t="str">
        <x:v>READ_COMPLETE</x:v>
      </x:c>
      <x:c r="D75" s="56" t="str">
        <x:v>Complete structured/text parse with record/reference inspection</x:v>
      </x:c>
      <x:c r="E75" s="56" t="str">
        <x:v>73e65f2eaaae37a48ee8f4cd6aae972a7f6601db156f866ebc4e5f8daed2df10</x:v>
      </x:c>
      <x:c r="F75" s="72" t="b">
        <x:v>1</x:v>
      </x:c>
    </x:row>
    <x:row r="76" ht="15" hidden="0" customHeight="1">
      <x:c r="A76" s="56" t="str">
        <x:v>05_Frontend_UI/SCREEN_REGISTRY.json</x:v>
      </x:c>
      <x:c r="B76" s="56" t="str">
        <x:v>product_frontend_ai_business</x:v>
      </x:c>
      <x:c r="C76" s="56" t="str">
        <x:v>READ_COMPLETE</x:v>
      </x:c>
      <x:c r="D76" s="56" t="str">
        <x:v>Complete structured/text parse with record/reference inspection</x:v>
      </x:c>
      <x:c r="E76" s="56" t="str">
        <x:v>f889ae17392d53c1c1085eb7ad8adaf0ee16b517346fdfc438de4c3bcaa8cf6e</x:v>
      </x:c>
      <x:c r="F76" s="72" t="b">
        <x:v>1</x:v>
      </x:c>
    </x:row>
    <x:row r="77" ht="15" hidden="0" customHeight="1">
      <x:c r="A77" s="56" t="str">
        <x:v>06_AI_Bao_cao/01_AI_ORCHESTRATION.md</x:v>
      </x:c>
      <x:c r="B77" s="56" t="str">
        <x:v>product_frontend_ai_business</x:v>
      </x:c>
      <x:c r="C77" s="56" t="str">
        <x:v>READ_COMPLETE</x:v>
      </x:c>
      <x:c r="D77" s="56" t="str">
        <x:v>Full text and cross references</x:v>
      </x:c>
      <x:c r="E77" s="56" t="str">
        <x:v>56a345d3573c25e8cbedf693157b97bdd727dd9ee80143672c89755db9e76e7f</x:v>
      </x:c>
      <x:c r="F77" s="72" t="b">
        <x:v>1</x:v>
      </x:c>
    </x:row>
    <x:row r="78" ht="15" hidden="0" customHeight="1">
      <x:c r="A78" s="56" t="str">
        <x:v>06_AI_Bao_cao/02_AUTONOMY_AND_ADMIN_MINIMIZATION.md</x:v>
      </x:c>
      <x:c r="B78" s="56" t="str">
        <x:v>product_frontend_ai_business</x:v>
      </x:c>
      <x:c r="C78" s="56" t="str">
        <x:v>READ_COMPLETE</x:v>
      </x:c>
      <x:c r="D78" s="56" t="str">
        <x:v>Full text and cross references</x:v>
      </x:c>
      <x:c r="E78" s="56" t="str">
        <x:v>3d74d97e716e4cac55362e74a2647999e64b69150546857b9fff3f646674f612</x:v>
      </x:c>
      <x:c r="F78" s="72" t="b">
        <x:v>1</x:v>
      </x:c>
    </x:row>
    <x:row r="79" ht="15" hidden="0" customHeight="1">
      <x:c r="A79" s="56" t="str">
        <x:v>06_AI_Bao_cao/03_REPORT_FACTORY.md</x:v>
      </x:c>
      <x:c r="B79" s="56" t="str">
        <x:v>product_frontend_ai_business</x:v>
      </x:c>
      <x:c r="C79" s="56" t="str">
        <x:v>READ_COMPLETE</x:v>
      </x:c>
      <x:c r="D79" s="56" t="str">
        <x:v>Full text and cross references</x:v>
      </x:c>
      <x:c r="E79" s="56" t="str">
        <x:v>9619d462d31315a7472e19e9bce7eb6e4448b2f715bf9f046670064c71cbd9fd</x:v>
      </x:c>
      <x:c r="F79" s="72" t="b">
        <x:v>1</x:v>
      </x:c>
    </x:row>
    <x:row r="80" ht="15" hidden="0" customHeight="1">
      <x:c r="A80" s="56" t="str">
        <x:v>06_AI_Bao_cao/04_EDITORIAL_AND_EDUCATIONAL_STANDARD.md</x:v>
      </x:c>
      <x:c r="B80" s="56" t="str">
        <x:v>product_frontend_ai_business</x:v>
      </x:c>
      <x:c r="C80" s="56" t="str">
        <x:v>READ_COMPLETE</x:v>
      </x:c>
      <x:c r="D80" s="56" t="str">
        <x:v>Full text and cross references</x:v>
      </x:c>
      <x:c r="E80" s="56" t="str">
        <x:v>e25834a25e848255e3cae655e1f472403b84888a3893d778fc816d624d19339d</x:v>
      </x:c>
      <x:c r="F80" s="72" t="b">
        <x:v>1</x:v>
      </x:c>
    </x:row>
    <x:row r="81" ht="15" hidden="0" customHeight="1">
      <x:c r="A81" s="56" t="str">
        <x:v>06_AI_Bao_cao/05_USER_VALUE_AND_SAMPLE_NARRATIVE.md</x:v>
      </x:c>
      <x:c r="B81" s="56" t="str">
        <x:v>product_frontend_ai_business</x:v>
      </x:c>
      <x:c r="C81" s="56" t="str">
        <x:v>READ_COMPLETE</x:v>
      </x:c>
      <x:c r="D81" s="56" t="str">
        <x:v>Full text and cross references</x:v>
      </x:c>
      <x:c r="E81" s="56" t="str">
        <x:v>819fee6ae311da6ff357d844b516d279237eeee047c0470ac897540eea6aee7b</x:v>
      </x:c>
      <x:c r="F81" s="72" t="b">
        <x:v>1</x:v>
      </x:c>
    </x:row>
    <x:row r="82" ht="15" hidden="0" customHeight="1">
      <x:c r="A82" s="56" t="str">
        <x:v>06_AI_Bao_cao/AUTOMATION_WORKFLOWS.json</x:v>
      </x:c>
      <x:c r="B82" s="56" t="str">
        <x:v>product_frontend_ai_business</x:v>
      </x:c>
      <x:c r="C82" s="56" t="str">
        <x:v>READ_COMPLETE</x:v>
      </x:c>
      <x:c r="D82" s="56" t="str">
        <x:v>Complete structured/text parse with record/reference inspection</x:v>
      </x:c>
      <x:c r="E82" s="56" t="str">
        <x:v>efa5ba8d6f656cf40e08bacb65e77f2a12e74d112656da9bca79b46bd95aa00b</x:v>
      </x:c>
      <x:c r="F82" s="72" t="b">
        <x:v>1</x:v>
      </x:c>
    </x:row>
    <x:row r="83" ht="15" hidden="0" customHeight="1">
      <x:c r="A83" s="56" t="str">
        <x:v>06_AI_Bao_cao/AUTONOMY_POLICY.json</x:v>
      </x:c>
      <x:c r="B83" s="56" t="str">
        <x:v>product_frontend_ai_business</x:v>
      </x:c>
      <x:c r="C83" s="56" t="str">
        <x:v>READ_COMPLETE</x:v>
      </x:c>
      <x:c r="D83" s="56" t="str">
        <x:v>Complete structured/text parse with record/reference inspection</x:v>
      </x:c>
      <x:c r="E83" s="56" t="str">
        <x:v>987cdd892f83876b80ce4951a3b33b295e87a1937bb178f7e55b64c54b13257e</x:v>
      </x:c>
      <x:c r="F83" s="72" t="b">
        <x:v>1</x:v>
      </x:c>
    </x:row>
    <x:row r="84" ht="15" hidden="0" customHeight="1">
      <x:c r="A84" s="56" t="str">
        <x:v>06_AI_Bao_cao/templates/LEVEL_1.json</x:v>
      </x:c>
      <x:c r="B84" s="56" t="str">
        <x:v>product_frontend_ai_business</x:v>
      </x:c>
      <x:c r="C84" s="56" t="str">
        <x:v>READ_COMPLETE</x:v>
      </x:c>
      <x:c r="D84" s="56" t="str">
        <x:v>Complete structured/text parse with record/reference inspection</x:v>
      </x:c>
      <x:c r="E84" s="56" t="str">
        <x:v>aff43ca819925900dbcaf501a81239b6c522115a9abef84649b352a5a3144dd2</x:v>
      </x:c>
      <x:c r="F84" s="72" t="b">
        <x:v>1</x:v>
      </x:c>
    </x:row>
    <x:row r="85" ht="15" hidden="0" customHeight="1">
      <x:c r="A85" s="56" t="str">
        <x:v>06_AI_Bao_cao/templates/LEVEL_1.md</x:v>
      </x:c>
      <x:c r="B85" s="56" t="str">
        <x:v>product_frontend_ai_business</x:v>
      </x:c>
      <x:c r="C85" s="56" t="str">
        <x:v>READ_COMPLETE</x:v>
      </x:c>
      <x:c r="D85" s="56" t="str">
        <x:v>Full text and cross references</x:v>
      </x:c>
      <x:c r="E85" s="56" t="str">
        <x:v>1bae9802357962668d05e782b8681e3b93dd83e52eaecae1138b5ae5372758df</x:v>
      </x:c>
      <x:c r="F85" s="72" t="b">
        <x:v>1</x:v>
      </x:c>
    </x:row>
    <x:row r="86" ht="15" hidden="0" customHeight="1">
      <x:c r="A86" s="56" t="str">
        <x:v>06_AI_Bao_cao/templates/LEVEL_2.json</x:v>
      </x:c>
      <x:c r="B86" s="56" t="str">
        <x:v>product_frontend_ai_business</x:v>
      </x:c>
      <x:c r="C86" s="56" t="str">
        <x:v>READ_COMPLETE</x:v>
      </x:c>
      <x:c r="D86" s="56" t="str">
        <x:v>Complete structured/text parse with record/reference inspection</x:v>
      </x:c>
      <x:c r="E86" s="56" t="str">
        <x:v>77b2939a170f971960552649f5d18164c796721ebc874f84bdd33c6323f2cb6a</x:v>
      </x:c>
      <x:c r="F86" s="72" t="b">
        <x:v>1</x:v>
      </x:c>
    </x:row>
    <x:row r="87" ht="15" hidden="0" customHeight="1">
      <x:c r="A87" s="56" t="str">
        <x:v>06_AI_Bao_cao/templates/LEVEL_2.md</x:v>
      </x:c>
      <x:c r="B87" s="56" t="str">
        <x:v>product_frontend_ai_business</x:v>
      </x:c>
      <x:c r="C87" s="56" t="str">
        <x:v>READ_COMPLETE</x:v>
      </x:c>
      <x:c r="D87" s="56" t="str">
        <x:v>Full text and cross references</x:v>
      </x:c>
      <x:c r="E87" s="56" t="str">
        <x:v>c82bfc0cf80dbe11d56c14875b0e19af434abef3cf7480a338257c1b3479470b</x:v>
      </x:c>
      <x:c r="F87" s="72" t="b">
        <x:v>1</x:v>
      </x:c>
    </x:row>
    <x:row r="88" ht="15" hidden="0" customHeight="1">
      <x:c r="A88" s="56" t="str">
        <x:v>06_AI_Bao_cao/templates/LEVEL_3.json</x:v>
      </x:c>
      <x:c r="B88" s="56" t="str">
        <x:v>product_frontend_ai_business</x:v>
      </x:c>
      <x:c r="C88" s="56" t="str">
        <x:v>READ_COMPLETE</x:v>
      </x:c>
      <x:c r="D88" s="56" t="str">
        <x:v>Complete structured/text parse with record/reference inspection</x:v>
      </x:c>
      <x:c r="E88" s="56" t="str">
        <x:v>a15b2af30f5f5cdd624815a51d66cab8d5ff3f29b353256163b882424ef70400</x:v>
      </x:c>
      <x:c r="F88" s="72" t="b">
        <x:v>1</x:v>
      </x:c>
    </x:row>
    <x:row r="89" ht="15" hidden="0" customHeight="1">
      <x:c r="A89" s="56" t="str">
        <x:v>06_AI_Bao_cao/templates/LEVEL_3.md</x:v>
      </x:c>
      <x:c r="B89" s="56" t="str">
        <x:v>product_frontend_ai_business</x:v>
      </x:c>
      <x:c r="C89" s="56" t="str">
        <x:v>READ_COMPLETE</x:v>
      </x:c>
      <x:c r="D89" s="56" t="str">
        <x:v>Full text and cross references</x:v>
      </x:c>
      <x:c r="E89" s="56" t="str">
        <x:v>43412673bd79b8b9d349a27c9d1e6f0265d4963fbd7faab95d1067ab0f5db454</x:v>
      </x:c>
      <x:c r="F89" s="72" t="b">
        <x:v>1</x:v>
      </x:c>
    </x:row>
    <x:row r="90" ht="15" hidden="0" customHeight="1">
      <x:c r="A90" s="56" t="str">
        <x:v>06_AI_Bao_cao/templates/LEVEL_4.json</x:v>
      </x:c>
      <x:c r="B90" s="56" t="str">
        <x:v>product_frontend_ai_business</x:v>
      </x:c>
      <x:c r="C90" s="56" t="str">
        <x:v>READ_COMPLETE</x:v>
      </x:c>
      <x:c r="D90" s="56" t="str">
        <x:v>Complete structured/text parse with record/reference inspection</x:v>
      </x:c>
      <x:c r="E90" s="56" t="str">
        <x:v>2982f7aee7866ad7188fc4ed0b2b274129370e7655d17ec6097806b7492a2eb0</x:v>
      </x:c>
      <x:c r="F90" s="72" t="b">
        <x:v>1</x:v>
      </x:c>
    </x:row>
    <x:row r="91" ht="15" hidden="0" customHeight="1">
      <x:c r="A91" s="56" t="str">
        <x:v>06_AI_Bao_cao/templates/LEVEL_4.md</x:v>
      </x:c>
      <x:c r="B91" s="56" t="str">
        <x:v>product_frontend_ai_business</x:v>
      </x:c>
      <x:c r="C91" s="56" t="str">
        <x:v>READ_COMPLETE</x:v>
      </x:c>
      <x:c r="D91" s="56" t="str">
        <x:v>Full text and cross references</x:v>
      </x:c>
      <x:c r="E91" s="56" t="str">
        <x:v>839746e08a1b1b02717adf3a9596d927ed4bf58075daba76306c380965354dab</x:v>
      </x:c>
      <x:c r="F91" s="72" t="b">
        <x:v>1</x:v>
      </x:c>
    </x:row>
    <x:row r="92" ht="15" hidden="0" customHeight="1">
      <x:c r="A92" s="56" t="str">
        <x:v>06_AI_Bao_cao/templates/LEVEL_5.json</x:v>
      </x:c>
      <x:c r="B92" s="56" t="str">
        <x:v>product_frontend_ai_business</x:v>
      </x:c>
      <x:c r="C92" s="56" t="str">
        <x:v>READ_COMPLETE</x:v>
      </x:c>
      <x:c r="D92" s="56" t="str">
        <x:v>Complete structured/text parse with record/reference inspection</x:v>
      </x:c>
      <x:c r="E92" s="56" t="str">
        <x:v>08dfd52b24936eb39892969be89e0c18a767444ded3d5f3d1599c75fd286aad9</x:v>
      </x:c>
      <x:c r="F92" s="72" t="b">
        <x:v>1</x:v>
      </x:c>
    </x:row>
    <x:row r="93" ht="15" hidden="0" customHeight="1">
      <x:c r="A93" s="56" t="str">
        <x:v>06_AI_Bao_cao/templates/LEVEL_5.md</x:v>
      </x:c>
      <x:c r="B93" s="56" t="str">
        <x:v>product_frontend_ai_business</x:v>
      </x:c>
      <x:c r="C93" s="56" t="str">
        <x:v>READ_COMPLETE</x:v>
      </x:c>
      <x:c r="D93" s="56" t="str">
        <x:v>Full text and cross references</x:v>
      </x:c>
      <x:c r="E93" s="56" t="str">
        <x:v>4e90968c01cd6c651aa3e8bcef722391236ec3a32d9f29788db8e3bfcc4aefaa</x:v>
      </x:c>
      <x:c r="F93" s="72" t="b">
        <x:v>1</x:v>
      </x:c>
    </x:row>
    <x:row r="94" ht="15" hidden="0" customHeight="1">
      <x:c r="A94" s="56" t="str">
        <x:v>06_AI_Bao_cao/templates/LEVEL_6.json</x:v>
      </x:c>
      <x:c r="B94" s="56" t="str">
        <x:v>product_frontend_ai_business</x:v>
      </x:c>
      <x:c r="C94" s="56" t="str">
        <x:v>READ_COMPLETE</x:v>
      </x:c>
      <x:c r="D94" s="56" t="str">
        <x:v>Complete structured/text parse with record/reference inspection</x:v>
      </x:c>
      <x:c r="E94" s="56" t="str">
        <x:v>8c55325dd66df836a9cdfbdab2e83c739bfabdb999112f1bf3a8cbd608c966c1</x:v>
      </x:c>
      <x:c r="F94" s="72" t="b">
        <x:v>1</x:v>
      </x:c>
    </x:row>
    <x:row r="95" ht="15" hidden="0" customHeight="1">
      <x:c r="A95" s="56" t="str">
        <x:v>06_AI_Bao_cao/templates/LEVEL_6.md</x:v>
      </x:c>
      <x:c r="B95" s="56" t="str">
        <x:v>product_frontend_ai_business</x:v>
      </x:c>
      <x:c r="C95" s="56" t="str">
        <x:v>READ_COMPLETE</x:v>
      </x:c>
      <x:c r="D95" s="56" t="str">
        <x:v>Full text and cross references</x:v>
      </x:c>
      <x:c r="E95" s="56" t="str">
        <x:v>edd013293f1aba4f1c469747ead1d24f1a215921b5bb7506b8da854610fb0430</x:v>
      </x:c>
      <x:c r="F95" s="72" t="b">
        <x:v>1</x:v>
      </x:c>
    </x:row>
    <x:row r="96" ht="15" hidden="0" customHeight="1">
      <x:c r="A96" s="56" t="str">
        <x:v>06_AI_Bao_cao/templates/LEVEL_7.json</x:v>
      </x:c>
      <x:c r="B96" s="56" t="str">
        <x:v>product_frontend_ai_business</x:v>
      </x:c>
      <x:c r="C96" s="56" t="str">
        <x:v>READ_COMPLETE</x:v>
      </x:c>
      <x:c r="D96" s="56" t="str">
        <x:v>Complete structured/text parse with record/reference inspection</x:v>
      </x:c>
      <x:c r="E96" s="56" t="str">
        <x:v>230ce68acbb772f3f0c588ac706221ac83f9c494e007635eb6a485181ec3d5d8</x:v>
      </x:c>
      <x:c r="F96" s="72" t="b">
        <x:v>1</x:v>
      </x:c>
    </x:row>
    <x:row r="97" ht="15" hidden="0" customHeight="1">
      <x:c r="A97" s="56" t="str">
        <x:v>06_AI_Bao_cao/templates/LEVEL_7.md</x:v>
      </x:c>
      <x:c r="B97" s="56" t="str">
        <x:v>product_frontend_ai_business</x:v>
      </x:c>
      <x:c r="C97" s="56" t="str">
        <x:v>READ_COMPLETE</x:v>
      </x:c>
      <x:c r="D97" s="56" t="str">
        <x:v>Full text and cross references</x:v>
      </x:c>
      <x:c r="E97" s="56" t="str">
        <x:v>b03ab45aae7d6d11da6f34fdf0a3509d4855679e2edfd9c2fc5c21f771515b92</x:v>
      </x:c>
      <x:c r="F97" s="72" t="b">
        <x:v>1</x:v>
      </x:c>
    </x:row>
    <x:row r="98" ht="15" hidden="0" customHeight="1">
      <x:c r="A98" s="56" t="str">
        <x:v>06_AI_Bao_cao/templates/LEVEL_8.json</x:v>
      </x:c>
      <x:c r="B98" s="56" t="str">
        <x:v>product_frontend_ai_business</x:v>
      </x:c>
      <x:c r="C98" s="56" t="str">
        <x:v>READ_COMPLETE</x:v>
      </x:c>
      <x:c r="D98" s="56" t="str">
        <x:v>Complete structured/text parse with record/reference inspection</x:v>
      </x:c>
      <x:c r="E98" s="56" t="str">
        <x:v>7d5c1b5ee00920e34d01b83ae4a0772a5f54eda535b89aedcc737a0be1ad9d11</x:v>
      </x:c>
      <x:c r="F98" s="72" t="b">
        <x:v>1</x:v>
      </x:c>
    </x:row>
    <x:row r="99" ht="15" hidden="0" customHeight="1">
      <x:c r="A99" s="56" t="str">
        <x:v>06_AI_Bao_cao/templates/LEVEL_8.md</x:v>
      </x:c>
      <x:c r="B99" s="56" t="str">
        <x:v>product_frontend_ai_business</x:v>
      </x:c>
      <x:c r="C99" s="56" t="str">
        <x:v>READ_COMPLETE</x:v>
      </x:c>
      <x:c r="D99" s="56" t="str">
        <x:v>Full text and cross references</x:v>
      </x:c>
      <x:c r="E99" s="56" t="str">
        <x:v>88f95b9262bafb48dc205c417c52a38a592d2c2591a56ada239a134278e63c39</x:v>
      </x:c>
      <x:c r="F99" s="72" t="b">
        <x:v>1</x:v>
      </x:c>
    </x:row>
    <x:row r="100" ht="15" hidden="0" customHeight="1">
      <x:c r="A100" s="56" t="str">
        <x:v>06_AI_Bao_cao/templates/LEVEL_9.json</x:v>
      </x:c>
      <x:c r="B100" s="56" t="str">
        <x:v>product_frontend_ai_business</x:v>
      </x:c>
      <x:c r="C100" s="56" t="str">
        <x:v>READ_COMPLETE</x:v>
      </x:c>
      <x:c r="D100" s="56" t="str">
        <x:v>Complete structured/text parse with record/reference inspection</x:v>
      </x:c>
      <x:c r="E100" s="56" t="str">
        <x:v>ccfd55f850f65d95a45c1a5a22fde30346b9248dc28fa97577d0cb617d2a975a</x:v>
      </x:c>
      <x:c r="F100" s="72" t="b">
        <x:v>1</x:v>
      </x:c>
    </x:row>
    <x:row r="101" ht="15" hidden="0" customHeight="1">
      <x:c r="A101" s="56" t="str">
        <x:v>06_AI_Bao_cao/templates/LEVEL_9.md</x:v>
      </x:c>
      <x:c r="B101" s="56" t="str">
        <x:v>product_frontend_ai_business</x:v>
      </x:c>
      <x:c r="C101" s="56" t="str">
        <x:v>READ_COMPLETE</x:v>
      </x:c>
      <x:c r="D101" s="56" t="str">
        <x:v>Full text and cross references</x:v>
      </x:c>
      <x:c r="E101" s="56" t="str">
        <x:v>46d6264bafc37b6bbbc0537e7534698170dba257b4b4a392f2c5fca1434d1a92</x:v>
      </x:c>
      <x:c r="F101" s="72" t="b">
        <x:v>1</x:v>
      </x:c>
    </x:row>
    <x:row r="102" ht="15" hidden="0" customHeight="1">
      <x:c r="A102" s="56" t="str">
        <x:v>07_Bao_mat_Van_hanh/01_P0_CONTAINMENT.md</x:v>
      </x:c>
      <x:c r="B102" s="56" t="str">
        <x:v>root integration and governance</x:v>
      </x:c>
      <x:c r="C102" s="56" t="str">
        <x:v>READ_COMPLETE</x:v>
      </x:c>
      <x:c r="D102" s="56" t="str">
        <x:v>Full text and cross references</x:v>
      </x:c>
      <x:c r="E102" s="56" t="str">
        <x:v>6bf83b9533ee51afdbd5e4cda510182d2d376fe56b6927d6657bdffba07355d9</x:v>
      </x:c>
      <x:c r="F102" s="72" t="b">
        <x:v>1</x:v>
      </x:c>
    </x:row>
    <x:row r="103" ht="15" hidden="0" customHeight="1">
      <x:c r="A103" s="56" t="str">
        <x:v>07_Bao_mat_Van_hanh/02_PRIVACY_AND_DELETION.md</x:v>
      </x:c>
      <x:c r="B103" s="56" t="str">
        <x:v>root integration and governance</x:v>
      </x:c>
      <x:c r="C103" s="56" t="str">
        <x:v>READ_COMPLETE</x:v>
      </x:c>
      <x:c r="D103" s="56" t="str">
        <x:v>Full text and cross references</x:v>
      </x:c>
      <x:c r="E103" s="56" t="str">
        <x:v>8ddd19adb61333466a5b1922d096ff889ae2ac9b454075fbf67961834b90c5da</x:v>
      </x:c>
      <x:c r="F103" s="72" t="b">
        <x:v>1</x:v>
      </x:c>
    </x:row>
    <x:row r="104" ht="15" hidden="0" customHeight="1">
      <x:c r="A104" s="56" t="str">
        <x:v>07_Bao_mat_Van_hanh/03_SECURITY_THREAT_MODEL.md</x:v>
      </x:c>
      <x:c r="B104" s="56" t="str">
        <x:v>root integration and governance</x:v>
      </x:c>
      <x:c r="C104" s="56" t="str">
        <x:v>READ_COMPLETE</x:v>
      </x:c>
      <x:c r="D104" s="56" t="str">
        <x:v>Full text and cross references</x:v>
      </x:c>
      <x:c r="E104" s="56" t="str">
        <x:v>01a6129a74a55a1a14c2c90591ba1c0ecd721bcc18d03d3b4b974f2943c81701</x:v>
      </x:c>
      <x:c r="F104" s="72" t="b">
        <x:v>1</x:v>
      </x:c>
    </x:row>
    <x:row r="105" ht="15" hidden="0" customHeight="1">
      <x:c r="A105" s="56" t="str">
        <x:v>07_Bao_mat_Van_hanh/04_OPERATIONS_SRE_AND_COST.md</x:v>
      </x:c>
      <x:c r="B105" s="56" t="str">
        <x:v>root integration and governance</x:v>
      </x:c>
      <x:c r="C105" s="56" t="str">
        <x:v>READ_COMPLETE</x:v>
      </x:c>
      <x:c r="D105" s="56" t="str">
        <x:v>Full text and cross references</x:v>
      </x:c>
      <x:c r="E105" s="56" t="str">
        <x:v>bb86a903164a9bcc3746ea0347500d09dffa466a9b96a66435c7afa010d40f0b</x:v>
      </x:c>
      <x:c r="F105" s="72" t="b">
        <x:v>1</x:v>
      </x:c>
    </x:row>
    <x:row r="106" ht="15" hidden="0" customHeight="1">
      <x:c r="A106" s="56" t="str">
        <x:v>07_Bao_mat_Van_hanh/05_VIETNAM_LEGAL_READINESS.md</x:v>
      </x:c>
      <x:c r="B106" s="56" t="str">
        <x:v>root integration and governance</x:v>
      </x:c>
      <x:c r="C106" s="56" t="str">
        <x:v>READ_COMPLETE</x:v>
      </x:c>
      <x:c r="D106" s="56" t="str">
        <x:v>Full text and cross references</x:v>
      </x:c>
      <x:c r="E106" s="56" t="str">
        <x:v>5a5d76267bfbd4f5bdcbaba40fac9d6332e75100485b354f8547d0b5637d0584</x:v>
      </x:c>
      <x:c r="F106" s="72" t="b">
        <x:v>1</x:v>
      </x:c>
    </x:row>
    <x:row r="107" ht="15" hidden="0" customHeight="1">
      <x:c r="A107" s="56" t="str">
        <x:v>07_Bao_mat_Van_hanh/06_RELEASE_GATES.md</x:v>
      </x:c>
      <x:c r="B107" s="56" t="str">
        <x:v>root integration and governance</x:v>
      </x:c>
      <x:c r="C107" s="56" t="str">
        <x:v>READ_COMPLETE</x:v>
      </x:c>
      <x:c r="D107" s="56" t="str">
        <x:v>Full text and cross references</x:v>
      </x:c>
      <x:c r="E107" s="56" t="str">
        <x:v>4e8177162ee36035b60c9f424501734eb8bccb73aba92172abcd5e74a15347a9</x:v>
      </x:c>
      <x:c r="F107" s="72" t="b">
        <x:v>1</x:v>
      </x:c>
    </x:row>
    <x:row r="108" ht="15" hidden="0" customHeight="1">
      <x:c r="A108" s="56" t="str">
        <x:v>07_Bao_mat_Van_hanh/CI_RELEASE_POLICY.md</x:v>
      </x:c>
      <x:c r="B108" s="56" t="str">
        <x:v>root integration and governance</x:v>
      </x:c>
      <x:c r="C108" s="56" t="str">
        <x:v>READ_COMPLETE</x:v>
      </x:c>
      <x:c r="D108" s="56" t="str">
        <x:v>Full text and cross references</x:v>
      </x:c>
      <x:c r="E108" s="56" t="str">
        <x:v>75ef8e61fb58a33f3e731c16a3d09c34ca272da51dd3f2382558c0cb598d9d2e</x:v>
      </x:c>
      <x:c r="F108" s="72" t="b">
        <x:v>1</x:v>
      </x:c>
    </x:row>
    <x:row r="109" ht="15" hidden="0" customHeight="1">
      <x:c r="A109" s="56" t="str">
        <x:v>07_Bao_mat_Van_hanh/P0_PACKET/00_SCOPE_AND_AUTHORITY.md</x:v>
      </x:c>
      <x:c r="B109" s="56" t="str">
        <x:v>root integration and governance</x:v>
      </x:c>
      <x:c r="C109" s="56" t="str">
        <x:v>READ_COMPLETE</x:v>
      </x:c>
      <x:c r="D109" s="56" t="str">
        <x:v>Full text and cross references</x:v>
      </x:c>
      <x:c r="E109" s="56" t="str">
        <x:v>847a0c2672253c16cd780ac2823781bc557317964caa1d2b1e463b688988a619</x:v>
      </x:c>
      <x:c r="F109" s="72" t="b">
        <x:v>1</x:v>
      </x:c>
    </x:row>
    <x:row r="110" ht="15" hidden="0" customHeight="1">
      <x:c r="A110" s="56" t="str">
        <x:v>07_Bao_mat_Van_hanh/P0_PACKET/01_EVIDENCE_BASELINE.json</x:v>
      </x:c>
      <x:c r="B110" s="56" t="str">
        <x:v>root integration and governance</x:v>
      </x:c>
      <x:c r="C110" s="56" t="str">
        <x:v>READ_COMPLETE</x:v>
      </x:c>
      <x:c r="D110" s="56" t="str">
        <x:v>Complete structured/text parse with record/reference inspection</x:v>
      </x:c>
      <x:c r="E110" s="56" t="str">
        <x:v>6e96a2a3fada4d8e0eea612a19e301a707e52b7da92c86f8b26adb34256a736a</x:v>
      </x:c>
      <x:c r="F110" s="72" t="b">
        <x:v>1</x:v>
      </x:c>
    </x:row>
    <x:row r="111" ht="15" hidden="0" customHeight="1">
      <x:c r="A111" s="56" t="str">
        <x:v>07_Bao_mat_Van_hanh/P0_PACKET/02_SURFACE_INVENTORY.csv</x:v>
      </x:c>
      <x:c r="B111" s="56" t="str">
        <x:v>root integration and governance</x:v>
      </x:c>
      <x:c r="C111" s="56" t="str">
        <x:v>READ_COMPLETE</x:v>
      </x:c>
      <x:c r="D111" s="56" t="str">
        <x:v>Complete structured/text parse with record/reference inspection</x:v>
      </x:c>
      <x:c r="E111" s="56" t="str">
        <x:v>8edff3cbdf8164179c6cf812ad948c51043c3b09bd32022f2445ad3bd84c052f</x:v>
      </x:c>
      <x:c r="F111" s="72" t="b">
        <x:v>1</x:v>
      </x:c>
    </x:row>
    <x:row r="112" ht="15" hidden="0" customHeight="1">
      <x:c r="A112" s="56" t="str">
        <x:v>07_Bao_mat_Van_hanh/P0_PACKET/03_PATCH_PLAN.csv</x:v>
      </x:c>
      <x:c r="B112" s="56" t="str">
        <x:v>root integration and governance</x:v>
      </x:c>
      <x:c r="C112" s="56" t="str">
        <x:v>READ_COMPLETE</x:v>
      </x:c>
      <x:c r="D112" s="56" t="str">
        <x:v>Complete structured/text parse with record/reference inspection</x:v>
      </x:c>
      <x:c r="E112" s="56" t="str">
        <x:v>dadfca301050bd0a6bff3bd9b92b3e8f4a3af78543e611ea5235ef5c2805b988</x:v>
      </x:c>
      <x:c r="F112" s="72" t="b">
        <x:v>1</x:v>
      </x:c>
    </x:row>
    <x:row r="113" ht="15" hidden="0" customHeight="1">
      <x:c r="A113" s="56" t="str">
        <x:v>07_Bao_mat_Van_hanh/P0_PACKET/04_NEGATIVE_TEST_MATRIX.csv</x:v>
      </x:c>
      <x:c r="B113" s="56" t="str">
        <x:v>root integration and governance</x:v>
      </x:c>
      <x:c r="C113" s="56" t="str">
        <x:v>READ_COMPLETE</x:v>
      </x:c>
      <x:c r="D113" s="56" t="str">
        <x:v>Complete structured/text parse with record/reference inspection</x:v>
      </x:c>
      <x:c r="E113" s="56" t="str">
        <x:v>8f0f8daf5f4b530c18b64b831908458eea14016646a6ff2cd8f187058ce50366</x:v>
      </x:c>
      <x:c r="F113" s="72" t="b">
        <x:v>1</x:v>
      </x:c>
    </x:row>
    <x:row r="114" ht="15" hidden="0" customHeight="1">
      <x:c r="A114" s="56" t="str">
        <x:v>07_Bao_mat_Van_hanh/P0_PACKET/05_DEPLOYMENT_AND_ROLLBACK.md</x:v>
      </x:c>
      <x:c r="B114" s="56" t="str">
        <x:v>root integration and governance</x:v>
      </x:c>
      <x:c r="C114" s="56" t="str">
        <x:v>READ_COMPLETE</x:v>
      </x:c>
      <x:c r="D114" s="56" t="str">
        <x:v>Full text and cross references</x:v>
      </x:c>
      <x:c r="E114" s="56" t="str">
        <x:v>6edc53df1463e302027450f3eece2c03f35a20a8fe363ca66aa8b8ebfd1a6bee</x:v>
      </x:c>
      <x:c r="F114" s="72" t="b">
        <x:v>1</x:v>
      </x:c>
    </x:row>
    <x:row r="115" ht="15" hidden="0" customHeight="1">
      <x:c r="A115" s="56" t="str">
        <x:v>07_Bao_mat_Van_hanh/P0_PACKET/06_LEGACY_AND_INCIDENT_TRIAGE.md</x:v>
      </x:c>
      <x:c r="B115" s="56" t="str">
        <x:v>root integration and governance</x:v>
      </x:c>
      <x:c r="C115" s="56" t="str">
        <x:v>READ_COMPLETE</x:v>
      </x:c>
      <x:c r="D115" s="56" t="str">
        <x:v>Full text and cross references</x:v>
      </x:c>
      <x:c r="E115" s="56" t="str">
        <x:v>afc2fe222c8fe85d3f4085800e80f38e420535e2de13a115709fb0863d715e48</x:v>
      </x:c>
      <x:c r="F115" s="72" t="b">
        <x:v>1</x:v>
      </x:c>
    </x:row>
    <x:row r="116" ht="15" hidden="0" customHeight="1">
      <x:c r="A116" s="56" t="str">
        <x:v>07_Bao_mat_Van_hanh/P0_PACKET/07_EXIT_REVIEW.json</x:v>
      </x:c>
      <x:c r="B116" s="56" t="str">
        <x:v>root integration and governance</x:v>
      </x:c>
      <x:c r="C116" s="56" t="str">
        <x:v>READ_COMPLETE</x:v>
      </x:c>
      <x:c r="D116" s="56" t="str">
        <x:v>Complete structured/text parse with record/reference inspection</x:v>
      </x:c>
      <x:c r="E116" s="56" t="str">
        <x:v>06d6bfe2e57fbcdbe124f2b24274316c48adc22c6974b9752f0261690d85f630</x:v>
      </x:c>
      <x:c r="F116" s="72" t="b">
        <x:v>1</x:v>
      </x:c>
    </x:row>
    <x:row r="117" ht="15" hidden="0" customHeight="1">
      <x:c r="A117" s="56" t="str">
        <x:v>07_Bao_mat_Van_hanh/RETENTION_SCHEDULE_PROPOSED.json</x:v>
      </x:c>
      <x:c r="B117" s="56" t="str">
        <x:v>root integration and governance</x:v>
      </x:c>
      <x:c r="C117" s="56" t="str">
        <x:v>READ_COMPLETE</x:v>
      </x:c>
      <x:c r="D117" s="56" t="str">
        <x:v>Complete structured/text parse with record/reference inspection</x:v>
      </x:c>
      <x:c r="E117" s="56" t="str">
        <x:v>befa643e00eabf4b8b4befd992419ca57173a1ed632a6a34ce7612cef39d50b1</x:v>
      </x:c>
      <x:c r="F117" s="72" t="b">
        <x:v>1</x:v>
      </x:c>
    </x:row>
    <x:row r="118" ht="15" hidden="0" customHeight="1">
      <x:c r="A118" s="56" t="str">
        <x:v>08_Thuc_thi_Kinh_doanh/01_INTERNATIONAL_AND_FRANCHISE.md</x:v>
      </x:c>
      <x:c r="B118" s="56" t="str">
        <x:v>product_frontend_ai_business</x:v>
      </x:c>
      <x:c r="C118" s="56" t="str">
        <x:v>READ_COMPLETE</x:v>
      </x:c>
      <x:c r="D118" s="56" t="str">
        <x:v>Full text and cross references</x:v>
      </x:c>
      <x:c r="E118" s="56" t="str">
        <x:v>cebe3f5d851276f8a4df9dd6fe9b29cbb63f8b1d0d9976d2e9bb8643fb91b62a</x:v>
      </x:c>
      <x:c r="F118" s="72" t="b">
        <x:v>1</x:v>
      </x:c>
    </x:row>
    <x:row r="119" ht="15" hidden="0" customHeight="1">
      <x:c r="A119" s="56" t="str">
        <x:v>08_Thuc_thi_Kinh_doanh/02_COMMERCIAL_MODEL_AND_UNIT_ECONOMICS.md</x:v>
      </x:c>
      <x:c r="B119" s="56" t="str">
        <x:v>product_frontend_ai_business</x:v>
      </x:c>
      <x:c r="C119" s="56" t="str">
        <x:v>READ_COMPLETE</x:v>
      </x:c>
      <x:c r="D119" s="56" t="str">
        <x:v>Full text and cross references</x:v>
      </x:c>
      <x:c r="E119" s="56" t="str">
        <x:v>cc3bb1d2a278770968134dc8957cfc9a060b754379181b413e6328b801b36e04</x:v>
      </x:c>
      <x:c r="F119" s="72" t="b">
        <x:v>1</x:v>
      </x:c>
    </x:row>
    <x:row r="120" ht="15" hidden="0" customHeight="1">
      <x:c r="A120" s="56" t="str">
        <x:v>08_Thuc_thi_Kinh_doanh/03_ROADMAP_AND_RACI.md</x:v>
      </x:c>
      <x:c r="B120" s="56" t="str">
        <x:v>product_frontend_ai_business</x:v>
      </x:c>
      <x:c r="C120" s="56" t="str">
        <x:v>READ_COMPLETE</x:v>
      </x:c>
      <x:c r="D120" s="56" t="str">
        <x:v>Full text and cross references</x:v>
      </x:c>
      <x:c r="E120" s="56" t="str">
        <x:v>f57baf61fbdd860d8a40d80bec8e3232d84a8bc3d40454d4c11935923d1ac313</x:v>
      </x:c>
      <x:c r="F120" s="72" t="b">
        <x:v>1</x:v>
      </x:c>
    </x:row>
    <x:row r="121" ht="15" hidden="0" customHeight="1">
      <x:c r="A121" s="56" t="str">
        <x:v>08_Thuc_thi_Kinh_doanh/04_FOUNDER_DECISIONS.md</x:v>
      </x:c>
      <x:c r="B121" s="56" t="str">
        <x:v>product_frontend_ai_business</x:v>
      </x:c>
      <x:c r="C121" s="56" t="str">
        <x:v>READ_COMPLETE</x:v>
      </x:c>
      <x:c r="D121" s="56" t="str">
        <x:v>Full text and cross references</x:v>
      </x:c>
      <x:c r="E121" s="56" t="str">
        <x:v>97b5d81fde84e939461518576ac5cfae631a12c1b0c06d40550253ccf6bbb775</x:v>
      </x:c>
      <x:c r="F121" s="72" t="b">
        <x:v>1</x:v>
      </x:c>
    </x:row>
    <x:row r="122" ht="15" hidden="0" customHeight="1">
      <x:c r="A122" s="56" t="str">
        <x:v>08_Thuc_thi_Kinh_doanh/05_AI_DEV_HANDOVER_PROTOCOL.md</x:v>
      </x:c>
      <x:c r="B122" s="56" t="str">
        <x:v>product_frontend_ai_business</x:v>
      </x:c>
      <x:c r="C122" s="56" t="str">
        <x:v>READ_COMPLETE</x:v>
      </x:c>
      <x:c r="D122" s="56" t="str">
        <x:v>Full text and cross references</x:v>
      </x:c>
      <x:c r="E122" s="56" t="str">
        <x:v>9a6294da270816d98f8e9c787af2814a8deefc263bca209552009dcfea2fdeb3</x:v>
      </x:c>
      <x:c r="F122" s="72" t="b">
        <x:v>1</x:v>
      </x:c>
    </x:row>
    <x:row r="123" ht="15" hidden="0" customHeight="1">
      <x:c r="A123" s="56" t="str">
        <x:v>08_Thuc_thi_Kinh_doanh/COUNTRY_PACKS.json</x:v>
      </x:c>
      <x:c r="B123" s="56" t="str">
        <x:v>product_frontend_ai_business</x:v>
      </x:c>
      <x:c r="C123" s="56" t="str">
        <x:v>READ_COMPLETE</x:v>
      </x:c>
      <x:c r="D123" s="56" t="str">
        <x:v>Complete structured/text parse with record/reference inspection</x:v>
      </x:c>
      <x:c r="E123" s="56" t="str">
        <x:v>a3225049c50246f5e446f0e8960cdea3a04bbe6d7e325c9d46606145b5feb766</x:v>
      </x:c>
      <x:c r="F123" s="72" t="b">
        <x:v>1</x:v>
      </x:c>
    </x:row>
    <x:row r="124" ht="15" hidden="0" customHeight="1">
      <x:c r="A124" s="56" t="str">
        <x:v>08_Thuc_thi_Kinh_doanh/DECISION_REGISTER.csv</x:v>
      </x:c>
      <x:c r="B124" s="56" t="str">
        <x:v>product_frontend_ai_business</x:v>
      </x:c>
      <x:c r="C124" s="56" t="str">
        <x:v>READ_COMPLETE</x:v>
      </x:c>
      <x:c r="D124" s="56" t="str">
        <x:v>Complete structured/text parse with record/reference inspection</x:v>
      </x:c>
      <x:c r="E124" s="56" t="str">
        <x:v>d009db808f785adb43d089f05318f92f47865713b350d5320838384e6566cb9e</x:v>
      </x:c>
      <x:c r="F124" s="72" t="b">
        <x:v>1</x:v>
      </x:c>
    </x:row>
    <x:row r="125" ht="15" hidden="0" customHeight="1">
      <x:c r="A125" s="56" t="str">
        <x:v>08_Thuc_thi_Kinh_doanh/DECISION_REGISTER.json</x:v>
      </x:c>
      <x:c r="B125" s="56" t="str">
        <x:v>product_frontend_ai_business</x:v>
      </x:c>
      <x:c r="C125" s="56" t="str">
        <x:v>READ_COMPLETE</x:v>
      </x:c>
      <x:c r="D125" s="56" t="str">
        <x:v>Complete structured/text parse with record/reference inspection</x:v>
      </x:c>
      <x:c r="E125" s="56" t="str">
        <x:v>05611a2ef112466a90b365a35900b1f20a51dcd10e808c60c88a22868808d2a4</x:v>
      </x:c>
      <x:c r="F125" s="72" t="b">
        <x:v>1</x:v>
      </x:c>
    </x:row>
    <x:row r="126" ht="15" hidden="0" customHeight="1">
      <x:c r="A126" s="56" t="str">
        <x:v>08_Thuc_thi_Kinh_doanh/EXECUTION_BACKLOG.csv</x:v>
      </x:c>
      <x:c r="B126" s="56" t="str">
        <x:v>product_frontend_ai_business</x:v>
      </x:c>
      <x:c r="C126" s="56" t="str">
        <x:v>READ_COMPLETE</x:v>
      </x:c>
      <x:c r="D126" s="56" t="str">
        <x:v>Complete structured/text parse with record/reference inspection</x:v>
      </x:c>
      <x:c r="E126" s="56" t="str">
        <x:v>ae96706951d6bd3e11029a8270313d3528dce4a356478e864b918e67686fc59d</x:v>
      </x:c>
      <x:c r="F126" s="72" t="b">
        <x:v>1</x:v>
      </x:c>
    </x:row>
    <x:row r="127" ht="15" hidden="0" customHeight="1">
      <x:c r="A127" s="56" t="str">
        <x:v>08_Thuc_thi_Kinh_doanh/EXECUTION_BACKLOG.json</x:v>
      </x:c>
      <x:c r="B127" s="56" t="str">
        <x:v>product_frontend_ai_business</x:v>
      </x:c>
      <x:c r="C127" s="56" t="str">
        <x:v>READ_COMPLETE</x:v>
      </x:c>
      <x:c r="D127" s="56" t="str">
        <x:v>Complete structured/text parse with record/reference inspection</x:v>
      </x:c>
      <x:c r="E127" s="56" t="str">
        <x:v>0c9937c8e6e1e30c1b17f18a18aa5a50164b33f6484b9a2db6f7ad9dbbe87386</x:v>
      </x:c>
      <x:c r="F127" s="72" t="b">
        <x:v>1</x:v>
      </x:c>
    </x:row>
    <x:row r="128" ht="15" hidden="0" customHeight="1">
      <x:c r="A128" s="56" t="str">
        <x:v>08_Thuc_thi_Kinh_doanh/RELEASE_GATES.csv</x:v>
      </x:c>
      <x:c r="B128" s="56" t="str">
        <x:v>product_frontend_ai_business</x:v>
      </x:c>
      <x:c r="C128" s="56" t="str">
        <x:v>READ_COMPLETE</x:v>
      </x:c>
      <x:c r="D128" s="56" t="str">
        <x:v>Complete structured/text parse with record/reference inspection</x:v>
      </x:c>
      <x:c r="E128" s="56" t="str">
        <x:v>3e3edc8ded587937235b40ed6a40fa18f3d7aeb6acdb836ca7212869281c539a</x:v>
      </x:c>
      <x:c r="F128" s="72" t="b">
        <x:v>1</x:v>
      </x:c>
    </x:row>
    <x:row r="129" ht="15" hidden="0" customHeight="1">
      <x:c r="A129" s="56" t="str">
        <x:v>08_Thuc_thi_Kinh_doanh/RELEASE_GATES.json</x:v>
      </x:c>
      <x:c r="B129" s="56" t="str">
        <x:v>product_frontend_ai_business</x:v>
      </x:c>
      <x:c r="C129" s="56" t="str">
        <x:v>READ_COMPLETE</x:v>
      </x:c>
      <x:c r="D129" s="56" t="str">
        <x:v>Complete structured/text parse with record/reference inspection</x:v>
      </x:c>
      <x:c r="E129" s="56" t="str">
        <x:v>573558e993f91664e27ed70449f08ecefced7c43c6390bd4830f237522db6681</x:v>
      </x:c>
      <x:c r="F129" s="72" t="b">
        <x:v>1</x:v>
      </x:c>
    </x:row>
    <x:row r="130" ht="15" hidden="0" customHeight="1">
      <x:c r="A130" s="56" t="str">
        <x:v>09_Doi_chieu_Bang_chung/01_CURRENT_STATE_AUDIT.md</x:v>
      </x:c>
      <x:c r="B130" s="56" t="str">
        <x:v>root integration and governance</x:v>
      </x:c>
      <x:c r="C130" s="56" t="str">
        <x:v>READ_COMPLETE</x:v>
      </x:c>
      <x:c r="D130" s="56" t="str">
        <x:v>Full text and cross references</x:v>
      </x:c>
      <x:c r="E130" s="56" t="str">
        <x:v>706618934753f8967269b8353bd413b3682ba0182dcff9abc5964e4096c309aa</x:v>
      </x:c>
      <x:c r="F130" s="72" t="b">
        <x:v>1</x:v>
      </x:c>
    </x:row>
    <x:row r="131" ht="15" hidden="0" customHeight="1">
      <x:c r="A131" s="56" t="str">
        <x:v>09_Doi_chieu_Bang_chung/BASELINE_LOCK.json</x:v>
      </x:c>
      <x:c r="B131" s="56" t="str">
        <x:v>root integration and governance</x:v>
      </x:c>
      <x:c r="C131" s="56" t="str">
        <x:v>READ_COMPLETE</x:v>
      </x:c>
      <x:c r="D131" s="56" t="str">
        <x:v>Complete structured/text parse with record/reference inspection</x:v>
      </x:c>
      <x:c r="E131" s="56" t="str">
        <x:v>9522da263e060dfa29c032eb5aba9851fe6039fb1b3cd35bc3ad4fa4a2dd466f</x:v>
      </x:c>
      <x:c r="F131" s="72" t="b">
        <x:v>1</x:v>
      </x:c>
    </x:row>
    <x:row r="132" ht="15" hidden="0" customHeight="1">
      <x:c r="A132" s="56" t="str">
        <x:v>09_Doi_chieu_Bang_chung/EVIDENCE_LEDGER.csv</x:v>
      </x:c>
      <x:c r="B132" s="56" t="str">
        <x:v>root integration and governance</x:v>
      </x:c>
      <x:c r="C132" s="56" t="str">
        <x:v>READ_COMPLETE</x:v>
      </x:c>
      <x:c r="D132" s="56" t="str">
        <x:v>Complete structured/text parse with record/reference inspection</x:v>
      </x:c>
      <x:c r="E132" s="56" t="str">
        <x:v>bd4276e9561641ebb33aaaee8d23422f35c744ea2612fbf38b9fa489b82b6cdf</x:v>
      </x:c>
      <x:c r="F132" s="72" t="b">
        <x:v>1</x:v>
      </x:c>
    </x:row>
    <x:row r="133" ht="15" hidden="0" customHeight="1">
      <x:c r="A133" s="56" t="str">
        <x:v>09_Doi_chieu_Bang_chung/EVIDENCE_LEDGER.json</x:v>
      </x:c>
      <x:c r="B133" s="56" t="str">
        <x:v>root integration and governance</x:v>
      </x:c>
      <x:c r="C133" s="56" t="str">
        <x:v>READ_COMPLETE</x:v>
      </x:c>
      <x:c r="D133" s="56" t="str">
        <x:v>Complete structured/text parse with record/reference inspection</x:v>
      </x:c>
      <x:c r="E133" s="56" t="str">
        <x:v>6ee8093a7156c98fceaf72f6e39061e726a8bd6e7cf64045108147cf2a51affc</x:v>
      </x:c>
      <x:c r="F133" s="72" t="b">
        <x:v>1</x:v>
      </x:c>
    </x:row>
    <x:row r="134" ht="15" hidden="0" customHeight="1">
      <x:c r="A134" s="56" t="str">
        <x:v>09_Doi_chieu_Bang_chung/SOURCE_REGISTRY.csv</x:v>
      </x:c>
      <x:c r="B134" s="56" t="str">
        <x:v>root integration and governance</x:v>
      </x:c>
      <x:c r="C134" s="56" t="str">
        <x:v>READ_COMPLETE</x:v>
      </x:c>
      <x:c r="D134" s="56" t="str">
        <x:v>Complete structured/text parse with record/reference inspection</x:v>
      </x:c>
      <x:c r="E134" s="56" t="str">
        <x:v>5d3cb3de8fe8aa1f081f01d74ac506202f19c208048cf3d46ff31f96d8fa7fde</x:v>
      </x:c>
      <x:c r="F134" s="72" t="b">
        <x:v>1</x:v>
      </x:c>
    </x:row>
    <x:row r="135" ht="15" hidden="0" customHeight="1">
      <x:c r="A135" s="56" t="str">
        <x:v>09_Doi_chieu_Bang_chung/SOURCE_REGISTRY.json</x:v>
      </x:c>
      <x:c r="B135" s="56" t="str">
        <x:v>root integration and governance</x:v>
      </x:c>
      <x:c r="C135" s="56" t="str">
        <x:v>READ_COMPLETE</x:v>
      </x:c>
      <x:c r="D135" s="56" t="str">
        <x:v>Complete structured/text parse with record/reference inspection</x:v>
      </x:c>
      <x:c r="E135" s="56" t="str">
        <x:v>59760243821bfbfb84fda22729621e04118d1d8109077d9454afb83c96838c4a</x:v>
      </x:c>
      <x:c r="F135" s="72" t="b">
        <x:v>1</x:v>
      </x:c>
    </x:row>
    <x:row r="136" ht="15" hidden="0" customHeight="1">
      <x:c r="A136" s="56" t="str">
        <x:v>09_Doi_chieu_Bang_chung/SOURCE_TO_TARGET_MATRIX.csv</x:v>
      </x:c>
      <x:c r="B136" s="56" t="str">
        <x:v>root integration and governance</x:v>
      </x:c>
      <x:c r="C136" s="56" t="str">
        <x:v>READ_COMPLETE</x:v>
      </x:c>
      <x:c r="D136" s="56" t="str">
        <x:v>Complete structured/text parse with record/reference inspection</x:v>
      </x:c>
      <x:c r="E136" s="56" t="str">
        <x:v>716a17c9e4cfb0b8fe3c272973ac62bf5b0c7a96121c599e9049ad6eeb81330f</x:v>
      </x:c>
      <x:c r="F136" s="72" t="b">
        <x:v>1</x:v>
      </x:c>
    </x:row>
    <x:row r="137" ht="15" hidden="0" customHeight="1">
      <x:c r="A137" s="56" t="str">
        <x:v>09_Doi_chieu_Bang_chung/SOURCE_TO_TARGET_MATRIX.json</x:v>
      </x:c>
      <x:c r="B137" s="56" t="str">
        <x:v>root integration and governance</x:v>
      </x:c>
      <x:c r="C137" s="56" t="str">
        <x:v>READ_COMPLETE</x:v>
      </x:c>
      <x:c r="D137" s="56" t="str">
        <x:v>Complete structured/text parse with record/reference inspection</x:v>
      </x:c>
      <x:c r="E137" s="56" t="str">
        <x:v>9bae124c90a608c3fc9e45cf4b0a910f09202aaa87629447b960ee72d3ab9321</x:v>
      </x:c>
      <x:c r="F137" s="72" t="b">
        <x:v>1</x:v>
      </x:c>
    </x:row>
    <x:row r="138" ht="15" hidden="0" customHeight="1">
      <x:c r="A138" s="56" t="str">
        <x:v>10_Ma_tham_chieu_Kiem_thu/README.md</x:v>
      </x:c>
      <x:c r="B138" s="56" t="str">
        <x:v>/root/code_claims</x:v>
      </x:c>
      <x:c r="C138" s="56" t="str">
        <x:v>READ_COMPLETE</x:v>
      </x:c>
      <x:c r="D138" s="56" t="str">
        <x:v>Full text and cross references</x:v>
      </x:c>
      <x:c r="E138" s="56" t="str">
        <x:v>2336c8c8837e567aa8af025e26b2ce35b8d77e07075ed77aa83d26fa0d5e03fa</x:v>
      </x:c>
      <x:c r="F138" s="72" t="b">
        <x:v>1</x:v>
      </x:c>
    </x:row>
    <x:row r="139" ht="15" hidden="0" customHeight="1">
      <x:c r="A139" s="56" t="str">
        <x:v>10_Ma_tham_chieu_Kiem_thu/data/tail80_table.json</x:v>
      </x:c>
      <x:c r="B139" s="56" t="str">
        <x:v>/root/code_claims</x:v>
      </x:c>
      <x:c r="C139" s="56" t="str">
        <x:v>READ_COMPLETE</x:v>
      </x:c>
      <x:c r="D139" s="56" t="str">
        <x:v>Complete structured/text parse with record/reference inspection</x:v>
      </x:c>
      <x:c r="E139" s="56" t="str">
        <x:v>1c5157653ee549532093c7800ff60bb9077ae6f9407fa478ec0ad3afe39266e8</x:v>
      </x:c>
      <x:c r="F139" s="72" t="b">
        <x:v>1</x:v>
      </x:c>
    </x:row>
    <x:row r="140" ht="15" hidden="0" customHeight="1">
      <x:c r="A140" s="56" t="str">
        <x:v>10_Ma_tham_chieu_Kiem_thu/package.json</x:v>
      </x:c>
      <x:c r="B140" s="56" t="str">
        <x:v>/root/code_claims</x:v>
      </x:c>
      <x:c r="C140" s="56" t="str">
        <x:v>READ_COMPLETE</x:v>
      </x:c>
      <x:c r="D140" s="56" t="str">
        <x:v>Complete structured/text parse with record/reference inspection</x:v>
      </x:c>
      <x:c r="E140" s="56" t="str">
        <x:v>3409425cc3ef9fd98d8f58ed8da5130e9203f98c181d0cd7aef79c759a827b23</x:v>
      </x:c>
      <x:c r="F140" s="72" t="b">
        <x:v>1</x:v>
      </x:c>
    </x:row>
    <x:row r="141" ht="15" hidden="0" customHeight="1">
      <x:c r="A141" s="56" t="str">
        <x:v>10_Ma_tham_chieu_Kiem_thu/src/numbers.mjs</x:v>
      </x:c>
      <x:c r="B141" s="56" t="str">
        <x:v>/root/code_claims</x:v>
      </x:c>
      <x:c r="C141" s="56" t="str">
        <x:v>READ_COMPLETE</x:v>
      </x:c>
      <x:c r="D141" s="56" t="str">
        <x:v>Complete structured/text parse with record/reference inspection</x:v>
      </x:c>
      <x:c r="E141" s="56" t="str">
        <x:v>5974178a9095e1e5ab976b84ac6c160aa55004ab2acce2a8992bde5354ec3224</x:v>
      </x:c>
      <x:c r="F141" s="72" t="b">
        <x:v>1</x:v>
      </x:c>
    </x:row>
    <x:row r="142" ht="15" hidden="0" customHeight="1">
      <x:c r="A142" s="56" t="str">
        <x:v>10_Ma_tham_chieu_Kiem_thu/src/policies.mjs</x:v>
      </x:c>
      <x:c r="B142" s="56" t="str">
        <x:v>/root/code_claims</x:v>
      </x:c>
      <x:c r="C142" s="56" t="str">
        <x:v>READ_COMPLETE</x:v>
      </x:c>
      <x:c r="D142" s="56" t="str">
        <x:v>Complete structured/text parse with record/reference inspection</x:v>
      </x:c>
      <x:c r="E142" s="56" t="str">
        <x:v>58e0f3c4333d69a8d4a70dd17f2b02195366c9f2efeea115020a25aaa6daa972</x:v>
      </x:c>
      <x:c r="F142" s="72" t="b">
        <x:v>1</x:v>
      </x:c>
    </x:row>
    <x:row r="143" ht="15" hidden="0" customHeight="1">
      <x:c r="A143" s="56" t="str">
        <x:v>10_Ma_tham_chieu_Kiem_thu/test-results.tap</x:v>
      </x:c>
      <x:c r="B143" s="56" t="str">
        <x:v>/root/code_claims</x:v>
      </x:c>
      <x:c r="C143" s="56" t="str">
        <x:v>READ_COMPLETE</x:v>
      </x:c>
      <x:c r="D143" s="56" t="str">
        <x:v>Complete structured/text parse with record/reference inspection</x:v>
      </x:c>
      <x:c r="E143" s="56" t="str">
        <x:v>b09c6b32ff323edf62cc103da0f72f78254514e67b8bedaf1cb27d4f4c9e738f</x:v>
      </x:c>
      <x:c r="F143" s="72" t="b">
        <x:v>1</x:v>
      </x:c>
    </x:row>
    <x:row r="144" ht="15" hidden="0" customHeight="1">
      <x:c r="A144" s="56" t="str">
        <x:v>10_Ma_tham_chieu_Kiem_thu/tests/reference.test.mjs</x:v>
      </x:c>
      <x:c r="B144" s="56" t="str">
        <x:v>/root/code_claims</x:v>
      </x:c>
      <x:c r="C144" s="56" t="str">
        <x:v>READ_COMPLETE</x:v>
      </x:c>
      <x:c r="D144" s="56" t="str">
        <x:v>Complete structured/text parse with record/reference inspection</x:v>
      </x:c>
      <x:c r="E144" s="56" t="str">
        <x:v>70f38450c69edd9c88d17357c71ec5ebeb7e2b9dcdb9711ea4e6dfc1ac7e8e34</x:v>
      </x:c>
      <x:c r="F144" s="72" t="b">
        <x:v>1</x:v>
      </x:c>
    </x:row>
    <x:row r="145" ht="15" hidden="0" customHeight="1">
      <x:c r="A145" s="56" t="str">
        <x:v>10_Ma_tham_chieu_Kiem_thu/tools/collect_public_evidence.py</x:v>
      </x:c>
      <x:c r="B145" s="56" t="str">
        <x:v>/root/code_claims</x:v>
      </x:c>
      <x:c r="C145" s="56" t="str">
        <x:v>READ_COMPLETE</x:v>
      </x:c>
      <x:c r="D145" s="56" t="str">
        <x:v>Complete structured/text parse with record/reference inspection</x:v>
      </x:c>
      <x:c r="E145" s="56" t="str">
        <x:v>18305a2311dcec37c7f97e4414fbe6b07994d03a72a4cb6b55391d20c40365e7</x:v>
      </x:c>
      <x:c r="F145" s="72" t="b">
        <x:v>1</x:v>
      </x:c>
    </x:row>
    <x:row r="146" ht="15" hidden="0" customHeight="1">
      <x:c r="A146" s="56" t="str">
        <x:v>FILE_CATALOG.csv</x:v>
      </x:c>
      <x:c r="B146" s="56" t="str">
        <x:v>root integration and governance</x:v>
      </x:c>
      <x:c r="C146" s="56" t="str">
        <x:v>READ_COMPLETE</x:v>
      </x:c>
      <x:c r="D146" s="56" t="str">
        <x:v>Complete structured/text parse with record/reference inspection</x:v>
      </x:c>
      <x:c r="E146" s="56" t="str">
        <x:v>d751196e0f9fd7d682b9293e9dc176379f0ee3473fdc2a699fa232c5a9ebaed5</x:v>
      </x:c>
      <x:c r="F146" s="72" t="b">
        <x:v>1</x:v>
      </x:c>
    </x:row>
    <x:row r="147" ht="15" hidden="0" customHeight="1">
      <x:c r="A147" s="56" t="str">
        <x:v>FILE_CATALOG.json</x:v>
      </x:c>
      <x:c r="B147" s="56" t="str">
        <x:v>root integration and governance</x:v>
      </x:c>
      <x:c r="C147" s="56" t="str">
        <x:v>READ_COMPLETE</x:v>
      </x:c>
      <x:c r="D147" s="56" t="str">
        <x:v>Complete structured/text parse with record/reference inspection</x:v>
      </x:c>
      <x:c r="E147" s="56" t="str">
        <x:v>ebb4fa85fb4d5559c99d37b5adc0c663368726d9cccf82f7d4a5c70b39d8bf81</x:v>
      </x:c>
      <x:c r="F147" s="72" t="b">
        <x:v>1</x:v>
      </x:c>
    </x:row>
    <x:row r="148" ht="15" hidden="0" customHeight="1">
      <x:c r="A148" s="56" t="str">
        <x:v>INDEX.html</x:v>
      </x:c>
      <x:c r="B148" s="56" t="str">
        <x:v>root integration and governance</x:v>
      </x:c>
      <x:c r="C148" s="56" t="str">
        <x:v>READ_COMPLETE</x:v>
      </x:c>
      <x:c r="D148" s="56" t="str">
        <x:v>Complete structured/text parse with record/reference inspection</x:v>
      </x:c>
      <x:c r="E148" s="56" t="str">
        <x:v>f6083978ab93ec5210f33e7e2a4dea035b1c5aadb23debea5aaccc55c9da3b3d</x:v>
      </x:c>
      <x:c r="F148" s="72" t="b">
        <x:v>1</x:v>
      </x:c>
    </x:row>
    <x:row r="149" ht="15" hidden="0" customHeight="1">
      <x:c r="A149" s="56" t="str">
        <x:v>MANIFEST.json</x:v>
      </x:c>
      <x:c r="B149" s="56" t="str">
        <x:v>root integration and governance</x:v>
      </x:c>
      <x:c r="C149" s="56" t="str">
        <x:v>READ_COMPLETE</x:v>
      </x:c>
      <x:c r="D149" s="56" t="str">
        <x:v>Complete structured/text parse with record/reference inspection</x:v>
      </x:c>
      <x:c r="E149" s="56" t="str">
        <x:v>b06423786b796fd3b1f80bb90b815e2fe455e2385a2f1212651476c41e6cea44</x:v>
      </x:c>
      <x:c r="F149" s="72" t="b">
        <x:v>1</x:v>
      </x:c>
    </x:row>
    <x:row r="150" ht="15" hidden="0" customHeight="1">
      <x:c r="A150" s="56" t="str">
        <x:v>README.md</x:v>
      </x:c>
      <x:c r="B150" s="56" t="str">
        <x:v>root integration and governance</x:v>
      </x:c>
      <x:c r="C150" s="56" t="str">
        <x:v>READ_COMPLETE</x:v>
      </x:c>
      <x:c r="D150" s="56" t="str">
        <x:v>Full text and cross references</x:v>
      </x:c>
      <x:c r="E150" s="56" t="str">
        <x:v>6c582337ff4a1626836c88c17a9022b591fa4a1992a75834877c74ec1cedaa05</x:v>
      </x:c>
      <x:c r="F150" s="72" t="b">
        <x:v>1</x:v>
      </x:c>
    </x:row>
    <x:row r="151" ht="15" hidden="0" customHeight="1">
      <x:c r="A151" s="56" t="str">
        <x:v>REFERENCE_USE_AND_RIGHTS.md</x:v>
      </x:c>
      <x:c r="B151" s="56" t="str">
        <x:v>root integration and governance</x:v>
      </x:c>
      <x:c r="C151" s="56" t="str">
        <x:v>READ_COMPLETE</x:v>
      </x:c>
      <x:c r="D151" s="56" t="str">
        <x:v>Full text and cross references</x:v>
      </x:c>
      <x:c r="E151" s="56" t="str">
        <x:v>2768e16326597f9adf25859d3f1ee92150fd69ddab49a22442f04c30f9773a8f</x:v>
      </x:c>
      <x:c r="F151" s="72" t="b">
        <x:v>1</x:v>
      </x:c>
    </x:row>
    <x:row r="152" ht="15" hidden="0" customHeight="1">
      <x:c r="A152" s="56" t="str">
        <x:v>VERIFY_PACKAGE.py</x:v>
      </x:c>
      <x:c r="B152" s="56" t="str">
        <x:v>root integration and governance</x:v>
      </x:c>
      <x:c r="C152" s="56" t="str">
        <x:v>READ_COMPLETE</x:v>
      </x:c>
      <x:c r="D152" s="56" t="str">
        <x:v>Complete structured/text parse with record/reference inspection</x:v>
      </x:c>
      <x:c r="E152" s="56" t="str">
        <x:v>151f593a8b599ac0b94ea7c5e39396457336a673b44ee5751e417f325256c47c</x:v>
      </x:c>
      <x:c r="F152" s="72" t="b">
        <x:v>1</x:v>
      </x:c>
    </x:row>
    <x:row r="153" ht="15" hidden="0" customHeight="1">
      <x:c r="A153" s="56" t="str">
        <x:v>manifest.txt</x:v>
      </x:c>
      <x:c r="B153" s="56" t="str">
        <x:v>root integration and governance</x:v>
      </x:c>
      <x:c r="C153" s="56" t="str">
        <x:v>READ_COMPLETE</x:v>
      </x:c>
      <x:c r="D153" s="56" t="str">
        <x:v>Complete structured/text parse with record/reference inspection</x:v>
      </x:c>
      <x:c r="E153" s="56" t="str">
        <x:v>a17ecfb14c912c7f271abe49104664b77a4ad60ea1b6a2a9e513f79e6363b055</x:v>
      </x:c>
      <x:c r="F153" s="72" t="b">
        <x:v>1</x:v>
      </x:c>
    </x:row>
    <x:row r="154" ht="15" hidden="0" customHeight="1">
      <x:c r="A154" s="70"/>
      <x:c r="B154" s="70"/>
      <x:c r="C154" s="70"/>
      <x:c r="D154" s="70"/>
      <x:c r="E154" s="70"/>
      <x:c r="F154" s="70"/>
    </x:row>
    <x:row r="155" ht="15" hidden="0" customHeight="1">
      <x:c r="A155" s="70"/>
      <x:c r="B155" s="70"/>
      <x:c r="C155" s="70"/>
      <x:c r="D155" s="70"/>
      <x:c r="E155" s="70"/>
      <x:c r="F155" s="70"/>
    </x:row>
    <x:row r="156" ht="15" hidden="0" customHeight="1">
      <x:c r="A156" s="70"/>
      <x:c r="B156" s="70"/>
      <x:c r="C156" s="70"/>
      <x:c r="D156" s="70"/>
      <x:c r="E156" s="70"/>
      <x:c r="F156" s="70"/>
    </x:row>
    <x:row r="157" ht="15" hidden="0" customHeight="1">
      <x:c r="A157" s="70"/>
      <x:c r="B157" s="70"/>
      <x:c r="C157" s="70"/>
      <x:c r="D157" s="70"/>
      <x:c r="E157" s="70"/>
      <x:c r="F157" s="70"/>
    </x:row>
    <x:row r="158" ht="15" hidden="0" customHeight="1">
      <x:c r="A158" s="70"/>
      <x:c r="B158" s="70"/>
      <x:c r="C158" s="70"/>
      <x:c r="D158" s="70"/>
      <x:c r="E158" s="70"/>
      <x:c r="F158" s="70"/>
    </x:row>
    <x:row r="159" ht="15" hidden="0" customHeight="1">
      <x:c r="A159" s="70"/>
      <x:c r="B159" s="70"/>
      <x:c r="C159" s="70"/>
      <x:c r="D159" s="70"/>
      <x:c r="E159" s="70"/>
      <x:c r="F159" s="70"/>
    </x:row>
    <x:row r="160" ht="15" hidden="0" customHeight="1">
      <x:c r="A160" s="70"/>
      <x:c r="B160" s="70"/>
      <x:c r="C160" s="70"/>
      <x:c r="D160" s="70"/>
      <x:c r="E160" s="70"/>
      <x:c r="F160" s="70"/>
    </x:row>
    <x:row r="161" ht="15" hidden="0" customHeight="1">
      <x:c r="A161" s="70"/>
      <x:c r="B161" s="70"/>
      <x:c r="C161" s="70"/>
      <x:c r="D161" s="70"/>
      <x:c r="E161" s="70"/>
      <x:c r="F161" s="70"/>
    </x:row>
    <x:row r="162" ht="15" hidden="0" customHeight="1">
      <x:c r="A162" s="70"/>
      <x:c r="B162" s="70"/>
      <x:c r="C162" s="70"/>
      <x:c r="D162" s="70"/>
      <x:c r="E162" s="70"/>
      <x:c r="F162" s="70"/>
    </x:row>
    <x:row r="163" ht="15" hidden="0" customHeight="1">
      <x:c r="A163" s="70"/>
      <x:c r="B163" s="70"/>
      <x:c r="C163" s="70"/>
      <x:c r="D163" s="70"/>
      <x:c r="E163" s="70"/>
      <x:c r="F163" s="70"/>
    </x:row>
    <x:row r="164" ht="15" hidden="0" customHeight="1">
      <x:c r="A164" s="70"/>
      <x:c r="B164" s="70"/>
      <x:c r="C164" s="70"/>
      <x:c r="D164" s="70"/>
      <x:c r="E164" s="70"/>
      <x:c r="F164" s="70"/>
    </x:row>
    <x:row r="165" ht="15" hidden="0" customHeight="1">
      <x:c r="A165" s="70"/>
      <x:c r="B165" s="70"/>
      <x:c r="C165" s="70"/>
      <x:c r="D165" s="70"/>
      <x:c r="E165" s="70"/>
      <x:c r="F165" s="70"/>
    </x:row>
    <x:row r="166" ht="15" hidden="0" customHeight="1">
      <x:c r="A166" s="70"/>
      <x:c r="B166" s="70"/>
      <x:c r="C166" s="70"/>
      <x:c r="D166" s="70"/>
      <x:c r="E166" s="70"/>
      <x:c r="F166" s="70"/>
    </x:row>
    <x:row r="167" ht="15" hidden="0" customHeight="1">
      <x:c r="A167" s="70"/>
      <x:c r="B167" s="70"/>
      <x:c r="C167" s="70"/>
      <x:c r="D167" s="70"/>
      <x:c r="E167" s="70"/>
      <x:c r="F167" s="70"/>
    </x:row>
    <x:row r="168" ht="15" hidden="0" customHeight="1">
      <x:c r="A168" s="70"/>
      <x:c r="B168" s="70"/>
      <x:c r="C168" s="70"/>
      <x:c r="D168" s="70"/>
      <x:c r="E168" s="70"/>
      <x:c r="F168" s="70"/>
    </x:row>
    <x:row r="169" ht="15" hidden="0" customHeight="1">
      <x:c r="A169" s="70"/>
      <x:c r="B169" s="70"/>
      <x:c r="C169" s="70"/>
      <x:c r="D169" s="70"/>
      <x:c r="E169" s="70"/>
      <x:c r="F169" s="70"/>
    </x:row>
    <x:row r="170" ht="15" hidden="0" customHeight="1">
      <x:c r="A170" s="70"/>
      <x:c r="B170" s="70"/>
      <x:c r="C170" s="70"/>
      <x:c r="D170" s="70"/>
      <x:c r="E170" s="70"/>
      <x:c r="F170" s="70"/>
    </x:row>
    <x:row r="171" ht="15" hidden="0" customHeight="1">
      <x:c r="A171" s="70"/>
      <x:c r="B171" s="70"/>
      <x:c r="C171" s="70"/>
      <x:c r="D171" s="70"/>
      <x:c r="E171" s="70"/>
      <x:c r="F171" s="70"/>
    </x:row>
    <x:row r="172" ht="15" hidden="0" customHeight="1">
      <x:c r="A172" s="70"/>
      <x:c r="B172" s="70"/>
      <x:c r="C172" s="70"/>
      <x:c r="D172" s="70"/>
      <x:c r="E172" s="70"/>
      <x:c r="F172" s="70"/>
    </x:row>
    <x:row r="173" ht="15" hidden="0" customHeight="1">
      <x:c r="A173" s="70"/>
      <x:c r="B173" s="70"/>
      <x:c r="C173" s="70"/>
      <x:c r="D173" s="70"/>
      <x:c r="E173" s="70"/>
      <x:c r="F173" s="70"/>
    </x:row>
    <x:row r="174" ht="15" hidden="0" customHeight="1">
      <x:c r="A174" s="70"/>
      <x:c r="B174" s="70"/>
      <x:c r="C174" s="70"/>
      <x:c r="D174" s="70"/>
      <x:c r="E174" s="70"/>
      <x:c r="F174" s="70"/>
    </x:row>
    <x:row r="175" ht="15" hidden="0" customHeight="1">
      <x:c r="A175" s="70"/>
      <x:c r="B175" s="70"/>
      <x:c r="C175" s="70"/>
      <x:c r="D175" s="70"/>
      <x:c r="E175" s="70"/>
      <x:c r="F175" s="70"/>
    </x:row>
    <x:row r="176" ht="15" hidden="0" customHeight="1">
      <x:c r="A176" s="70"/>
      <x:c r="B176" s="70"/>
      <x:c r="C176" s="70"/>
      <x:c r="D176" s="70"/>
      <x:c r="E176" s="70"/>
      <x:c r="F176" s="70"/>
    </x:row>
    <x:row r="177" ht="15" hidden="0" customHeight="1">
      <x:c r="A177" s="70"/>
      <x:c r="B177" s="70"/>
      <x:c r="C177" s="70"/>
      <x:c r="D177" s="70"/>
      <x:c r="E177" s="70"/>
      <x:c r="F177" s="70"/>
    </x:row>
    <x:row r="178" ht="15" hidden="0" customHeight="1">
      <x:c r="A178" s="70"/>
      <x:c r="B178" s="70"/>
      <x:c r="C178" s="70"/>
      <x:c r="D178" s="70"/>
      <x:c r="E178" s="70"/>
      <x:c r="F178" s="70"/>
    </x:row>
    <x:row r="179" ht="15" hidden="0" customHeight="1">
      <x:c r="A179" s="70"/>
      <x:c r="B179" s="70"/>
      <x:c r="C179" s="70"/>
      <x:c r="D179" s="70"/>
      <x:c r="E179" s="70"/>
      <x:c r="F179" s="70"/>
    </x:row>
    <x:row r="180" ht="15" hidden="0" customHeight="1">
      <x:c r="A180" s="70"/>
      <x:c r="B180" s="70"/>
      <x:c r="C180" s="70"/>
      <x:c r="D180" s="70"/>
      <x:c r="E180" s="70"/>
      <x:c r="F180" s="70"/>
    </x:row>
    <x:row r="181" ht="15" hidden="0" customHeight="1">
      <x:c r="A181" s="70"/>
      <x:c r="B181" s="70"/>
      <x:c r="C181" s="70"/>
      <x:c r="D181" s="70"/>
      <x:c r="E181" s="70"/>
      <x:c r="F181" s="70"/>
    </x:row>
    <x:row r="182" ht="15" hidden="0" customHeight="1">
      <x:c r="A182" s="70"/>
      <x:c r="B182" s="70"/>
      <x:c r="C182" s="70"/>
      <x:c r="D182" s="70"/>
      <x:c r="E182" s="70"/>
      <x:c r="F182" s="70"/>
    </x:row>
    <x:row r="183" ht="15" hidden="0" customHeight="1">
      <x:c r="A183" s="70"/>
      <x:c r="B183" s="70"/>
      <x:c r="C183" s="70"/>
      <x:c r="D183" s="70"/>
      <x:c r="E183" s="70"/>
      <x:c r="F183" s="70"/>
    </x:row>
    <x:row r="184" ht="15" hidden="0" customHeight="1">
      <x:c r="A184" s="70"/>
      <x:c r="B184" s="70"/>
      <x:c r="C184" s="70"/>
      <x:c r="D184" s="70"/>
      <x:c r="E184" s="70"/>
      <x:c r="F184" s="70"/>
    </x:row>
    <x:row r="185" ht="15" hidden="0" customHeight="1">
      <x:c r="A185" s="70"/>
      <x:c r="B185" s="70"/>
      <x:c r="C185" s="70"/>
      <x:c r="D185" s="70"/>
      <x:c r="E185" s="70"/>
      <x:c r="F185" s="70"/>
    </x:row>
    <x:row r="186" ht="15" hidden="0" customHeight="1">
      <x:c r="A186" s="70"/>
      <x:c r="B186" s="70"/>
      <x:c r="C186" s="70"/>
      <x:c r="D186" s="70"/>
      <x:c r="E186" s="70"/>
      <x:c r="F186" s="70"/>
    </x:row>
    <x:row r="187" ht="15" hidden="0" customHeight="1">
      <x:c r="A187" s="70"/>
      <x:c r="B187" s="70"/>
      <x:c r="C187" s="70"/>
      <x:c r="D187" s="70"/>
      <x:c r="E187" s="70"/>
      <x:c r="F187" s="70"/>
    </x:row>
    <x:row r="188" ht="15" hidden="0" customHeight="1">
      <x:c r="A188" s="70"/>
      <x:c r="B188" s="70"/>
      <x:c r="C188" s="70"/>
      <x:c r="D188" s="70"/>
      <x:c r="E188" s="70"/>
      <x:c r="F188" s="70"/>
    </x:row>
    <x:row r="189" ht="15" hidden="0" customHeight="1">
      <x:c r="A189" s="70"/>
      <x:c r="B189" s="70"/>
      <x:c r="C189" s="70"/>
      <x:c r="D189" s="70"/>
      <x:c r="E189" s="70"/>
      <x:c r="F189" s="70"/>
    </x:row>
    <x:row r="190" ht="15" hidden="0" customHeight="1">
      <x:c r="A190" s="70"/>
      <x:c r="B190" s="70"/>
      <x:c r="C190" s="70"/>
      <x:c r="D190" s="70"/>
      <x:c r="E190" s="70"/>
      <x:c r="F190" s="70"/>
    </x:row>
    <x:row r="191" ht="15" hidden="0" customHeight="1">
      <x:c r="A191" s="70"/>
      <x:c r="B191" s="70"/>
      <x:c r="C191" s="70"/>
      <x:c r="D191" s="70"/>
      <x:c r="E191" s="70"/>
      <x:c r="F191" s="70"/>
    </x:row>
    <x:row r="192" ht="15" hidden="0" customHeight="1">
      <x:c r="A192" s="70"/>
      <x:c r="B192" s="70"/>
      <x:c r="C192" s="70"/>
      <x:c r="D192" s="70"/>
      <x:c r="E192" s="70"/>
      <x:c r="F192" s="70"/>
    </x:row>
    <x:row r="193" ht="15" hidden="0" customHeight="1">
      <x:c r="A193" s="70"/>
      <x:c r="B193" s="70"/>
      <x:c r="C193" s="70"/>
      <x:c r="D193" s="70"/>
      <x:c r="E193" s="70"/>
      <x:c r="F193" s="70"/>
    </x:row>
    <x:row r="194" ht="15" hidden="0" customHeight="1">
      <x:c r="A194" s="70"/>
      <x:c r="B194" s="70"/>
      <x:c r="C194" s="70"/>
      <x:c r="D194" s="70"/>
      <x:c r="E194" s="70"/>
      <x:c r="F194" s="70"/>
    </x:row>
    <x:row r="195" ht="15" hidden="0" customHeight="1">
      <x:c r="A195" s="70"/>
      <x:c r="B195" s="70"/>
      <x:c r="C195" s="70"/>
      <x:c r="D195" s="70"/>
      <x:c r="E195" s="70"/>
      <x:c r="F195" s="70"/>
    </x:row>
    <x:row r="196" ht="15" hidden="0" customHeight="1">
      <x:c r="A196" s="70"/>
      <x:c r="B196" s="70"/>
      <x:c r="C196" s="70"/>
      <x:c r="D196" s="70"/>
      <x:c r="E196" s="70"/>
      <x:c r="F196" s="70"/>
    </x:row>
    <x:row r="197" ht="15" hidden="0" customHeight="1">
      <x:c r="A197" s="70"/>
      <x:c r="B197" s="70"/>
      <x:c r="C197" s="70"/>
      <x:c r="D197" s="70"/>
      <x:c r="E197" s="70"/>
      <x:c r="F197" s="70"/>
    </x:row>
    <x:row r="198" ht="15" hidden="0" customHeight="1">
      <x:c r="A198" s="70"/>
      <x:c r="B198" s="70"/>
      <x:c r="C198" s="70"/>
      <x:c r="D198" s="70"/>
      <x:c r="E198" s="70"/>
      <x:c r="F198" s="70"/>
    </x:row>
    <x:row r="199" ht="15" hidden="0" customHeight="1">
      <x:c r="A199" s="70"/>
      <x:c r="B199" s="70"/>
      <x:c r="C199" s="70"/>
      <x:c r="D199" s="70"/>
      <x:c r="E199" s="70"/>
      <x:c r="F199" s="70"/>
    </x:row>
    <x:row r="200" ht="15" hidden="0" customHeight="1">
      <x:c r="A200" s="70"/>
      <x:c r="B200" s="70"/>
      <x:c r="C200" s="70"/>
      <x:c r="D200" s="70"/>
      <x:c r="E200" s="70"/>
      <x:c r="F200" s="70"/>
    </x:row>
    <x:row r="201" ht="15" hidden="0" customHeight="1">
      <x:c r="A201" s="70"/>
      <x:c r="B201" s="70"/>
      <x:c r="C201" s="70"/>
      <x:c r="D201" s="70"/>
      <x:c r="E201" s="70"/>
      <x:c r="F201" s="70"/>
    </x:row>
    <x:row r="202" ht="15" hidden="0" customHeight="1">
      <x:c r="A202" s="70"/>
      <x:c r="B202" s="70"/>
      <x:c r="C202" s="70"/>
      <x:c r="D202" s="70"/>
      <x:c r="E202" s="70"/>
      <x:c r="F202" s="70"/>
    </x:row>
    <x:row r="203" ht="15" hidden="0" customHeight="1">
      <x:c r="A203" s="70"/>
      <x:c r="B203" s="70"/>
      <x:c r="C203" s="70"/>
      <x:c r="D203" s="70"/>
      <x:c r="E203" s="70"/>
      <x:c r="F203" s="70"/>
    </x:row>
    <x:row r="204" ht="15" hidden="0" customHeight="1">
      <x:c r="A204" s="70"/>
      <x:c r="B204" s="70"/>
      <x:c r="C204" s="70"/>
      <x:c r="D204" s="70"/>
      <x:c r="E204" s="70"/>
      <x:c r="F204" s="70"/>
    </x:row>
    <x:row r="205" ht="15" hidden="0" customHeight="1">
      <x:c r="A205" s="70"/>
      <x:c r="B205" s="70"/>
      <x:c r="C205" s="70"/>
      <x:c r="D205" s="70"/>
      <x:c r="E205" s="70"/>
      <x:c r="F205" s="70"/>
    </x:row>
    <x:row r="206" ht="15" hidden="0" customHeight="1">
      <x:c r="A206" s="70"/>
      <x:c r="B206" s="70"/>
      <x:c r="C206" s="70"/>
      <x:c r="D206" s="70"/>
      <x:c r="E206" s="70"/>
      <x:c r="F206" s="70"/>
    </x:row>
    <x:row r="207" ht="15" hidden="0" customHeight="1">
      <x:c r="A207" s="70"/>
      <x:c r="B207" s="70"/>
      <x:c r="C207" s="70"/>
      <x:c r="D207" s="70"/>
      <x:c r="E207" s="70"/>
      <x:c r="F207" s="70"/>
    </x:row>
    <x:row r="208" ht="15" hidden="0" customHeight="1">
      <x:c r="A208" s="70"/>
      <x:c r="B208" s="70"/>
      <x:c r="C208" s="70"/>
      <x:c r="D208" s="70"/>
      <x:c r="E208" s="70"/>
      <x:c r="F208" s="70"/>
    </x:row>
    <x:row r="209" ht="15" hidden="0" customHeight="1">
      <x:c r="A209" s="70"/>
      <x:c r="B209" s="70"/>
      <x:c r="C209" s="70"/>
      <x:c r="D209" s="70"/>
      <x:c r="E209" s="70"/>
      <x:c r="F209" s="70"/>
    </x:row>
    <x:row r="210" ht="15" hidden="0" customHeight="1">
      <x:c r="A210" s="70"/>
      <x:c r="B210" s="70"/>
      <x:c r="C210" s="70"/>
      <x:c r="D210" s="70"/>
      <x:c r="E210" s="70"/>
      <x:c r="F210" s="70"/>
    </x:row>
    <x:row r="211" ht="15" hidden="0" customHeight="1">
      <x:c r="A211" s="70"/>
      <x:c r="B211" s="70"/>
      <x:c r="C211" s="70"/>
      <x:c r="D211" s="70"/>
      <x:c r="E211" s="70"/>
      <x:c r="F211" s="70"/>
    </x:row>
    <x:row r="212" ht="15" hidden="0" customHeight="1">
      <x:c r="A212" s="70"/>
      <x:c r="B212" s="70"/>
      <x:c r="C212" s="70"/>
      <x:c r="D212" s="70"/>
      <x:c r="E212" s="70"/>
      <x:c r="F212" s="70"/>
    </x:row>
    <x:row r="213" ht="15" hidden="0" customHeight="1">
      <x:c r="A213" s="70"/>
      <x:c r="B213" s="70"/>
      <x:c r="C213" s="70"/>
      <x:c r="D213" s="70"/>
      <x:c r="E213" s="70"/>
      <x:c r="F213" s="70"/>
    </x:row>
    <x:row r="214" ht="15" hidden="0" customHeight="1">
      <x:c r="A214" s="70"/>
      <x:c r="B214" s="70"/>
      <x:c r="C214" s="70"/>
      <x:c r="D214" s="70"/>
      <x:c r="E214" s="70"/>
      <x:c r="F214" s="70"/>
    </x:row>
    <x:row r="215" ht="15" hidden="0" customHeight="1">
      <x:c r="A215" s="70"/>
      <x:c r="B215" s="70"/>
      <x:c r="C215" s="70"/>
      <x:c r="D215" s="70"/>
      <x:c r="E215" s="70"/>
      <x:c r="F215" s="70"/>
    </x:row>
    <x:row r="216" ht="15" hidden="0" customHeight="1">
      <x:c r="A216" s="70"/>
      <x:c r="B216" s="70"/>
      <x:c r="C216" s="70"/>
      <x:c r="D216" s="70"/>
      <x:c r="E216" s="70"/>
      <x:c r="F216" s="70"/>
    </x:row>
    <x:row r="217" ht="15" hidden="0" customHeight="1">
      <x:c r="A217" s="70"/>
      <x:c r="B217" s="70"/>
      <x:c r="C217" s="70"/>
      <x:c r="D217" s="70"/>
      <x:c r="E217" s="70"/>
      <x:c r="F217" s="70"/>
    </x:row>
    <x:row r="218" ht="15" hidden="0" customHeight="1">
      <x:c r="A218" s="70"/>
      <x:c r="B218" s="70"/>
      <x:c r="C218" s="70"/>
      <x:c r="D218" s="70"/>
      <x:c r="E218" s="70"/>
      <x:c r="F218" s="70"/>
    </x:row>
    <x:row r="219" ht="15" hidden="0" customHeight="1">
      <x:c r="A219" s="70"/>
      <x:c r="B219" s="70"/>
      <x:c r="C219" s="70"/>
      <x:c r="D219" s="70"/>
      <x:c r="E219" s="70"/>
      <x:c r="F219" s="70"/>
    </x:row>
    <x:row r="220" ht="15" hidden="0" customHeight="1">
      <x:c r="A220" s="70"/>
      <x:c r="B220" s="70"/>
      <x:c r="C220" s="70"/>
      <x:c r="D220" s="70"/>
      <x:c r="E220" s="70"/>
      <x:c r="F220" s="70"/>
    </x:row>
    <x:row r="221" ht="15" hidden="0" customHeight="1">
      <x:c r="A221" s="70"/>
      <x:c r="B221" s="70"/>
      <x:c r="C221" s="70"/>
      <x:c r="D221" s="70"/>
      <x:c r="E221" s="70"/>
      <x:c r="F221" s="70"/>
    </x:row>
    <x:row r="222" ht="15" hidden="0" customHeight="1">
      <x:c r="A222" s="70"/>
      <x:c r="B222" s="70"/>
      <x:c r="C222" s="70"/>
      <x:c r="D222" s="70"/>
      <x:c r="E222" s="70"/>
      <x:c r="F222" s="70"/>
    </x:row>
    <x:row r="223" ht="15" hidden="0" customHeight="1">
      <x:c r="A223" s="70"/>
      <x:c r="B223" s="70"/>
      <x:c r="C223" s="70"/>
      <x:c r="D223" s="70"/>
      <x:c r="E223" s="70"/>
      <x:c r="F223" s="70"/>
    </x:row>
    <x:row r="224" ht="15" hidden="0" customHeight="1">
      <x:c r="A224" s="70"/>
      <x:c r="B224" s="70"/>
      <x:c r="C224" s="70"/>
      <x:c r="D224" s="70"/>
      <x:c r="E224" s="70"/>
      <x:c r="F224" s="70"/>
    </x:row>
    <x:row r="225" ht="15" hidden="0" customHeight="1">
      <x:c r="A225" s="70"/>
      <x:c r="B225" s="70"/>
      <x:c r="C225" s="70"/>
      <x:c r="D225" s="70"/>
      <x:c r="E225" s="70"/>
      <x:c r="F225" s="70"/>
    </x:row>
    <x:row r="226" ht="15" hidden="0" customHeight="1">
      <x:c r="A226" s="70"/>
      <x:c r="B226" s="70"/>
      <x:c r="C226" s="70"/>
      <x:c r="D226" s="70"/>
      <x:c r="E226" s="70"/>
      <x:c r="F226" s="70"/>
    </x:row>
    <x:row r="227" ht="15" hidden="0" customHeight="1">
      <x:c r="A227" s="70"/>
      <x:c r="B227" s="70"/>
      <x:c r="C227" s="70"/>
      <x:c r="D227" s="70"/>
      <x:c r="E227" s="70"/>
      <x:c r="F227" s="70"/>
    </x:row>
    <x:row r="228" ht="15" hidden="0" customHeight="1">
      <x:c r="A228" s="70"/>
      <x:c r="B228" s="70"/>
      <x:c r="C228" s="70"/>
      <x:c r="D228" s="70"/>
      <x:c r="E228" s="70"/>
      <x:c r="F228" s="70"/>
    </x:row>
    <x:row r="229" ht="15" hidden="0" customHeight="1">
      <x:c r="A229" s="70"/>
      <x:c r="B229" s="70"/>
      <x:c r="C229" s="70"/>
      <x:c r="D229" s="70"/>
      <x:c r="E229" s="70"/>
      <x:c r="F229" s="70"/>
    </x:row>
    <x:row r="230" ht="15" hidden="0" customHeight="1">
      <x:c r="A230" s="70"/>
      <x:c r="B230" s="70"/>
      <x:c r="C230" s="70"/>
      <x:c r="D230" s="70"/>
      <x:c r="E230" s="70"/>
      <x:c r="F230" s="70"/>
    </x:row>
    <x:row r="231" ht="15" hidden="0" customHeight="1">
      <x:c r="A231" s="70"/>
      <x:c r="B231" s="70"/>
      <x:c r="C231" s="70"/>
      <x:c r="D231" s="70"/>
      <x:c r="E231" s="70"/>
      <x:c r="F231" s="70"/>
    </x:row>
    <x:row r="232" ht="15" hidden="0" customHeight="1">
      <x:c r="A232" s="70"/>
      <x:c r="B232" s="70"/>
      <x:c r="C232" s="70"/>
      <x:c r="D232" s="70"/>
      <x:c r="E232" s="70"/>
      <x:c r="F232" s="70"/>
    </x:row>
    <x:row r="233" ht="15" hidden="0" customHeight="1">
      <x:c r="A233" s="70"/>
      <x:c r="B233" s="70"/>
      <x:c r="C233" s="70"/>
      <x:c r="D233" s="70"/>
      <x:c r="E233" s="70"/>
      <x:c r="F233" s="70"/>
    </x:row>
    <x:row r="234" ht="15" hidden="0" customHeight="1">
      <x:c r="A234" s="70"/>
      <x:c r="B234" s="70"/>
      <x:c r="C234" s="70"/>
      <x:c r="D234" s="70"/>
      <x:c r="E234" s="70"/>
      <x:c r="F234" s="70"/>
    </x:row>
    <x:row r="235" ht="15" hidden="0" customHeight="1">
      <x:c r="A235" s="70"/>
      <x:c r="B235" s="70"/>
      <x:c r="C235" s="70"/>
      <x:c r="D235" s="70"/>
      <x:c r="E235" s="70"/>
      <x:c r="F235" s="70"/>
    </x:row>
    <x:row r="236" ht="15" hidden="0" customHeight="1">
      <x:c r="A236" s="70"/>
      <x:c r="B236" s="70"/>
      <x:c r="C236" s="70"/>
      <x:c r="D236" s="70"/>
      <x:c r="E236" s="70"/>
      <x:c r="F236" s="70"/>
    </x:row>
    <x:row r="237" ht="15" hidden="0" customHeight="1">
      <x:c r="A237" s="70"/>
      <x:c r="B237" s="70"/>
      <x:c r="C237" s="70"/>
      <x:c r="D237" s="70"/>
      <x:c r="E237" s="70"/>
      <x:c r="F237" s="70"/>
    </x:row>
    <x:row r="238" ht="15" hidden="0" customHeight="1">
      <x:c r="A238" s="70"/>
      <x:c r="B238" s="70"/>
      <x:c r="C238" s="70"/>
      <x:c r="D238" s="70"/>
      <x:c r="E238" s="70"/>
      <x:c r="F238" s="70"/>
    </x:row>
    <x:row r="239" ht="15" hidden="0" customHeight="1">
      <x:c r="A239" s="70"/>
      <x:c r="B239" s="70"/>
      <x:c r="C239" s="70"/>
      <x:c r="D239" s="70"/>
      <x:c r="E239" s="70"/>
      <x:c r="F239" s="70"/>
    </x:row>
    <x:row r="240" ht="15" hidden="0" customHeight="1">
      <x:c r="A240" s="70"/>
      <x:c r="B240" s="70"/>
      <x:c r="C240" s="70"/>
      <x:c r="D240" s="70"/>
      <x:c r="E240" s="70"/>
      <x:c r="F240" s="70"/>
    </x:row>
    <x:row r="241" ht="15" hidden="0" customHeight="1">
      <x:c r="A241" s="70"/>
      <x:c r="B241" s="70"/>
      <x:c r="C241" s="70"/>
      <x:c r="D241" s="70"/>
      <x:c r="E241" s="70"/>
      <x:c r="F241" s="70"/>
    </x:row>
    <x:row r="242" ht="15" hidden="0" customHeight="1">
      <x:c r="A242" s="70"/>
      <x:c r="B242" s="70"/>
      <x:c r="C242" s="70"/>
      <x:c r="D242" s="70"/>
      <x:c r="E242" s="70"/>
      <x:c r="F242" s="70"/>
    </x:row>
    <x:row r="243" ht="15" hidden="0" customHeight="1">
      <x:c r="A243" s="70"/>
      <x:c r="B243" s="70"/>
      <x:c r="C243" s="70"/>
      <x:c r="D243" s="70"/>
      <x:c r="E243" s="70"/>
      <x:c r="F243" s="70"/>
    </x:row>
    <x:row r="244" ht="15" hidden="0" customHeight="1">
      <x:c r="A244" s="70"/>
      <x:c r="B244" s="70"/>
      <x:c r="C244" s="70"/>
      <x:c r="D244" s="70"/>
      <x:c r="E244" s="70"/>
      <x:c r="F244" s="70"/>
    </x:row>
    <x:row r="245" ht="15" hidden="0" customHeight="1">
      <x:c r="A245" s="70"/>
      <x:c r="B245" s="70"/>
      <x:c r="C245" s="70"/>
      <x:c r="D245" s="70"/>
      <x:c r="E245" s="70"/>
      <x:c r="F245" s="70"/>
    </x:row>
    <x:row r="246" ht="15" hidden="0" customHeight="1">
      <x:c r="A246" s="70"/>
      <x:c r="B246" s="70"/>
      <x:c r="C246" s="70"/>
      <x:c r="D246" s="70"/>
      <x:c r="E246" s="70"/>
      <x:c r="F246" s="70"/>
    </x:row>
    <x:row r="247" ht="15" hidden="0" customHeight="1">
      <x:c r="A247" s="70"/>
      <x:c r="B247" s="70"/>
      <x:c r="C247" s="70"/>
      <x:c r="D247" s="70"/>
      <x:c r="E247" s="70"/>
      <x:c r="F247" s="70"/>
    </x:row>
    <x:row r="248" ht="15" hidden="0" customHeight="1">
      <x:c r="A248" s="70"/>
      <x:c r="B248" s="70"/>
      <x:c r="C248" s="70"/>
      <x:c r="D248" s="70"/>
      <x:c r="E248" s="70"/>
      <x:c r="F248" s="70"/>
    </x:row>
    <x:row r="249" ht="15" hidden="0" customHeight="1">
      <x:c r="A249" s="70"/>
      <x:c r="B249" s="70"/>
      <x:c r="C249" s="70"/>
      <x:c r="D249" s="70"/>
      <x:c r="E249" s="70"/>
      <x:c r="F249" s="70"/>
    </x:row>
    <x:row r="250" ht="15" hidden="0" customHeight="1">
      <x:c r="A250" s="70"/>
      <x:c r="B250" s="70"/>
      <x:c r="C250" s="70"/>
      <x:c r="D250" s="70"/>
      <x:c r="E250" s="70"/>
      <x:c r="F250" s="70"/>
    </x:row>
    <x:row r="251" ht="15" hidden="0" customHeight="1">
      <x:c r="A251" s="70"/>
      <x:c r="B251" s="70"/>
      <x:c r="C251" s="70"/>
      <x:c r="D251" s="70"/>
      <x:c r="E251" s="70"/>
      <x:c r="F251" s="70"/>
    </x:row>
    <x:row r="252" ht="15" hidden="0" customHeight="1">
      <x:c r="A252" s="70"/>
      <x:c r="B252" s="70"/>
      <x:c r="C252" s="70"/>
      <x:c r="D252" s="70"/>
      <x:c r="E252" s="70"/>
      <x:c r="F252" s="70"/>
    </x:row>
    <x:row r="253" ht="15" hidden="0" customHeight="1">
      <x:c r="A253" s="70"/>
      <x:c r="B253" s="70"/>
      <x:c r="C253" s="70"/>
      <x:c r="D253" s="70"/>
      <x:c r="E253" s="70"/>
      <x:c r="F253" s="70"/>
    </x:row>
    <x:row r="254" ht="15" hidden="0" customHeight="1">
      <x:c r="A254" s="70"/>
      <x:c r="B254" s="70"/>
      <x:c r="C254" s="70"/>
      <x:c r="D254" s="70"/>
      <x:c r="E254" s="70"/>
      <x:c r="F254" s="70"/>
    </x:row>
    <x:row r="255" ht="15" hidden="0" customHeight="1">
      <x:c r="A255" s="70"/>
      <x:c r="B255" s="70"/>
      <x:c r="C255" s="70"/>
      <x:c r="D255" s="70"/>
      <x:c r="E255" s="70"/>
      <x:c r="F255" s="70"/>
    </x:row>
    <x:row r="256" ht="15" hidden="0" customHeight="1">
      <x:c r="A256" s="70"/>
      <x:c r="B256" s="70"/>
      <x:c r="C256" s="70"/>
      <x:c r="D256" s="70"/>
      <x:c r="E256" s="70"/>
      <x:c r="F256" s="70"/>
    </x:row>
    <x:row r="257" ht="15" hidden="0" customHeight="1">
      <x:c r="A257" s="70"/>
      <x:c r="B257" s="70"/>
      <x:c r="C257" s="70"/>
      <x:c r="D257" s="70"/>
      <x:c r="E257" s="70"/>
      <x:c r="F257" s="70"/>
    </x:row>
    <x:row r="258" ht="15" hidden="0" customHeight="1">
      <x:c r="A258" s="70"/>
      <x:c r="B258" s="70"/>
      <x:c r="C258" s="70"/>
      <x:c r="D258" s="70"/>
      <x:c r="E258" s="70"/>
      <x:c r="F258" s="70"/>
    </x:row>
    <x:row r="259" ht="15" hidden="0" customHeight="1">
      <x:c r="A259" s="70"/>
      <x:c r="B259" s="70"/>
      <x:c r="C259" s="70"/>
      <x:c r="D259" s="70"/>
      <x:c r="E259" s="70"/>
      <x:c r="F259" s="70"/>
    </x:row>
    <x:row r="260" ht="15" hidden="0" customHeight="1">
      <x:c r="A260" s="70"/>
      <x:c r="B260" s="70"/>
      <x:c r="C260" s="70"/>
      <x:c r="D260" s="70"/>
      <x:c r="E260" s="70"/>
      <x:c r="F260" s="70"/>
    </x:row>
    <x:row r="261" ht="15" hidden="0" customHeight="1">
      <x:c r="A261" s="70"/>
      <x:c r="B261" s="70"/>
      <x:c r="C261" s="70"/>
      <x:c r="D261" s="70"/>
      <x:c r="E261" s="70"/>
      <x:c r="F261" s="70"/>
    </x:row>
    <x:row r="262" ht="15" hidden="0" customHeight="1">
      <x:c r="A262" s="70"/>
      <x:c r="B262" s="70"/>
      <x:c r="C262" s="70"/>
      <x:c r="D262" s="70"/>
      <x:c r="E262" s="70"/>
      <x:c r="F262" s="70"/>
    </x:row>
    <x:row r="263" ht="15" hidden="0" customHeight="1">
      <x:c r="A263" s="70"/>
      <x:c r="B263" s="70"/>
      <x:c r="C263" s="70"/>
      <x:c r="D263" s="70"/>
      <x:c r="E263" s="70"/>
      <x:c r="F263" s="70"/>
    </x:row>
    <x:row r="264" ht="15" hidden="0" customHeight="1">
      <x:c r="A264" s="70"/>
      <x:c r="B264" s="70"/>
      <x:c r="C264" s="70"/>
      <x:c r="D264" s="70"/>
      <x:c r="E264" s="70"/>
      <x:c r="F264" s="70"/>
    </x:row>
    <x:row r="265" ht="15" hidden="0" customHeight="1">
      <x:c r="A265" s="70"/>
      <x:c r="B265" s="70"/>
      <x:c r="C265" s="70"/>
      <x:c r="D265" s="70"/>
      <x:c r="E265" s="70"/>
      <x:c r="F265" s="70"/>
    </x:row>
    <x:row r="266" ht="15" hidden="0" customHeight="1">
      <x:c r="A266" s="70"/>
      <x:c r="B266" s="70"/>
      <x:c r="C266" s="70"/>
      <x:c r="D266" s="70"/>
      <x:c r="E266" s="70"/>
      <x:c r="F266" s="70"/>
    </x:row>
    <x:row r="267" ht="15" hidden="0" customHeight="1">
      <x:c r="A267" s="70"/>
      <x:c r="B267" s="70"/>
      <x:c r="C267" s="70"/>
      <x:c r="D267" s="70"/>
      <x:c r="E267" s="70"/>
      <x:c r="F267" s="70"/>
    </x:row>
    <x:row r="268" ht="15" hidden="0" customHeight="1">
      <x:c r="A268" s="70"/>
      <x:c r="B268" s="70"/>
      <x:c r="C268" s="70"/>
      <x:c r="D268" s="70"/>
      <x:c r="E268" s="70"/>
      <x:c r="F268" s="70"/>
    </x:row>
    <x:row r="269" ht="15" hidden="0" customHeight="1">
      <x:c r="A269" s="70"/>
      <x:c r="B269" s="70"/>
      <x:c r="C269" s="70"/>
      <x:c r="D269" s="70"/>
      <x:c r="E269" s="70"/>
      <x:c r="F269" s="70"/>
    </x:row>
    <x:row r="270" ht="15" hidden="0" customHeight="1">
      <x:c r="A270" s="70"/>
      <x:c r="B270" s="70"/>
      <x:c r="C270" s="70"/>
      <x:c r="D270" s="70"/>
      <x:c r="E270" s="70"/>
      <x:c r="F270" s="70"/>
    </x:row>
    <x:row r="271" ht="15" hidden="0" customHeight="1">
      <x:c r="A271" s="70"/>
      <x:c r="B271" s="70"/>
      <x:c r="C271" s="70"/>
      <x:c r="D271" s="70"/>
      <x:c r="E271" s="70"/>
      <x:c r="F271" s="70"/>
    </x:row>
    <x:row r="272" ht="15" hidden="0" customHeight="1">
      <x:c r="A272" s="70"/>
      <x:c r="B272" s="70"/>
      <x:c r="C272" s="70"/>
      <x:c r="D272" s="70"/>
      <x:c r="E272" s="70"/>
      <x:c r="F272" s="70"/>
    </x:row>
    <x:row r="273" ht="15" hidden="0" customHeight="1">
      <x:c r="A273" s="70"/>
      <x:c r="B273" s="70"/>
      <x:c r="C273" s="70"/>
      <x:c r="D273" s="70"/>
      <x:c r="E273" s="70"/>
      <x:c r="F273" s="70"/>
    </x:row>
    <x:row r="274" ht="15" hidden="0" customHeight="1">
      <x:c r="A274" s="70"/>
      <x:c r="B274" s="70"/>
      <x:c r="C274" s="70"/>
      <x:c r="D274" s="70"/>
      <x:c r="E274" s="70"/>
      <x:c r="F274" s="70"/>
    </x:row>
    <x:row r="275" ht="15" hidden="0" customHeight="1">
      <x:c r="A275" s="70"/>
      <x:c r="B275" s="70"/>
      <x:c r="C275" s="70"/>
      <x:c r="D275" s="70"/>
      <x:c r="E275" s="70"/>
      <x:c r="F275" s="70"/>
    </x:row>
    <x:row r="276" ht="15" hidden="0" customHeight="1">
      <x:c r="A276" s="70"/>
      <x:c r="B276" s="70"/>
      <x:c r="C276" s="70"/>
      <x:c r="D276" s="70"/>
      <x:c r="E276" s="70"/>
      <x:c r="F276" s="70"/>
    </x:row>
    <x:row r="277" ht="15" hidden="0" customHeight="1">
      <x:c r="A277" s="70"/>
      <x:c r="B277" s="70"/>
      <x:c r="C277" s="70"/>
      <x:c r="D277" s="70"/>
      <x:c r="E277" s="70"/>
      <x:c r="F277" s="70"/>
    </x:row>
    <x:row r="278" ht="15" hidden="0" customHeight="1">
      <x:c r="A278" s="70"/>
      <x:c r="B278" s="70"/>
      <x:c r="C278" s="70"/>
      <x:c r="D278" s="70"/>
      <x:c r="E278" s="70"/>
      <x:c r="F278" s="70"/>
    </x:row>
    <x:row r="279" ht="15" hidden="0" customHeight="1">
      <x:c r="A279" s="70"/>
      <x:c r="B279" s="70"/>
      <x:c r="C279" s="70"/>
      <x:c r="D279" s="70"/>
      <x:c r="E279" s="70"/>
      <x:c r="F279" s="70"/>
    </x:row>
    <x:row r="280" ht="15" hidden="0" customHeight="1">
      <x:c r="A280" s="70"/>
      <x:c r="B280" s="70"/>
      <x:c r="C280" s="70"/>
      <x:c r="D280" s="70"/>
      <x:c r="E280" s="70"/>
      <x:c r="F280" s="70"/>
    </x:row>
    <x:row r="281" ht="15" hidden="0" customHeight="1">
      <x:c r="A281" s="70"/>
      <x:c r="B281" s="70"/>
      <x:c r="C281" s="70"/>
      <x:c r="D281" s="70"/>
      <x:c r="E281" s="70"/>
      <x:c r="F281" s="70"/>
    </x:row>
    <x:row r="282" ht="15" hidden="0" customHeight="1">
      <x:c r="A282" s="70"/>
      <x:c r="B282" s="70"/>
      <x:c r="C282" s="70"/>
      <x:c r="D282" s="70"/>
      <x:c r="E282" s="70"/>
      <x:c r="F282" s="70"/>
    </x:row>
    <x:row r="283" ht="15" hidden="0" customHeight="1">
      <x:c r="A283" s="70"/>
      <x:c r="B283" s="70"/>
      <x:c r="C283" s="70"/>
      <x:c r="D283" s="70"/>
      <x:c r="E283" s="70"/>
      <x:c r="F283" s="70"/>
    </x:row>
    <x:row r="284" ht="15" hidden="0" customHeight="1">
      <x:c r="A284" s="70"/>
      <x:c r="B284" s="70"/>
      <x:c r="C284" s="70"/>
      <x:c r="D284" s="70"/>
      <x:c r="E284" s="70"/>
      <x:c r="F284" s="70"/>
    </x:row>
    <x:row r="285" ht="15" hidden="0" customHeight="1">
      <x:c r="A285" s="70"/>
      <x:c r="B285" s="70"/>
      <x:c r="C285" s="70"/>
      <x:c r="D285" s="70"/>
      <x:c r="E285" s="70"/>
      <x:c r="F285" s="70"/>
    </x:row>
    <x:row r="286" ht="15" hidden="0" customHeight="1">
      <x:c r="A286" s="70"/>
      <x:c r="B286" s="70"/>
      <x:c r="C286" s="70"/>
      <x:c r="D286" s="70"/>
      <x:c r="E286" s="70"/>
      <x:c r="F286" s="70"/>
    </x:row>
    <x:row r="287" ht="15" hidden="0" customHeight="1">
      <x:c r="A287" s="70"/>
      <x:c r="B287" s="70"/>
      <x:c r="C287" s="70"/>
      <x:c r="D287" s="70"/>
      <x:c r="E287" s="70"/>
      <x:c r="F287" s="70"/>
    </x:row>
    <x:row r="288" ht="15" hidden="0" customHeight="1">
      <x:c r="A288" s="70"/>
      <x:c r="B288" s="70"/>
      <x:c r="C288" s="70"/>
      <x:c r="D288" s="70"/>
      <x:c r="E288" s="70"/>
      <x:c r="F288" s="70"/>
    </x:row>
    <x:row r="289" ht="15" hidden="0" customHeight="1">
      <x:c r="A289" s="70"/>
      <x:c r="B289" s="70"/>
      <x:c r="C289" s="70"/>
      <x:c r="D289" s="70"/>
      <x:c r="E289" s="70"/>
      <x:c r="F289" s="70"/>
    </x:row>
    <x:row r="290" ht="15" hidden="0" customHeight="1">
      <x:c r="A290" s="70"/>
      <x:c r="B290" s="70"/>
      <x:c r="C290" s="70"/>
      <x:c r="D290" s="70"/>
      <x:c r="E290" s="70"/>
      <x:c r="F290" s="70"/>
    </x:row>
    <x:row r="291" ht="15" hidden="0" customHeight="1">
      <x:c r="A291" s="70"/>
      <x:c r="B291" s="70"/>
      <x:c r="C291" s="70"/>
      <x:c r="D291" s="70"/>
      <x:c r="E291" s="70"/>
      <x:c r="F291" s="70"/>
    </x:row>
    <x:row r="292" ht="15" hidden="0" customHeight="1">
      <x:c r="A292" s="70"/>
      <x:c r="B292" s="70"/>
      <x:c r="C292" s="70"/>
      <x:c r="D292" s="70"/>
      <x:c r="E292" s="70"/>
      <x:c r="F292" s="70"/>
    </x:row>
    <x:row r="293" ht="15" hidden="0" customHeight="1">
      <x:c r="A293" s="70"/>
      <x:c r="B293" s="70"/>
      <x:c r="C293" s="70"/>
      <x:c r="D293" s="70"/>
      <x:c r="E293" s="70"/>
      <x:c r="F293" s="70"/>
    </x:row>
    <x:row r="294" ht="15" hidden="0" customHeight="1">
      <x:c r="A294" s="70"/>
      <x:c r="B294" s="70"/>
      <x:c r="C294" s="70"/>
      <x:c r="D294" s="70"/>
      <x:c r="E294" s="70"/>
      <x:c r="F294" s="70"/>
    </x:row>
    <x:row r="295" ht="15" hidden="0" customHeight="1">
      <x:c r="A295" s="70"/>
      <x:c r="B295" s="70"/>
      <x:c r="C295" s="70"/>
      <x:c r="D295" s="70"/>
      <x:c r="E295" s="70"/>
      <x:c r="F295" s="70"/>
    </x:row>
    <x:row r="296" ht="15" hidden="0" customHeight="1">
      <x:c r="A296" s="70"/>
      <x:c r="B296" s="70"/>
      <x:c r="C296" s="70"/>
      <x:c r="D296" s="70"/>
      <x:c r="E296" s="70"/>
      <x:c r="F296" s="70"/>
    </x:row>
    <x:row r="297" ht="15" hidden="0" customHeight="1">
      <x:c r="A297" s="70"/>
      <x:c r="B297" s="70"/>
      <x:c r="C297" s="70"/>
      <x:c r="D297" s="70"/>
      <x:c r="E297" s="70"/>
      <x:c r="F297" s="70"/>
    </x:row>
    <x:row r="298" ht="15" hidden="0" customHeight="1">
      <x:c r="A298" s="70"/>
      <x:c r="B298" s="70"/>
      <x:c r="C298" s="70"/>
      <x:c r="D298" s="70"/>
      <x:c r="E298" s="70"/>
      <x:c r="F298" s="70"/>
    </x:row>
    <x:row r="299" ht="15" hidden="0" customHeight="1">
      <x:c r="A299" s="70"/>
      <x:c r="B299" s="70"/>
      <x:c r="C299" s="70"/>
      <x:c r="D299" s="70"/>
      <x:c r="E299" s="70"/>
      <x:c r="F299" s="70"/>
    </x:row>
    <x:row r="300" ht="15" hidden="0" customHeight="1">
      <x:c r="A300" s="70"/>
      <x:c r="B300" s="70"/>
      <x:c r="C300" s="70"/>
      <x:c r="D300" s="70"/>
      <x:c r="E300" s="70"/>
      <x:c r="F300" s="70"/>
    </x:row>
    <x:row r="301" ht="15" hidden="0" customHeight="1">
      <x:c r="A301" s="70"/>
      <x:c r="B301" s="70"/>
      <x:c r="C301" s="70"/>
      <x:c r="D301" s="70"/>
      <x:c r="E301" s="70"/>
      <x:c r="F301" s="70"/>
    </x:row>
    <x:row r="302" ht="15" hidden="0" customHeight="1">
      <x:c r="A302" s="70"/>
      <x:c r="B302" s="70"/>
      <x:c r="C302" s="70"/>
      <x:c r="D302" s="70"/>
      <x:c r="E302" s="70"/>
      <x:c r="F302" s="70"/>
    </x:row>
    <x:row r="303" ht="15" hidden="0" customHeight="1">
      <x:c r="A303" s="70"/>
      <x:c r="B303" s="70"/>
      <x:c r="C303" s="70"/>
      <x:c r="D303" s="70"/>
      <x:c r="E303" s="70"/>
      <x:c r="F303" s="70"/>
    </x:row>
    <x:row r="304" ht="15" hidden="0" customHeight="1">
      <x:c r="A304" s="70"/>
      <x:c r="B304" s="70"/>
      <x:c r="C304" s="70"/>
      <x:c r="D304" s="70"/>
      <x:c r="E304" s="70"/>
      <x:c r="F304" s="70"/>
    </x:row>
    <x:row r="305" ht="15" hidden="0" customHeight="1">
      <x:c r="A305" s="70"/>
      <x:c r="B305" s="70"/>
      <x:c r="C305" s="70"/>
      <x:c r="D305" s="70"/>
      <x:c r="E305" s="70"/>
      <x:c r="F305" s="70"/>
    </x:row>
    <x:row r="306" ht="15" hidden="0" customHeight="1">
      <x:c r="A306" s="70"/>
      <x:c r="B306" s="70"/>
      <x:c r="C306" s="70"/>
      <x:c r="D306" s="70"/>
      <x:c r="E306" s="70"/>
      <x:c r="F306" s="70"/>
    </x:row>
    <x:row r="307" ht="15" hidden="0" customHeight="1">
      <x:c r="A307" s="70"/>
      <x:c r="B307" s="70"/>
      <x:c r="C307" s="70"/>
      <x:c r="D307" s="70"/>
      <x:c r="E307" s="70"/>
      <x:c r="F307" s="70"/>
    </x:row>
    <x:row r="308" ht="15" hidden="0" customHeight="1">
      <x:c r="A308" s="70"/>
      <x:c r="B308" s="70"/>
      <x:c r="C308" s="70"/>
      <x:c r="D308" s="70"/>
      <x:c r="E308" s="70"/>
      <x:c r="F308" s="70"/>
    </x:row>
    <x:row r="309" ht="15" hidden="0" customHeight="1">
      <x:c r="A309" s="70"/>
      <x:c r="B309" s="70"/>
      <x:c r="C309" s="70"/>
      <x:c r="D309" s="70"/>
      <x:c r="E309" s="70"/>
      <x:c r="F309" s="70"/>
    </x:row>
    <x:row r="310" ht="15" hidden="0" customHeight="1">
      <x:c r="A310" s="70"/>
      <x:c r="B310" s="70"/>
      <x:c r="C310" s="70"/>
      <x:c r="D310" s="70"/>
      <x:c r="E310" s="70"/>
      <x:c r="F310" s="70"/>
    </x:row>
    <x:row r="311" ht="15" hidden="0" customHeight="1">
      <x:c r="A311" s="70"/>
      <x:c r="B311" s="70"/>
      <x:c r="C311" s="70"/>
      <x:c r="D311" s="70"/>
      <x:c r="E311" s="70"/>
      <x:c r="F311" s="70"/>
    </x:row>
    <x:row r="312" ht="15" hidden="0" customHeight="1">
      <x:c r="A312" s="70"/>
      <x:c r="B312" s="70"/>
      <x:c r="C312" s="70"/>
      <x:c r="D312" s="70"/>
      <x:c r="E312" s="70"/>
      <x:c r="F312" s="70"/>
    </x:row>
    <x:row r="313" ht="15" hidden="0" customHeight="1">
      <x:c r="A313" s="70"/>
      <x:c r="B313" s="70"/>
      <x:c r="C313" s="70"/>
      <x:c r="D313" s="70"/>
      <x:c r="E313" s="70"/>
      <x:c r="F313" s="70"/>
    </x:row>
    <x:row r="314" ht="15" hidden="0" customHeight="1">
      <x:c r="A314" s="70"/>
      <x:c r="B314" s="70"/>
      <x:c r="C314" s="70"/>
      <x:c r="D314" s="70"/>
      <x:c r="E314" s="70"/>
      <x:c r="F314" s="70"/>
    </x:row>
    <x:row r="315" ht="15" hidden="0" customHeight="1">
      <x:c r="A315" s="70"/>
      <x:c r="B315" s="70"/>
      <x:c r="C315" s="70"/>
      <x:c r="D315" s="70"/>
      <x:c r="E315" s="70"/>
      <x:c r="F315" s="70"/>
    </x:row>
    <x:row r="316" ht="15" hidden="0" customHeight="1">
      <x:c r="A316" s="70"/>
      <x:c r="B316" s="70"/>
      <x:c r="C316" s="70"/>
      <x:c r="D316" s="70"/>
      <x:c r="E316" s="70"/>
      <x:c r="F316" s="70"/>
    </x:row>
    <x:row r="317" ht="15" hidden="0" customHeight="1">
      <x:c r="A317" s="70"/>
      <x:c r="B317" s="70"/>
      <x:c r="C317" s="70"/>
      <x:c r="D317" s="70"/>
      <x:c r="E317" s="70"/>
      <x:c r="F317" s="70"/>
    </x:row>
    <x:row r="318" ht="15" hidden="0" customHeight="1">
      <x:c r="A318" s="70"/>
      <x:c r="B318" s="70"/>
      <x:c r="C318" s="70"/>
      <x:c r="D318" s="70"/>
      <x:c r="E318" s="70"/>
      <x:c r="F318" s="70"/>
    </x:row>
    <x:row r="319" ht="15" hidden="0" customHeight="1">
      <x:c r="A319" s="70"/>
      <x:c r="B319" s="70"/>
      <x:c r="C319" s="70"/>
      <x:c r="D319" s="70"/>
      <x:c r="E319" s="70"/>
      <x:c r="F319" s="70"/>
    </x:row>
    <x:row r="320" ht="15" hidden="0" customHeight="1">
      <x:c r="A320" s="70"/>
      <x:c r="B320" s="70"/>
      <x:c r="C320" s="70"/>
      <x:c r="D320" s="70"/>
      <x:c r="E320" s="70"/>
      <x:c r="F320" s="70"/>
    </x:row>
    <x:row r="321" ht="15" hidden="0" customHeight="1">
      <x:c r="A321" s="70"/>
      <x:c r="B321" s="70"/>
      <x:c r="C321" s="70"/>
      <x:c r="D321" s="70"/>
      <x:c r="E321" s="70"/>
      <x:c r="F321" s="70"/>
    </x:row>
    <x:row r="322" ht="15" hidden="0" customHeight="1">
      <x:c r="A322" s="70"/>
      <x:c r="B322" s="70"/>
      <x:c r="C322" s="70"/>
      <x:c r="D322" s="70"/>
      <x:c r="E322" s="70"/>
      <x:c r="F322" s="70"/>
    </x:row>
    <x:row r="323" ht="15" hidden="0" customHeight="1">
      <x:c r="A323" s="70"/>
      <x:c r="B323" s="70"/>
      <x:c r="C323" s="70"/>
      <x:c r="D323" s="70"/>
      <x:c r="E323" s="70"/>
      <x:c r="F323" s="70"/>
    </x:row>
    <x:row r="324" ht="15" hidden="0" customHeight="1">
      <x:c r="A324" s="70"/>
      <x:c r="B324" s="70"/>
      <x:c r="C324" s="70"/>
      <x:c r="D324" s="70"/>
      <x:c r="E324" s="70"/>
      <x:c r="F324" s="70"/>
    </x:row>
    <x:row r="325" ht="15" hidden="0" customHeight="1">
      <x:c r="A325" s="70"/>
      <x:c r="B325" s="70"/>
      <x:c r="C325" s="70"/>
      <x:c r="D325" s="70"/>
      <x:c r="E325" s="70"/>
      <x:c r="F325" s="70"/>
    </x:row>
    <x:row r="326" ht="15" hidden="0" customHeight="1">
      <x:c r="A326" s="70"/>
      <x:c r="B326" s="70"/>
      <x:c r="C326" s="70"/>
      <x:c r="D326" s="70"/>
      <x:c r="E326" s="70"/>
      <x:c r="F326" s="70"/>
    </x:row>
    <x:row r="327" ht="15" hidden="0" customHeight="1">
      <x:c r="A327" s="70"/>
      <x:c r="B327" s="70"/>
      <x:c r="C327" s="70"/>
      <x:c r="D327" s="70"/>
      <x:c r="E327" s="70"/>
      <x:c r="F327" s="70"/>
    </x:row>
    <x:row r="328" ht="15" hidden="0" customHeight="1">
      <x:c r="A328" s="70"/>
      <x:c r="B328" s="70"/>
      <x:c r="C328" s="70"/>
      <x:c r="D328" s="70"/>
      <x:c r="E328" s="70"/>
      <x:c r="F328" s="70"/>
    </x:row>
    <x:row r="329" ht="15" hidden="0" customHeight="1">
      <x:c r="A329" s="70"/>
      <x:c r="B329" s="70"/>
      <x:c r="C329" s="70"/>
      <x:c r="D329" s="70"/>
      <x:c r="E329" s="70"/>
      <x:c r="F329" s="70"/>
    </x:row>
    <x:row r="330" ht="15" hidden="0" customHeight="1">
      <x:c r="A330" s="70"/>
      <x:c r="B330" s="70"/>
      <x:c r="C330" s="70"/>
      <x:c r="D330" s="70"/>
      <x:c r="E330" s="70"/>
      <x:c r="F330" s="70"/>
    </x:row>
    <x:row r="331" ht="15" hidden="0" customHeight="1">
      <x:c r="A331" s="70"/>
      <x:c r="B331" s="70"/>
      <x:c r="C331" s="70"/>
      <x:c r="D331" s="70"/>
      <x:c r="E331" s="70"/>
      <x:c r="F331" s="70"/>
    </x:row>
    <x:row r="332" ht="15" hidden="0" customHeight="1">
      <x:c r="A332" s="70"/>
      <x:c r="B332" s="70"/>
      <x:c r="C332" s="70"/>
      <x:c r="D332" s="70"/>
      <x:c r="E332" s="70"/>
      <x:c r="F332" s="70"/>
    </x:row>
    <x:row r="333" ht="15" hidden="0" customHeight="1">
      <x:c r="A333" s="70"/>
      <x:c r="B333" s="70"/>
      <x:c r="C333" s="70"/>
      <x:c r="D333" s="70"/>
      <x:c r="E333" s="70"/>
      <x:c r="F333" s="70"/>
    </x:row>
    <x:row r="334" ht="15" hidden="0" customHeight="1">
      <x:c r="A334" s="70"/>
      <x:c r="B334" s="70"/>
      <x:c r="C334" s="70"/>
      <x:c r="D334" s="70"/>
      <x:c r="E334" s="70"/>
      <x:c r="F334" s="70"/>
    </x:row>
    <x:row r="335" ht="15" hidden="0" customHeight="1">
      <x:c r="A335" s="70"/>
      <x:c r="B335" s="70"/>
      <x:c r="C335" s="70"/>
      <x:c r="D335" s="70"/>
      <x:c r="E335" s="70"/>
      <x:c r="F335" s="70"/>
    </x:row>
    <x:row r="336" ht="15" hidden="0" customHeight="1">
      <x:c r="A336" s="70"/>
      <x:c r="B336" s="70"/>
      <x:c r="C336" s="70"/>
      <x:c r="D336" s="70"/>
      <x:c r="E336" s="70"/>
      <x:c r="F336" s="70"/>
    </x:row>
    <x:row r="337" ht="15" hidden="0" customHeight="1">
      <x:c r="A337" s="70"/>
      <x:c r="B337" s="70"/>
      <x:c r="C337" s="70"/>
      <x:c r="D337" s="70"/>
      <x:c r="E337" s="70"/>
      <x:c r="F337" s="70"/>
    </x:row>
    <x:row r="338" ht="15" hidden="0" customHeight="1">
      <x:c r="A338" s="70"/>
      <x:c r="B338" s="70"/>
      <x:c r="C338" s="70"/>
      <x:c r="D338" s="70"/>
      <x:c r="E338" s="70"/>
      <x:c r="F338" s="70"/>
    </x:row>
    <x:row r="339" ht="15" hidden="0" customHeight="1">
      <x:c r="A339" s="70"/>
      <x:c r="B339" s="70"/>
      <x:c r="C339" s="70"/>
      <x:c r="D339" s="70"/>
      <x:c r="E339" s="70"/>
      <x:c r="F339" s="70"/>
    </x:row>
    <x:row r="340" ht="15" hidden="0" customHeight="1">
      <x:c r="A340" s="70"/>
      <x:c r="B340" s="70"/>
      <x:c r="C340" s="70"/>
      <x:c r="D340" s="70"/>
      <x:c r="E340" s="70"/>
      <x:c r="F340" s="70"/>
    </x:row>
    <x:row r="341" ht="15" hidden="0" customHeight="1">
      <x:c r="A341" s="70"/>
      <x:c r="B341" s="70"/>
      <x:c r="C341" s="70"/>
      <x:c r="D341" s="70"/>
      <x:c r="E341" s="70"/>
      <x:c r="F341" s="70"/>
    </x:row>
    <x:row r="342" ht="15" hidden="0" customHeight="1">
      <x:c r="A342" s="70"/>
      <x:c r="B342" s="70"/>
      <x:c r="C342" s="70"/>
      <x:c r="D342" s="70"/>
      <x:c r="E342" s="70"/>
      <x:c r="F342" s="70"/>
    </x:row>
    <x:row r="343" ht="15" hidden="0" customHeight="1">
      <x:c r="A343" s="70"/>
      <x:c r="B343" s="70"/>
      <x:c r="C343" s="70"/>
      <x:c r="D343" s="70"/>
      <x:c r="E343" s="70"/>
      <x:c r="F343" s="70"/>
    </x:row>
    <x:row r="344" ht="15" hidden="0" customHeight="1">
      <x:c r="A344" s="70"/>
      <x:c r="B344" s="70"/>
      <x:c r="C344" s="70"/>
      <x:c r="D344" s="70"/>
      <x:c r="E344" s="70"/>
      <x:c r="F344" s="70"/>
    </x:row>
    <x:row r="345" ht="15" hidden="0" customHeight="1">
      <x:c r="A345" s="70"/>
      <x:c r="B345" s="70"/>
      <x:c r="C345" s="70"/>
      <x:c r="D345" s="70"/>
      <x:c r="E345" s="70"/>
      <x:c r="F345" s="70"/>
    </x:row>
    <x:row r="346" ht="15" hidden="0" customHeight="1">
      <x:c r="A346" s="70"/>
      <x:c r="B346" s="70"/>
      <x:c r="C346" s="70"/>
      <x:c r="D346" s="70"/>
      <x:c r="E346" s="70"/>
      <x:c r="F346" s="70"/>
    </x:row>
    <x:row r="347" ht="15" hidden="0" customHeight="1">
      <x:c r="A347" s="70"/>
      <x:c r="B347" s="70"/>
      <x:c r="C347" s="70"/>
      <x:c r="D347" s="70"/>
      <x:c r="E347" s="70"/>
      <x:c r="F347" s="70"/>
    </x:row>
    <x:row r="348" ht="15" hidden="0" customHeight="1">
      <x:c r="A348" s="70"/>
      <x:c r="B348" s="70"/>
      <x:c r="C348" s="70"/>
      <x:c r="D348" s="70"/>
      <x:c r="E348" s="70"/>
      <x:c r="F348" s="70"/>
    </x:row>
    <x:row r="349" ht="15" hidden="0" customHeight="1">
      <x:c r="A349" s="70"/>
      <x:c r="B349" s="70"/>
      <x:c r="C349" s="70"/>
      <x:c r="D349" s="70"/>
      <x:c r="E349" s="70"/>
      <x:c r="F349" s="70"/>
    </x:row>
    <x:row r="350" ht="15" hidden="0" customHeight="1">
      <x:c r="A350" s="70"/>
      <x:c r="B350" s="70"/>
      <x:c r="C350" s="70"/>
      <x:c r="D350" s="70"/>
      <x:c r="E350" s="70"/>
      <x:c r="F350" s="70"/>
    </x:row>
    <x:row r="351" ht="15" hidden="0" customHeight="1">
      <x:c r="A351" s="70"/>
      <x:c r="B351" s="70"/>
      <x:c r="C351" s="70"/>
      <x:c r="D351" s="70"/>
      <x:c r="E351" s="70"/>
      <x:c r="F351" s="70"/>
    </x:row>
    <x:row r="352" ht="15" hidden="0" customHeight="1">
      <x:c r="A352" s="70"/>
      <x:c r="B352" s="70"/>
      <x:c r="C352" s="70"/>
      <x:c r="D352" s="70"/>
      <x:c r="E352" s="70"/>
      <x:c r="F352" s="70"/>
    </x:row>
    <x:row r="353" ht="15" hidden="0" customHeight="1">
      <x:c r="A353" s="70"/>
      <x:c r="B353" s="70"/>
      <x:c r="C353" s="70"/>
      <x:c r="D353" s="70"/>
      <x:c r="E353" s="70"/>
      <x:c r="F353" s="70"/>
    </x:row>
    <x:row r="354" ht="15" hidden="0" customHeight="1">
      <x:c r="A354" s="70"/>
      <x:c r="B354" s="70"/>
      <x:c r="C354" s="70"/>
      <x:c r="D354" s="70"/>
      <x:c r="E354" s="70"/>
      <x:c r="F354" s="70"/>
    </x:row>
    <x:row r="355" ht="15" hidden="0" customHeight="1">
      <x:c r="A355" s="70"/>
      <x:c r="B355" s="70"/>
      <x:c r="C355" s="70"/>
      <x:c r="D355" s="70"/>
      <x:c r="E355" s="70"/>
      <x:c r="F355" s="70"/>
    </x:row>
    <x:row r="356" ht="15" hidden="0" customHeight="1">
      <x:c r="A356" s="70"/>
      <x:c r="B356" s="70"/>
      <x:c r="C356" s="70"/>
      <x:c r="D356" s="70"/>
      <x:c r="E356" s="70"/>
      <x:c r="F356" s="70"/>
    </x:row>
    <x:row r="357" ht="15" hidden="0" customHeight="1">
      <x:c r="A357" s="70"/>
      <x:c r="B357" s="70"/>
      <x:c r="C357" s="70"/>
      <x:c r="D357" s="70"/>
      <x:c r="E357" s="70"/>
      <x:c r="F357" s="70"/>
    </x:row>
    <x:row r="358" ht="15" hidden="0" customHeight="1">
      <x:c r="A358" s="70"/>
      <x:c r="B358" s="70"/>
      <x:c r="C358" s="70"/>
      <x:c r="D358" s="70"/>
      <x:c r="E358" s="70"/>
      <x:c r="F358" s="70"/>
    </x:row>
    <x:row r="359" ht="15" hidden="0" customHeight="1">
      <x:c r="A359" s="70"/>
      <x:c r="B359" s="70"/>
      <x:c r="C359" s="70"/>
      <x:c r="D359" s="70"/>
      <x:c r="E359" s="70"/>
      <x:c r="F359" s="70"/>
    </x:row>
    <x:row r="360" ht="15" hidden="0" customHeight="1">
      <x:c r="A360" s="70"/>
      <x:c r="B360" s="70"/>
      <x:c r="C360" s="70"/>
      <x:c r="D360" s="70"/>
      <x:c r="E360" s="70"/>
      <x:c r="F360" s="70"/>
    </x:row>
    <x:row r="361" ht="15" hidden="0" customHeight="1">
      <x:c r="A361" s="70"/>
      <x:c r="B361" s="70"/>
      <x:c r="C361" s="70"/>
      <x:c r="D361" s="70"/>
      <x:c r="E361" s="70"/>
      <x:c r="F361" s="70"/>
    </x:row>
    <x:row r="362" ht="15" hidden="0" customHeight="1">
      <x:c r="A362" s="70"/>
      <x:c r="B362" s="70"/>
      <x:c r="C362" s="70"/>
      <x:c r="D362" s="70"/>
      <x:c r="E362" s="70"/>
      <x:c r="F362" s="70"/>
    </x:row>
    <x:row r="363" ht="15" hidden="0" customHeight="1">
      <x:c r="A363" s="70"/>
      <x:c r="B363" s="70"/>
      <x:c r="C363" s="70"/>
      <x:c r="D363" s="70"/>
      <x:c r="E363" s="70"/>
      <x:c r="F363" s="70"/>
    </x:row>
    <x:row r="364" ht="15" hidden="0" customHeight="1">
      <x:c r="A364" s="70"/>
      <x:c r="B364" s="70"/>
      <x:c r="C364" s="70"/>
      <x:c r="D364" s="70"/>
      <x:c r="E364" s="70"/>
      <x:c r="F364" s="70"/>
    </x:row>
    <x:row r="365" ht="15" hidden="0" customHeight="1">
      <x:c r="A365" s="70"/>
      <x:c r="B365" s="70"/>
      <x:c r="C365" s="70"/>
      <x:c r="D365" s="70"/>
      <x:c r="E365" s="70"/>
      <x:c r="F365" s="70"/>
    </x:row>
    <x:row r="366" ht="15" hidden="0" customHeight="1">
      <x:c r="A366" s="70"/>
      <x:c r="B366" s="70"/>
      <x:c r="C366" s="70"/>
      <x:c r="D366" s="70"/>
      <x:c r="E366" s="70"/>
      <x:c r="F366" s="70"/>
    </x:row>
    <x:row r="367" ht="15" hidden="0" customHeight="1">
      <x:c r="A367" s="70"/>
      <x:c r="B367" s="70"/>
      <x:c r="C367" s="70"/>
      <x:c r="D367" s="70"/>
      <x:c r="E367" s="70"/>
      <x:c r="F367" s="70"/>
    </x:row>
    <x:row r="368" ht="15" hidden="0" customHeight="1">
      <x:c r="A368" s="70"/>
      <x:c r="B368" s="70"/>
      <x:c r="C368" s="70"/>
      <x:c r="D368" s="70"/>
      <x:c r="E368" s="70"/>
      <x:c r="F368" s="70"/>
    </x:row>
    <x:row r="369" ht="15" hidden="0" customHeight="1">
      <x:c r="A369" s="70"/>
      <x:c r="B369" s="70"/>
      <x:c r="C369" s="70"/>
      <x:c r="D369" s="70"/>
      <x:c r="E369" s="70"/>
      <x:c r="F369" s="70"/>
    </x:row>
    <x:row r="370" ht="15" hidden="0" customHeight="1">
      <x:c r="A370" s="70"/>
      <x:c r="B370" s="70"/>
      <x:c r="C370" s="70"/>
      <x:c r="D370" s="70"/>
      <x:c r="E370" s="70"/>
      <x:c r="F370" s="70"/>
    </x:row>
    <x:row r="371" ht="15" hidden="0" customHeight="1">
      <x:c r="A371" s="70"/>
      <x:c r="B371" s="70"/>
      <x:c r="C371" s="70"/>
      <x:c r="D371" s="70"/>
      <x:c r="E371" s="70"/>
      <x:c r="F371" s="70"/>
    </x:row>
    <x:row r="372" ht="15" hidden="0" customHeight="1">
      <x:c r="A372" s="70"/>
      <x:c r="B372" s="70"/>
      <x:c r="C372" s="70"/>
      <x:c r="D372" s="70"/>
      <x:c r="E372" s="70"/>
      <x:c r="F372" s="70"/>
    </x:row>
    <x:row r="373" ht="15" hidden="0" customHeight="1">
      <x:c r="A373" s="70"/>
      <x:c r="B373" s="70"/>
      <x:c r="C373" s="70"/>
      <x:c r="D373" s="70"/>
      <x:c r="E373" s="70"/>
      <x:c r="F373" s="70"/>
    </x:row>
    <x:row r="374" ht="15" hidden="0" customHeight="1">
      <x:c r="A374" s="70"/>
      <x:c r="B374" s="70"/>
      <x:c r="C374" s="70"/>
      <x:c r="D374" s="70"/>
      <x:c r="E374" s="70"/>
      <x:c r="F374" s="70"/>
    </x:row>
    <x:row r="375" ht="15" hidden="0" customHeight="1">
      <x:c r="A375" s="70"/>
      <x:c r="B375" s="70"/>
      <x:c r="C375" s="70"/>
      <x:c r="D375" s="70"/>
      <x:c r="E375" s="70"/>
      <x:c r="F375" s="70"/>
    </x:row>
    <x:row r="376" ht="15" hidden="0" customHeight="1">
      <x:c r="A376" s="70"/>
      <x:c r="B376" s="70"/>
      <x:c r="C376" s="70"/>
      <x:c r="D376" s="70"/>
      <x:c r="E376" s="70"/>
      <x:c r="F376" s="70"/>
    </x:row>
    <x:row r="377" ht="15" hidden="0" customHeight="1">
      <x:c r="A377" s="70"/>
      <x:c r="B377" s="70"/>
      <x:c r="C377" s="70"/>
      <x:c r="D377" s="70"/>
      <x:c r="E377" s="70"/>
      <x:c r="F377" s="70"/>
    </x:row>
    <x:row r="378" ht="15" hidden="0" customHeight="1">
      <x:c r="A378" s="70"/>
      <x:c r="B378" s="70"/>
      <x:c r="C378" s="70"/>
      <x:c r="D378" s="70"/>
      <x:c r="E378" s="70"/>
      <x:c r="F378" s="70"/>
    </x:row>
    <x:row r="379" ht="15" hidden="0" customHeight="1">
      <x:c r="A379" s="70"/>
      <x:c r="B379" s="70"/>
      <x:c r="C379" s="70"/>
      <x:c r="D379" s="70"/>
      <x:c r="E379" s="70"/>
      <x:c r="F379" s="70"/>
    </x:row>
    <x:row r="380" ht="15" hidden="0" customHeight="1">
      <x:c r="A380" s="70"/>
      <x:c r="B380" s="70"/>
      <x:c r="C380" s="70"/>
      <x:c r="D380" s="70"/>
      <x:c r="E380" s="70"/>
      <x:c r="F380" s="70"/>
    </x:row>
    <x:row r="381" ht="15" hidden="0" customHeight="1">
      <x:c r="A381" s="70"/>
      <x:c r="B381" s="70"/>
      <x:c r="C381" s="70"/>
      <x:c r="D381" s="70"/>
      <x:c r="E381" s="70"/>
      <x:c r="F381" s="70"/>
    </x:row>
    <x:row r="382" ht="15" hidden="0" customHeight="1">
      <x:c r="A382" s="70"/>
      <x:c r="B382" s="70"/>
      <x:c r="C382" s="70"/>
      <x:c r="D382" s="70"/>
      <x:c r="E382" s="70"/>
      <x:c r="F382" s="70"/>
    </x:row>
    <x:row r="383" ht="15" hidden="0" customHeight="1">
      <x:c r="A383" s="70"/>
      <x:c r="B383" s="70"/>
      <x:c r="C383" s="70"/>
      <x:c r="D383" s="70"/>
      <x:c r="E383" s="70"/>
      <x:c r="F383" s="70"/>
    </x:row>
    <x:row r="384" ht="15" hidden="0" customHeight="1">
      <x:c r="A384" s="70"/>
      <x:c r="B384" s="70"/>
      <x:c r="C384" s="70"/>
      <x:c r="D384" s="70"/>
      <x:c r="E384" s="70"/>
      <x:c r="F384" s="70"/>
    </x:row>
    <x:row r="385" ht="15" hidden="0" customHeight="1">
      <x:c r="A385" s="70"/>
      <x:c r="B385" s="70"/>
      <x:c r="C385" s="70"/>
      <x:c r="D385" s="70"/>
      <x:c r="E385" s="70"/>
      <x:c r="F385" s="70"/>
    </x:row>
    <x:row r="386" ht="15" hidden="0" customHeight="1">
      <x:c r="A386" s="70"/>
      <x:c r="B386" s="70"/>
      <x:c r="C386" s="70"/>
      <x:c r="D386" s="70"/>
      <x:c r="E386" s="70"/>
      <x:c r="F386" s="70"/>
    </x:row>
    <x:row r="387" ht="15" hidden="0" customHeight="1">
      <x:c r="A387" s="70"/>
      <x:c r="B387" s="70"/>
      <x:c r="C387" s="70"/>
      <x:c r="D387" s="70"/>
      <x:c r="E387" s="70"/>
      <x:c r="F387" s="70"/>
    </x:row>
    <x:row r="388" ht="15" hidden="0" customHeight="1">
      <x:c r="A388" s="70"/>
      <x:c r="B388" s="70"/>
      <x:c r="C388" s="70"/>
      <x:c r="D388" s="70"/>
      <x:c r="E388" s="70"/>
      <x:c r="F388" s="70"/>
    </x:row>
    <x:row r="389" ht="15" hidden="0" customHeight="1">
      <x:c r="A389" s="70"/>
      <x:c r="B389" s="70"/>
      <x:c r="C389" s="70"/>
      <x:c r="D389" s="70"/>
      <x:c r="E389" s="70"/>
      <x:c r="F389" s="70"/>
    </x:row>
    <x:row r="390" ht="15" hidden="0" customHeight="1">
      <x:c r="A390" s="70"/>
      <x:c r="B390" s="70"/>
      <x:c r="C390" s="70"/>
      <x:c r="D390" s="70"/>
      <x:c r="E390" s="70"/>
      <x:c r="F390" s="70"/>
    </x:row>
    <x:row r="391" ht="15" hidden="0" customHeight="1">
      <x:c r="A391" s="70"/>
      <x:c r="B391" s="70"/>
      <x:c r="C391" s="70"/>
      <x:c r="D391" s="70"/>
      <x:c r="E391" s="70"/>
      <x:c r="F391" s="70"/>
    </x:row>
    <x:row r="392" ht="15" hidden="0" customHeight="1">
      <x:c r="A392" s="70"/>
      <x:c r="B392" s="70"/>
      <x:c r="C392" s="70"/>
      <x:c r="D392" s="70"/>
      <x:c r="E392" s="70"/>
      <x:c r="F392" s="70"/>
    </x:row>
    <x:row r="393" ht="15" hidden="0" customHeight="1">
      <x:c r="A393" s="70"/>
      <x:c r="B393" s="70"/>
      <x:c r="C393" s="70"/>
      <x:c r="D393" s="70"/>
      <x:c r="E393" s="70"/>
      <x:c r="F393" s="70"/>
    </x:row>
    <x:row r="394" ht="15" hidden="0" customHeight="1">
      <x:c r="A394" s="70"/>
      <x:c r="B394" s="70"/>
      <x:c r="C394" s="70"/>
      <x:c r="D394" s="70"/>
      <x:c r="E394" s="70"/>
      <x:c r="F394" s="70"/>
    </x:row>
    <x:row r="395" ht="15" hidden="0" customHeight="1">
      <x:c r="A395" s="70"/>
      <x:c r="B395" s="70"/>
      <x:c r="C395" s="70"/>
      <x:c r="D395" s="70"/>
      <x:c r="E395" s="70"/>
      <x:c r="F395" s="70"/>
    </x:row>
    <x:row r="396" ht="15" hidden="0" customHeight="1">
      <x:c r="A396" s="70"/>
      <x:c r="B396" s="70"/>
      <x:c r="C396" s="70"/>
      <x:c r="D396" s="70"/>
      <x:c r="E396" s="70"/>
      <x:c r="F396" s="70"/>
    </x:row>
    <x:row r="397" ht="15" hidden="0" customHeight="1">
      <x:c r="A397" s="70"/>
      <x:c r="B397" s="70"/>
      <x:c r="C397" s="70"/>
      <x:c r="D397" s="70"/>
      <x:c r="E397" s="70"/>
      <x:c r="F397" s="70"/>
    </x:row>
    <x:row r="398" ht="15" hidden="0" customHeight="1">
      <x:c r="A398" s="70"/>
      <x:c r="B398" s="70"/>
      <x:c r="C398" s="70"/>
      <x:c r="D398" s="70"/>
      <x:c r="E398" s="70"/>
      <x:c r="F398" s="70"/>
    </x:row>
    <x:row r="399" ht="15" hidden="0" customHeight="1">
      <x:c r="A399" s="70"/>
      <x:c r="B399" s="70"/>
      <x:c r="C399" s="70"/>
      <x:c r="D399" s="70"/>
      <x:c r="E399" s="70"/>
      <x:c r="F399" s="70"/>
    </x:row>
    <x:row r="400" ht="15" hidden="0" customHeight="1">
      <x:c r="A400" s="70"/>
      <x:c r="B400" s="70"/>
      <x:c r="C400" s="70"/>
      <x:c r="D400" s="70"/>
      <x:c r="E400" s="70"/>
      <x:c r="F400" s="70"/>
    </x:row>
  </x:sheetData>
  <x:mergeCells>
    <x:mergeCell ref="A1:F1"/>
  </x:mergeCells>
  <x:pageMargins left="0.7" right="0.7" top="0.75" bottom="0.75" header="0.3" footer="0.3"/>
</x:worksheet>
</file>