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db4acf1e0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_TRUOC" sheetId="1" r:id="R3b0568c45be744ac"/>
    <x:sheet xmlns:r="http://schemas.openxmlformats.org/officeDocument/2006/relationships" name="Tasks" sheetId="2" r:id="R40e373ae76534bed"/>
    <x:sheet xmlns:r="http://schemas.openxmlformats.org/officeDocument/2006/relationships" name="WorkOrders" sheetId="3" r:id="R0a7355cec90143cf"/>
    <x:sheet xmlns:r="http://schemas.openxmlformats.org/officeDocument/2006/relationships" name="Decisions" sheetId="4" r:id="R5cd587ad6fea4b4b"/>
    <x:sheet xmlns:r="http://schemas.openxmlformats.org/officeDocument/2006/relationships" name="Methods" sheetId="5" r:id="Rc412e57e87fd4617"/>
    <x:sheet xmlns:r="http://schemas.openxmlformats.org/officeDocument/2006/relationships" name="API" sheetId="6" r:id="R6fbcce7fe4804b75"/>
    <x:sheet xmlns:r="http://schemas.openxmlformats.org/officeDocument/2006/relationships" name="ProductsUX" sheetId="7" r:id="R73723d0dcd324e74"/>
    <x:sheet xmlns:r="http://schemas.openxmlformats.org/officeDocument/2006/relationships" name="Trace" sheetId="8" r:id="R59cba6014bb3496a"/>
    <x:sheet xmlns:r="http://schemas.openxmlformats.org/officeDocument/2006/relationships" name="Gates" sheetId="9" r:id="R5265eea9ae044dc6"/>
    <x:sheet xmlns:r="http://schemas.openxmlformats.org/officeDocument/2006/relationships" name="Capacity" sheetId="10" r:id="R79fa61b12db9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9"/>
      <x:color rgb="FF17313E"/>
      <x:name val="Arial"/>
    </x:font>
    <x:font>
      <x:sz val="11"/>
      <x:color rgb="FF52636B"/>
      <x:name val="Arial"/>
    </x:font>
    <x:font>
      <x:b/>
      <x:sz val="10"/>
      <x:color rgb="FFFFFFFF"/>
      <x:name val="Arial"/>
    </x:font>
    <x:font>
      <x:sz val="10"/>
      <x:color rgb="FF172A34"/>
      <x:name val="Arial"/>
    </x:font>
    <x:font>
      <x:sz val="10"/>
      <x:color rgb="FF1755A0"/>
      <x:name val="Arial"/>
    </x:font>
    <x:font>
      <x:sz val="10"/>
      <x:color rgb="FF854A0E"/>
      <x:name val="Arial"/>
    </x:font>
    <x:font>
      <x:sz val="11"/>
      <x:color rgb="FF173B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4A"/>
      </x:patternFill>
    </x:fill>
    <x:fill>
      <x:patternFill patternType="solid">
        <x:fgColor rgb="FFE5F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241fe3dd9461d" /><Relationship Type="http://schemas.openxmlformats.org/officeDocument/2006/relationships/theme" Target="/xl/theme/theme1.xml" Id="Rc5959162bd644a97" /><Relationship Type="http://schemas.openxmlformats.org/officeDocument/2006/relationships/sharedStrings" Target="/xl/sharedStrings.xml" Id="Rfbd0e96c0d044381" /><Relationship Type="http://schemas.openxmlformats.org/officeDocument/2006/relationships/worksheet" Target="/xl/worksheets/sheet1.xml" Id="R3b0568c45be744ac" /><Relationship Type="http://schemas.openxmlformats.org/officeDocument/2006/relationships/worksheet" Target="/xl/worksheets/sheet2.xml" Id="R40e373ae76534bed" /><Relationship Type="http://schemas.openxmlformats.org/officeDocument/2006/relationships/worksheet" Target="/xl/worksheets/sheet3.xml" Id="R0a7355cec90143cf" /><Relationship Type="http://schemas.openxmlformats.org/officeDocument/2006/relationships/worksheet" Target="/xl/worksheets/sheet4.xml" Id="R5cd587ad6fea4b4b" /><Relationship Type="http://schemas.openxmlformats.org/officeDocument/2006/relationships/worksheet" Target="/xl/worksheets/sheet5.xml" Id="Rc412e57e87fd4617" /><Relationship Type="http://schemas.openxmlformats.org/officeDocument/2006/relationships/worksheet" Target="/xl/worksheets/sheet6.xml" Id="R6fbcce7fe4804b75" /><Relationship Type="http://schemas.openxmlformats.org/officeDocument/2006/relationships/worksheet" Target="/xl/worksheets/sheet7.xml" Id="R73723d0dcd324e74" /><Relationship Type="http://schemas.openxmlformats.org/officeDocument/2006/relationships/worksheet" Target="/xl/worksheets/sheet8.xml" Id="R59cba6014bb3496a" /><Relationship Type="http://schemas.openxmlformats.org/officeDocument/2006/relationships/worksheet" Target="/xl/worksheets/sheet9.xml" Id="R5265eea9ae044dc6" /><Relationship Type="http://schemas.openxmlformats.org/officeDocument/2006/relationships/worksheet" Target="/xl/worksheets/sheet10.xml" Id="R79fa61b12db94f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25" hidden="0" customWidth="1"/>
    <x:col min="3" max="3" width="110" hidden="0" customWidth="1"/>
  </x:cols>
  <x:sheetData>
    <x:row r="1" ht="36" customHeight="1">
      <x:c r="A1" s="2" t="str">
        <x:v>Life Code OS • Điều phối DEV ngày 29/10</x:v>
      </x:c>
      <x:c r="B1" s="2"/>
      <x:c r="C1" s="2"/>
    </x:row>
    <x:row r="2" ht="48" customHeight="1">
      <x:c r="A2" s="4" t="str">
        <x:v>Kế hoạch local worktree đã hợp nhất. Release HOLD. Tệp nguồn bất biến, application worktree giữ nguyên; chưa có deployment/ops/approval receipt hiện hành.</x:v>
      </x:c>
      <x:c r="B2" s="4"/>
      <x:c r="C2" s="4"/>
    </x:row>
    <x:row r="4" ht="34" customHeight="1">
      <x:c r="A4" s="8" t="str">
        <x:v>Chỉ tiêu</x:v>
      </x:c>
      <x:c r="B4" s="8" t="str">
        <x:v>Số lượng</x:v>
      </x:c>
      <x:c r="C4" s="8" t="str">
        <x:v>Ý nghĩa</x:v>
      </x:c>
    </x:row>
    <x:row r="5" ht="15" hidden="0" customHeight="1">
      <x:c r="A5" s="11" t="str">
        <x:v>Task nguồn</x:v>
      </x:c>
      <x:c r="B5" s="17" t="n">
        <x:f>COUNTA(Tasks!A5:A320)-COUNTA(WorkOrders!A5:A24)</x:f>
        <x:v>296</x:v>
      </x:c>
      <x:c r="C5" s="11" t="str">
        <x:v>140 V1 +68 V2 +72 V3 +16UPGlocal</x:v>
      </x:c>
    </x:row>
    <x:row r="6" ht="15" hidden="0" customHeight="1">
      <x:c r="A6" s="11" t="str">
        <x:v>Phần phân rã tích hợp</x:v>
      </x:c>
      <x:c r="B6" s="17" t="n">
        <x:f>COUNTA(WorkOrders!A5:A24)</x:f>
        <x:v>20</x:v>
      </x:c>
      <x:c r="C6" s="11" t="str">
        <x:v>20 INT không tự cộng effort với task nguồn</x:v>
      </x:c>
    </x:row>
    <x:row r="7" ht="15" hidden="0" customHeight="1">
      <x:c r="A7" s="11" t="str">
        <x:v>Tổng bản ghi kế hoạch</x:v>
      </x:c>
      <x:c r="B7" s="17" t="n">
        <x:f>COUNTA(Tasks!A5:A320)</x:f>
        <x:v>316</x:v>
      </x:c>
      <x:c r="C7" s="11" t="str">
        <x:v>Chưa là tỷ lệ hoàn thành dự án</x:v>
      </x:c>
    </x:row>
    <x:row r="8" ht="15" hidden="0" customHeight="1">
      <x:c r="A8" s="11" t="str">
        <x:v>Decision packets</x:v>
      </x:c>
      <x:c r="B8" s="17" t="n">
        <x:f>COUNTA(Decisions!A5:A49)</x:f>
        <x:v>45</x:v>
      </x:c>
      <x:c r="C8" s="11" t="str">
        <x:v>45 packet, approval chưa được tự duyệt</x:v>
      </x:c>
    </x:row>
    <x:row r="9" ht="15" hidden="0" customHeight="1">
      <x:c r="A9" s="11" t="str">
        <x:v>Method adapters</x:v>
      </x:c>
      <x:c r="B9" s="17" t="n">
        <x:f>COUNTA(Methods!A5:A66)</x:f>
        <x:v>62</x:v>
      </x:c>
      <x:c r="C9" s="11" t="str">
        <x:v>62 method;0 production release được chứng minh</x:v>
      </x:c>
    </x:row>
    <x:row r="10" ht="15" hidden="0" customHeight="1">
      <x:c r="A10" s="11" t="str">
        <x:v>API target operations</x:v>
      </x:c>
      <x:c r="B10" s="17" t="n">
        <x:f>COUNTA(API!A5:A103)</x:f>
        <x:v>99</x:v>
      </x:c>
      <x:c r="C10" s="11" t="str">
        <x:v>99 operation;81còn typed codegen blockers</x:v>
      </x:c>
    </x:row>
    <x:row r="11" ht="15" hidden="0" customHeight="1">
      <x:c r="A11" s="11" t="str">
        <x:v>Sản phẩm và màn hình</x:v>
      </x:c>
      <x:c r="B11" s="17" t="n">
        <x:f>COUNTA(ProductsUX!A5:A101)</x:f>
        <x:v>97</x:v>
      </x:c>
      <x:c r="C11" s="11" t="str">
        <x:v>28 product +69 screen;route/design chưa là app đã triển khai</x:v>
      </x:c>
    </x:row>
    <x:row r="12" ht="15" hidden="0" customHeight="1">
      <x:c r="A12" s="11" t="str">
        <x:v>Trace rows</x:v>
      </x:c>
      <x:c r="B12" s="17" t="n">
        <x:f>COUNTA(Trace!A5:A411)</x:f>
        <x:v>407</x:v>
      </x:c>
      <x:c r="C12" s="11" t="str">
        <x:v>407 trace;registry coverage khác với execution evidence</x:v>
      </x:c>
    </x:row>
    <x:row r="13" ht="15" hidden="0" customHeight="1">
      <x:c r="A13" s="11" t="str">
        <x:v>Task chưa có receipt hiện hành</x:v>
      </x:c>
      <x:c r="B13" s="17" t="n">
        <x:f>COUNTIF(Tasks!G5:G320,"NOT_CHECKED")</x:f>
        <x:v>316</x:v>
      </x:c>
      <x:c r="C13" s="11" t="str">
        <x:v>NOT_CHECKED, không khẳng định là chưa ai làm</x:v>
      </x:c>
    </x:row>
    <x:row r="14" ht="15" hidden="0" customHeight="1">
      <x:c r="A14" s="11" t="str">
        <x:v>Production readiness</x:v>
      </x:c>
      <x:c r="B14" s="17" t="str">
        <x:v>HOLD</x:v>
      </x:c>
      <x:c r="C14" s="11" t="str">
        <x:v>Cần exact candidate, staging, restore, legal/commercial và releasepacket</x:v>
      </x:c>
    </x:row>
    <x:row r="17">
      <x:c r="A17" s="19" t="str">
        <x:v>Nhận việc: đọc MASTER_PLAN và PROGRAM_EXECUTION_PLAN → chọn vertical slice → khóa clean candidate/diff → phân công role + reviewer → chốt decision/gate áp dụng → nhận task theo DAG → nộp positive/negative tests và rollback receipt. Chi tiết đầy đủ nằm trong JSON/Markdown kèm theo.</x:v>
      </x:c>
      <x:c r="B17" s="19"/>
      <x:c r="C17" s="19"/>
    </x:row>
    <x:row r="18">
      <x:c r="A18" s="19"/>
      <x:c r="B18" s="19"/>
      <x:c r="C18" s="19"/>
    </x:row>
    <x:row r="19">
      <x:c r="A19" s="19"/>
      <x:c r="B19" s="19"/>
      <x:c r="C19" s="19"/>
    </x:row>
  </x:sheetData>
  <x:mergeCells>
    <x:mergeCell ref="A1:C1"/>
    <x:mergeCell ref="A2:C2"/>
    <x:mergeCell ref="A17:C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62" hidden="0" customWidth="1"/>
    <x:col min="4" max="4" width="34" hidden="0" customWidth="1"/>
    <x:col min="5" max="5" width="38" hidden="0" customWidth="1"/>
    <x:col min="6" max="6" width="32" hidden="0" customWidth="1"/>
    <x:col min="7" max="7" width="25" hidden="0" customWidth="1"/>
  </x:cols>
  <x:sheetData>
    <x:row r="1" ht="36" customHeight="1">
      <x:c r="A1" s="2" t="str">
        <x:v>316 bản ghi kế hoạch DEV</x:v>
      </x:c>
      <x:c r="B1" s="2"/>
      <x:c r="C1" s="2"/>
      <x:c r="D1" s="2"/>
      <x:c r="E1" s="2"/>
      <x:c r="F1" s="2"/>
      <x:c r="G1" s="2"/>
    </x:row>
    <x:row r="2" ht="48" customHeight="1">
      <x:c r="A2" s="4" t="str">
        <x:v>296 task nguồn +20 phần phân rã tích hợp. NOT_CHECKED là chưa có receipt hiện hành, không phải kết luận task chưa được thực hiện ở lane khác. Chi tiết: execution/TASK_DEV_CONTRACTS.json.</x:v>
      </x:c>
      <x:c r="B2" s="4"/>
      <x:c r="C2" s="4"/>
      <x:c r="D2" s="4"/>
      <x:c r="E2" s="4"/>
      <x:c r="F2" s="4"/>
      <x:c r="G2" s="4"/>
    </x:row>
    <x:row r="4" ht="34" customHeight="1">
      <x:c r="A4" s="8" t="str">
        <x:v>ID</x:v>
      </x:c>
      <x:c r="B4" s="8" t="str">
        <x:v>Nguồn</x:v>
      </x:c>
      <x:c r="C4" s="8" t="str">
        <x:v>Công việc</x:v>
      </x:c>
      <x:c r="D4" s="8" t="str">
        <x:v>Vai trò chịu trách nhiệm</x:v>
      </x:c>
      <x:c r="E4" s="8" t="str">
        <x:v>Task phụ thuộc</x:v>
      </x:c>
      <x:c r="F4" s="8" t="str">
        <x:v>Quyết định / Gate</x:v>
      </x:c>
      <x:c r="G4" s="8" t="str">
        <x:v>Evidence hiện tại</x:v>
      </x:c>
    </x:row>
    <x:row r="5" ht="15" hidden="0" customHeight="1">
      <x:c r="A5" s="11" t="str">
        <x:v>P0-01</x:v>
      </x:c>
      <x:c r="B5" s="11" t="str">
        <x:v>LOCAL_R2</x:v>
      </x:c>
      <x:c r="C5" s="11" t="str">
        <x:v>Chốt scope containment và người chỉ huy</x:v>
      </x:c>
      <x:c r="D5" s="11" t="str">
        <x:v>Security + Platform</x:v>
      </x:c>
      <x:c r="E5" s="11" t="str"/>
      <x:c r="F5" s="11" t="str">
        <x:v>Q10; Q11; G01; G02; G03</x:v>
      </x:c>
      <x:c r="G5" s="11" t="str">
        <x:v>NOT_CHECKED</x:v>
      </x:c>
    </x:row>
    <x:row r="6" ht="15" hidden="0" customHeight="1">
      <x:c r="A6" s="11" t="str">
        <x:v>P0-02</x:v>
      </x:c>
      <x:c r="B6" s="11" t="str">
        <x:v>LOCAL_R2</x:v>
      </x:c>
      <x:c r="C6" s="11" t="str">
        <x:v>Lập surface inventory và lưu evidence riêng tư</x:v>
      </x:c>
      <x:c r="D6" s="11" t="str">
        <x:v>Security + Platform</x:v>
      </x:c>
      <x:c r="E6" s="11" t="str">
        <x:v>P0-08</x:v>
      </x:c>
      <x:c r="F6" s="11" t="str">
        <x:v>Q10; Q11; G01; G02; G03</x:v>
      </x:c>
      <x:c r="G6" s="11" t="str">
        <x:v>NOT_CHECKED</x:v>
      </x:c>
    </x:row>
    <x:row r="7" ht="15" hidden="0" customHeight="1">
      <x:c r="A7" s="11" t="str">
        <x:v>P0-03</x:v>
      </x:c>
      <x:c r="B7" s="11" t="str">
        <x:v>LOCAL_R2</x:v>
      </x:c>
      <x:c r="C7" s="11" t="str">
        <x:v>Khóa intake/profile/report/session legacy server-side</x:v>
      </x:c>
      <x:c r="D7" s="11" t="str">
        <x:v>Security + Platform</x:v>
      </x:c>
      <x:c r="E7" s="11" t="str">
        <x:v>P0-02</x:v>
      </x:c>
      <x:c r="F7" s="11" t="str">
        <x:v>Q10; Q11; G01; G02; G03</x:v>
      </x:c>
      <x:c r="G7" s="11" t="str">
        <x:v>NOT_CHECKED</x:v>
      </x:c>
    </x:row>
    <x:row r="8" ht="15" hidden="0" customHeight="1">
      <x:c r="A8" s="11" t="str">
        <x:v>P0-04</x:v>
      </x:c>
      <x:c r="B8" s="11" t="str">
        <x:v>LOCAL_R2</x:v>
      </x:c>
      <x:c r="C8" s="11" t="str">
        <x:v>Thu hồi token legacy và chặn cấp theo client ID</x:v>
      </x:c>
      <x:c r="D8" s="11" t="str">
        <x:v>Security + Platform</x:v>
      </x:c>
      <x:c r="E8" s="11" t="str">
        <x:v>P0-03</x:v>
      </x:c>
      <x:c r="F8" s="11" t="str">
        <x:v>Q10; Q11; G01; G02; G03</x:v>
      </x:c>
      <x:c r="G8" s="11" t="str">
        <x:v>NOT_CHECKED</x:v>
      </x:c>
    </x:row>
    <x:row r="9" ht="15" hidden="0" customHeight="1">
      <x:c r="A9" s="11" t="str">
        <x:v>P0-05</x:v>
      </x:c>
      <x:c r="B9" s="11" t="str">
        <x:v>LOCAL_R2</x:v>
      </x:c>
      <x:c r="C9" s="11" t="str">
        <x:v>Ẩn và khóa Engine Lab mọi môi trường public</x:v>
      </x:c>
      <x:c r="D9" s="11" t="str">
        <x:v>Security + Platform</x:v>
      </x:c>
      <x:c r="E9" s="11" t="str">
        <x:v>P0-03</x:v>
      </x:c>
      <x:c r="F9" s="11" t="str">
        <x:v>Q10; Q11; G01; G02; G03</x:v>
      </x:c>
      <x:c r="G9" s="11" t="str">
        <x:v>NOT_CHECKED</x:v>
      </x:c>
    </x:row>
    <x:row r="10" ht="15" hidden="0" customHeight="1">
      <x:c r="A10" s="11" t="str">
        <x:v>P0-06</x:v>
      </x:c>
      <x:c r="B10" s="11" t="str">
        <x:v>LOCAL_R2</x:v>
      </x:c>
      <x:c r="C10" s="11" t="str">
        <x:v>Cách ly LCI/timeline/risk legacy</x:v>
      </x:c>
      <x:c r="D10" s="11" t="str">
        <x:v>Security + Platform</x:v>
      </x:c>
      <x:c r="E10" s="11" t="str">
        <x:v>P0-03</x:v>
      </x:c>
      <x:c r="F10" s="11" t="str">
        <x:v>Q10; Q11; G01; G02; G03</x:v>
      </x:c>
      <x:c r="G10" s="11" t="str">
        <x:v>NOT_CHECKED</x:v>
      </x:c>
    </x:row>
    <x:row r="11" ht="15" hidden="0" customHeight="1">
      <x:c r="A11" s="11" t="str">
        <x:v>P0-07</x:v>
      </x:c>
      <x:c r="B11" s="11" t="str">
        <x:v>LOCAL_R2</x:v>
      </x:c>
      <x:c r="C11" s="11" t="str">
        <x:v>Bảo toàn và phân loại hồ sơ legacy</x:v>
      </x:c>
      <x:c r="D11" s="11" t="str">
        <x:v>Security + Platform</x:v>
      </x:c>
      <x:c r="E11" s="11" t="str">
        <x:v>P0-02</x:v>
      </x:c>
      <x:c r="F11" s="11" t="str">
        <x:v>Q10; Q11; G01; G02; G03</x:v>
      </x:c>
      <x:c r="G11" s="11" t="str">
        <x:v>NOT_CHECKED</x:v>
      </x:c>
    </x:row>
    <x:row r="12" ht="15" hidden="0" customHeight="1">
      <x:c r="A12" s="11" t="str">
        <x:v>P0-08</x:v>
      </x:c>
      <x:c r="B12" s="11" t="str">
        <x:v>LOCAL_R2</x:v>
      </x:c>
      <x:c r="C12" s="11" t="str">
        <x:v>Xác minh clean clone ngoài thư mục iCloud</x:v>
      </x:c>
      <x:c r="D12" s="11" t="str">
        <x:v>Security + Platform</x:v>
      </x:c>
      <x:c r="E12" s="11" t="str">
        <x:v>P0-01</x:v>
      </x:c>
      <x:c r="F12" s="11" t="str">
        <x:v>Q10; Q11; G01; G02; G03</x:v>
      </x:c>
      <x:c r="G12" s="11" t="str">
        <x:v>NOT_CHECKED</x:v>
      </x:c>
    </x:row>
    <x:row r="13" ht="15" hidden="0" customHeight="1">
      <x:c r="A13" s="11" t="str">
        <x:v>P0-09</x:v>
      </x:c>
      <x:c r="B13" s="11" t="str">
        <x:v>LOCAL_R2</x:v>
      </x:c>
      <x:c r="C13" s="11" t="str">
        <x:v>Build allowlist và quét artifact tĩnh</x:v>
      </x:c>
      <x:c r="D13" s="11" t="str">
        <x:v>Security + Platform</x:v>
      </x:c>
      <x:c r="E13" s="11" t="str">
        <x:v>P0-08</x:v>
      </x:c>
      <x:c r="F13" s="11" t="str">
        <x:v>Q10; Q11; G01; G02; G03</x:v>
      </x:c>
      <x:c r="G13" s="11" t="str">
        <x:v>NOT_CHECKED</x:v>
      </x:c>
    </x:row>
    <x:row r="14" ht="15" hidden="0" customHeight="1">
      <x:c r="A14" s="11" t="str">
        <x:v>P0-10</x:v>
      </x:c>
      <x:c r="B14" s="11" t="str">
        <x:v>LOCAL_R2</x:v>
      </x:c>
      <x:c r="C14" s="11" t="str">
        <x:v>Deploy containment có approval và receipt</x:v>
      </x:c>
      <x:c r="D14" s="11" t="str">
        <x:v>Security + Platform</x:v>
      </x:c>
      <x:c r="E14" s="11" t="str">
        <x:v>P0-03; P0-04; P0-05; P0-06; P0-07; P0-09</x:v>
      </x:c>
      <x:c r="F14" s="11" t="str">
        <x:v>Q10; Q11; G01; G02; G03</x:v>
      </x:c>
      <x:c r="G14" s="11" t="str">
        <x:v>NOT_CHECKED</x:v>
      </x:c>
    </x:row>
    <x:row r="15" ht="15" hidden="0" customHeight="1">
      <x:c r="A15" s="11" t="str">
        <x:v>GOV-01</x:v>
      </x:c>
      <x:c r="B15" s="11" t="str">
        <x:v>LOCAL_R2</x:v>
      </x:c>
      <x:c r="C15" s="11" t="str">
        <x:v>Khóa Q1–Q12 và Q13–Q20</x:v>
      </x:c>
      <x:c r="D15" s="11" t="str">
        <x:v>Founder + Product + Legal</x:v>
      </x:c>
      <x:c r="E15" s="11" t="str">
        <x:v>P0-02</x:v>
      </x:c>
      <x:c r="F15" s="11" t="str">
        <x:v>Q1; Q2; Q3; Q8; Q12; Q20; G04; G06</x:v>
      </x:c>
      <x:c r="G15" s="11" t="str">
        <x:v>NOT_CHECKED</x:v>
      </x:c>
    </x:row>
    <x:row r="16" ht="15" hidden="0" customHeight="1">
      <x:c r="A16" s="11" t="str">
        <x:v>GOV-02</x:v>
      </x:c>
      <x:c r="B16" s="11" t="str">
        <x:v>LOCAL_R2</x:v>
      </x:c>
      <x:c r="C16" s="11" t="str">
        <x:v>Chốt thuật ngữ VI/EN và claim taxonomy</x:v>
      </x:c>
      <x:c r="D16" s="11" t="str">
        <x:v>Founder + Product + Legal</x:v>
      </x:c>
      <x:c r="E16" s="11" t="str">
        <x:v>GOV-01</x:v>
      </x:c>
      <x:c r="F16" s="11" t="str">
        <x:v>Q1; Q2; Q3; Q8; Q12; Q20; G04; G06</x:v>
      </x:c>
      <x:c r="G16" s="11" t="str">
        <x:v>NOT_CHECKED</x:v>
      </x:c>
    </x:row>
    <x:row r="17" ht="15" hidden="0" customHeight="1">
      <x:c r="A17" s="11" t="str">
        <x:v>GOV-03</x:v>
      </x:c>
      <x:c r="B17" s="11" t="str">
        <x:v>LOCAL_R2</x:v>
      </x:c>
      <x:c r="C17" s="11" t="str">
        <x:v>Chọn pháp nhân dịch vụ và data roles</x:v>
      </x:c>
      <x:c r="D17" s="11" t="str">
        <x:v>Founder + Product + Legal</x:v>
      </x:c>
      <x:c r="E17" s="11" t="str">
        <x:v>GOV-02</x:v>
      </x:c>
      <x:c r="F17" s="11" t="str">
        <x:v>Q1; Q2; Q3; Q8; Q12; Q20; G04; G06</x:v>
      </x:c>
      <x:c r="G17" s="11" t="str">
        <x:v>NOT_CHECKED</x:v>
      </x:c>
    </x:row>
    <x:row r="18" ht="15" hidden="0" customHeight="1">
      <x:c r="A18" s="11" t="str">
        <x:v>GOV-04</x:v>
      </x:c>
      <x:c r="B18" s="11" t="str">
        <x:v>LOCAL_R2</x:v>
      </x:c>
      <x:c r="C18" s="11" t="str">
        <x:v>Phê duyệt privacy purposes và notices</x:v>
      </x:c>
      <x:c r="D18" s="11" t="str">
        <x:v>Founder + Product + Legal</x:v>
      </x:c>
      <x:c r="E18" s="11" t="str">
        <x:v>GOV-03</x:v>
      </x:c>
      <x:c r="F18" s="11" t="str">
        <x:v>Q1; Q2; Q3; Q8; Q12; Q20; G04; G06</x:v>
      </x:c>
      <x:c r="G18" s="11" t="str">
        <x:v>NOT_CHECKED</x:v>
      </x:c>
    </x:row>
    <x:row r="19" ht="15" hidden="0" customHeight="1">
      <x:c r="A19" s="11" t="str">
        <x:v>GOV-05</x:v>
      </x:c>
      <x:c r="B19" s="11" t="str">
        <x:v>LOCAL_R2</x:v>
      </x:c>
      <x:c r="C19" s="11" t="str">
        <x:v>Rà soát luật Việt Nam2026 theo chức năng</x:v>
      </x:c>
      <x:c r="D19" s="11" t="str">
        <x:v>Founder + Product + Legal</x:v>
      </x:c>
      <x:c r="E19" s="11" t="str">
        <x:v>GOV-04</x:v>
      </x:c>
      <x:c r="F19" s="11" t="str">
        <x:v>Q1; Q2; Q3; Q8; Q12; Q20; G04; G06</x:v>
      </x:c>
      <x:c r="G19" s="11" t="str">
        <x:v>NOT_CHECKED</x:v>
      </x:c>
    </x:row>
    <x:row r="20" ht="15" hidden="0" customHeight="1">
      <x:c r="A20" s="11" t="str">
        <x:v>GOV-06</x:v>
      </x:c>
      <x:c r="B20" s="11" t="str">
        <x:v>LOCAL_R2</x:v>
      </x:c>
      <x:c r="C20" s="11" t="str">
        <x:v>Đánh giá IdP/DB/payment/AI vendors</x:v>
      </x:c>
      <x:c r="D20" s="11" t="str">
        <x:v>Founder + Product + Legal</x:v>
      </x:c>
      <x:c r="E20" s="11" t="str">
        <x:v>GOV-05</x:v>
      </x:c>
      <x:c r="F20" s="11" t="str">
        <x:v>Q1; Q2; Q3; Q8; Q12; Q20; G04; G06</x:v>
      </x:c>
      <x:c r="G20" s="11" t="str">
        <x:v>NOT_CHECKED</x:v>
      </x:c>
    </x:row>
    <x:row r="21" ht="15" hidden="0" customHeight="1">
      <x:c r="A21" s="11" t="str">
        <x:v>GOV-07</x:v>
      </x:c>
      <x:c r="B21" s="11" t="str">
        <x:v>LOCAL_R2</x:v>
      </x:c>
      <x:c r="C21" s="11" t="str">
        <x:v>Thiết kế quyền nguồn và học liệu</x:v>
      </x:c>
      <x:c r="D21" s="11" t="str">
        <x:v>Founder + Product + Legal</x:v>
      </x:c>
      <x:c r="E21" s="11" t="str">
        <x:v>GOV-06</x:v>
      </x:c>
      <x:c r="F21" s="11" t="str">
        <x:v>Q1; Q2; Q3; Q8; Q12; Q20; G04; G06</x:v>
      </x:c>
      <x:c r="G21" s="11" t="str">
        <x:v>NOT_CHECKED</x:v>
      </x:c>
    </x:row>
    <x:row r="22" ht="15" hidden="0" customHeight="1">
      <x:c r="A22" s="11" t="str">
        <x:v>GOV-08</x:v>
      </x:c>
      <x:c r="B22" s="11" t="str">
        <x:v>LOCAL_R2</x:v>
      </x:c>
      <x:c r="C22" s="11" t="str">
        <x:v>Lập release policy và change authority</x:v>
      </x:c>
      <x:c r="D22" s="11" t="str">
        <x:v>Founder + Product + Legal</x:v>
      </x:c>
      <x:c r="E22" s="11" t="str">
        <x:v>GOV-07</x:v>
      </x:c>
      <x:c r="F22" s="11" t="str">
        <x:v>Q1; Q2; Q3; Q8; Q12; Q20; G04; G06</x:v>
      </x:c>
      <x:c r="G22" s="11" t="str">
        <x:v>NOT_CHECKED</x:v>
      </x:c>
    </x:row>
    <x:row r="23" ht="15" hidden="0" customHeight="1">
      <x:c r="A23" s="11" t="str">
        <x:v>GOV-09</x:v>
      </x:c>
      <x:c r="B23" s="11" t="str">
        <x:v>LOCAL_R2</x:v>
      </x:c>
      <x:c r="C23" s="11" t="str">
        <x:v>Chốt first pilot adults/self và scope loại trừ</x:v>
      </x:c>
      <x:c r="D23" s="11" t="str">
        <x:v>Founder + Product + Legal</x:v>
      </x:c>
      <x:c r="E23" s="11" t="str">
        <x:v>GOV-08</x:v>
      </x:c>
      <x:c r="F23" s="11" t="str">
        <x:v>Q1; Q2; Q3; Q8; Q12; Q20; G04; G06</x:v>
      </x:c>
      <x:c r="G23" s="11" t="str">
        <x:v>NOT_CHECKED</x:v>
      </x:c>
    </x:row>
    <x:row r="24" ht="15" hidden="0" customHeight="1">
      <x:c r="A24" s="11" t="str">
        <x:v>GOV-10</x:v>
      </x:c>
      <x:c r="B24" s="11" t="str">
        <x:v>LOCAL_R2</x:v>
      </x:c>
      <x:c r="C24" s="11" t="str">
        <x:v>Chốt phương án xử lý báo cáo sai legacy</x:v>
      </x:c>
      <x:c r="D24" s="11" t="str">
        <x:v>Founder + Product + Legal</x:v>
      </x:c>
      <x:c r="E24" s="11" t="str">
        <x:v>GOV-09</x:v>
      </x:c>
      <x:c r="F24" s="11" t="str">
        <x:v>Q1; Q2; Q3; Q8; Q12; Q20; G04; G06</x:v>
      </x:c>
      <x:c r="G24" s="11" t="str">
        <x:v>NOT_CHECKED</x:v>
      </x:c>
    </x:row>
    <x:row r="25" ht="15" hidden="0" customHeight="1">
      <x:c r="A25" s="11" t="str">
        <x:v>TRUST-01</x:v>
      </x:c>
      <x:c r="B25" s="11" t="str">
        <x:v>LOCAL_R2</x:v>
      </x:c>
      <x:c r="C25" s="11" t="str">
        <x:v>Tích hợp OIDC/BFF session chuẩn</x:v>
      </x:c>
      <x:c r="D25" s="11" t="str">
        <x:v>Backend + Security</x:v>
      </x:c>
      <x:c r="E25" s="11" t="str">
        <x:v>P0-10; GOV-04</x:v>
      </x:c>
      <x:c r="F25" s="11" t="str">
        <x:v>Q4; Q9; Q15; G02; G03; G05</x:v>
      </x:c>
      <x:c r="G25" s="11" t="str">
        <x:v>NOT_CHECKED</x:v>
      </x:c>
    </x:row>
    <x:row r="26" ht="15" hidden="0" customHeight="1">
      <x:c r="A26" s="11" t="str">
        <x:v>TRUST-02</x:v>
      </x:c>
      <x:c r="B26" s="11" t="str">
        <x:v>LOCAL_R2</x:v>
      </x:c>
      <x:c r="C26" s="11" t="str">
        <x:v>Session digest, expiry, rotation, recovery</x:v>
      </x:c>
      <x:c r="D26" s="11" t="str">
        <x:v>Backend + Security</x:v>
      </x:c>
      <x:c r="E26" s="11" t="str">
        <x:v>TRUST-01</x:v>
      </x:c>
      <x:c r="F26" s="11" t="str">
        <x:v>Q4; Q9; Q15; G02; G03; G05</x:v>
      </x:c>
      <x:c r="G26" s="11" t="str">
        <x:v>NOT_CHECKED</x:v>
      </x:c>
    </x:row>
    <x:row r="27" ht="15" hidden="0" customHeight="1">
      <x:c r="A27" s="11" t="str">
        <x:v>TRUST-03</x:v>
      </x:c>
      <x:c r="B27" s="11" t="str">
        <x:v>LOCAL_R2</x:v>
      </x:c>
      <x:c r="C27" s="11" t="str">
        <x:v>Schema account/subject/grant/purpose</x:v>
      </x:c>
      <x:c r="D27" s="11" t="str">
        <x:v>Backend + Security</x:v>
      </x:c>
      <x:c r="E27" s="11" t="str">
        <x:v>TRUST-02</x:v>
      </x:c>
      <x:c r="F27" s="11" t="str">
        <x:v>Q4; Q9; Q15; G02; G03; G05</x:v>
      </x:c>
      <x:c r="G27" s="11" t="str">
        <x:v>NOT_CHECKED</x:v>
      </x:c>
    </x:row>
    <x:row r="28" ht="15" hidden="0" customHeight="1">
      <x:c r="A28" s="11" t="str">
        <x:v>TRUST-04</x:v>
      </x:c>
      <x:c r="B28" s="11" t="str">
        <x:v>LOCAL_R2</x:v>
      </x:c>
      <x:c r="C28" s="11" t="str">
        <x:v>Owner/object authorization middleware</x:v>
      </x:c>
      <x:c r="D28" s="11" t="str">
        <x:v>Backend + Security</x:v>
      </x:c>
      <x:c r="E28" s="11" t="str">
        <x:v>TRUST-03</x:v>
      </x:c>
      <x:c r="F28" s="11" t="str">
        <x:v>Q4; Q9; Q15; G02; G03; G05</x:v>
      </x:c>
      <x:c r="G28" s="11" t="str">
        <x:v>NOT_CHECKED</x:v>
      </x:c>
    </x:row>
    <x:row r="29" ht="15" hidden="0" customHeight="1">
      <x:c r="A29" s="11" t="str">
        <x:v>TRUST-05</x:v>
      </x:c>
      <x:c r="B29" s="11" t="str">
        <x:v>LOCAL_R2</x:v>
      </x:c>
      <x:c r="C29" s="11" t="str">
        <x:v>RLS tenant/subject với trusted context</x:v>
      </x:c>
      <x:c r="D29" s="11" t="str">
        <x:v>Backend + Security</x:v>
      </x:c>
      <x:c r="E29" s="11" t="str">
        <x:v>TRUST-04</x:v>
      </x:c>
      <x:c r="F29" s="11" t="str">
        <x:v>Q4; Q9; Q15; G02; G03; G05</x:v>
      </x:c>
      <x:c r="G29" s="11" t="str">
        <x:v>NOT_CHECKED</x:v>
      </x:c>
    </x:row>
    <x:row r="30" ht="15" hidden="0" customHeight="1">
      <x:c r="A30" s="11" t="str">
        <x:v>TRUST-06</x:v>
      </x:c>
      <x:c r="B30" s="11" t="str">
        <x:v>LOCAL_R2</x:v>
      </x:c>
      <x:c r="C30" s="11" t="str">
        <x:v>CSRF, Origin và CORS đúng vai trò</x:v>
      </x:c>
      <x:c r="D30" s="11" t="str">
        <x:v>Backend + Security</x:v>
      </x:c>
      <x:c r="E30" s="11" t="str">
        <x:v>TRUST-05</x:v>
      </x:c>
      <x:c r="F30" s="11" t="str">
        <x:v>Q4; Q9; Q15; G02; G03; G05</x:v>
      </x:c>
      <x:c r="G30" s="11" t="str">
        <x:v>NOT_CHECKED</x:v>
      </x:c>
    </x:row>
    <x:row r="31" ht="15" hidden="0" customHeight="1">
      <x:c r="A31" s="11" t="str">
        <x:v>TRUST-07</x:v>
      </x:c>
      <x:c r="B31" s="11" t="str">
        <x:v>LOCAL_R2</x:v>
      </x:c>
      <x:c r="C31" s="11" t="str">
        <x:v>Field/section sharing và grant expiry</x:v>
      </x:c>
      <x:c r="D31" s="11" t="str">
        <x:v>Backend + Security</x:v>
      </x:c>
      <x:c r="E31" s="11" t="str">
        <x:v>TRUST-06</x:v>
      </x:c>
      <x:c r="F31" s="11" t="str">
        <x:v>Q4; Q9; Q15; G02; G03; G05</x:v>
      </x:c>
      <x:c r="G31" s="11" t="str">
        <x:v>NOT_CHECKED</x:v>
      </x:c>
    </x:row>
    <x:row r="32" ht="15" hidden="0" customHeight="1">
      <x:c r="A32" s="11" t="str">
        <x:v>TRUST-08</x:v>
      </x:c>
      <x:c r="B32" s="11" t="str">
        <x:v>LOCAL_R2</x:v>
      </x:c>
      <x:c r="C32" s="11" t="str">
        <x:v>Intake consent và purpose versioning</x:v>
      </x:c>
      <x:c r="D32" s="11" t="str">
        <x:v>Backend + Security</x:v>
      </x:c>
      <x:c r="E32" s="11" t="str">
        <x:v>TRUST-07</x:v>
      </x:c>
      <x:c r="F32" s="11" t="str">
        <x:v>Q4; Q9; Q15; G02; G03; G05</x:v>
      </x:c>
      <x:c r="G32" s="11" t="str">
        <x:v>NOT_CHECKED</x:v>
      </x:c>
    </x:row>
    <x:row r="33" ht="15" hidden="0" customHeight="1">
      <x:c r="A33" s="11" t="str">
        <x:v>TRUST-09</x:v>
      </x:c>
      <x:c r="B33" s="11" t="str">
        <x:v>LOCAL_R2</x:v>
      </x:c>
      <x:c r="C33" s="11" t="str">
        <x:v>Private media staging và authorized download</x:v>
      </x:c>
      <x:c r="D33" s="11" t="str">
        <x:v>Backend + Security</x:v>
      </x:c>
      <x:c r="E33" s="11" t="str">
        <x:v>TRUST-08</x:v>
      </x:c>
      <x:c r="F33" s="11" t="str">
        <x:v>Q4; Q9; Q15; G02; G03; G05</x:v>
      </x:c>
      <x:c r="G33" s="11" t="str">
        <x:v>NOT_CHECKED</x:v>
      </x:c>
    </x:row>
    <x:row r="34" ht="15" hidden="0" customHeight="1">
      <x:c r="A34" s="11" t="str">
        <x:v>TRUST-10</x:v>
      </x:c>
      <x:c r="B34" s="11" t="str">
        <x:v>LOCAL_R2</x:v>
      </x:c>
      <x:c r="C34" s="11" t="str">
        <x:v>Break-glass có dual review và expiry</x:v>
      </x:c>
      <x:c r="D34" s="11" t="str">
        <x:v>Backend + Security</x:v>
      </x:c>
      <x:c r="E34" s="11" t="str">
        <x:v>TRUST-09</x:v>
      </x:c>
      <x:c r="F34" s="11" t="str">
        <x:v>Q4; Q9; Q15; G02; G03; G05</x:v>
      </x:c>
      <x:c r="G34" s="11" t="str">
        <x:v>NOT_CHECKED</x:v>
      </x:c>
    </x:row>
    <x:row r="35" ht="15" hidden="0" customHeight="1">
      <x:c r="A35" s="11" t="str">
        <x:v>DATA-01</x:v>
      </x:c>
      <x:c r="B35" s="11" t="str">
        <x:v>LOCAL_R2</x:v>
      </x:c>
      <x:c r="C35" s="11" t="str">
        <x:v>Triển khai profile version và hypotheses</x:v>
      </x:c>
      <x:c r="D35" s="11" t="str">
        <x:v>Data Lead + QA</x:v>
      </x:c>
      <x:c r="E35" s="11" t="str">
        <x:v>TRUST-03</x:v>
      </x:c>
      <x:c r="F35" s="11" t="str">
        <x:v>Q4; Q5; Q9; Q15; G05; G07; G10</x:v>
      </x:c>
      <x:c r="G35" s="11" t="str">
        <x:v>NOT_CHECKED</x:v>
      </x:c>
    </x:row>
    <x:row r="36" ht="15" hidden="0" customHeight="1">
      <x:c r="A36" s="11" t="str">
        <x:v>DATA-02</x:v>
      </x:c>
      <x:c r="B36" s="11" t="str">
        <x:v>LOCAL_R2</x:v>
      </x:c>
      <x:c r="C36" s="11" t="str">
        <x:v>Định nghĩa120field và mức cần thu</x:v>
      </x:c>
      <x:c r="D36" s="11" t="str">
        <x:v>Data Lead + QA</x:v>
      </x:c>
      <x:c r="E36" s="11" t="str">
        <x:v>DATA-01</x:v>
      </x:c>
      <x:c r="F36" s="11" t="str">
        <x:v>Q4; Q5; Q9; Q15; G05; G07; G10</x:v>
      </x:c>
      <x:c r="G36" s="11" t="str">
        <x:v>NOT_CHECKED</x:v>
      </x:c>
    </x:row>
    <x:row r="37" ht="15" hidden="0" customHeight="1">
      <x:c r="A37" s="11" t="str">
        <x:v>DATA-03</x:v>
      </x:c>
      <x:c r="B37" s="11" t="str">
        <x:v>LOCAL_R2</x:v>
      </x:c>
      <x:c r="C37" s="11" t="str">
        <x:v>D1 inventory và ownership quarantine</x:v>
      </x:c>
      <x:c r="D37" s="11" t="str">
        <x:v>Data Lead + QA</x:v>
      </x:c>
      <x:c r="E37" s="11" t="str">
        <x:v>DATA-02</x:v>
      </x:c>
      <x:c r="F37" s="11" t="str">
        <x:v>Q4; Q5; Q9; Q15; G05; G07; G10</x:v>
      </x:c>
      <x:c r="G37" s="11" t="str">
        <x:v>NOT_CHECKED</x:v>
      </x:c>
    </x:row>
    <x:row r="38" ht="15" hidden="0" customHeight="1">
      <x:c r="A38" s="11" t="str">
        <x:v>DATA-04</x:v>
      </x:c>
      <x:c r="B38" s="11" t="str">
        <x:v>LOCAL_R2</x:v>
      </x:c>
      <x:c r="C38" s="11" t="str">
        <x:v>Dry-run D1→PostgreSQL bằng synthetic</x:v>
      </x:c>
      <x:c r="D38" s="11" t="str">
        <x:v>Data Lead + QA</x:v>
      </x:c>
      <x:c r="E38" s="11" t="str">
        <x:v>DATA-03</x:v>
      </x:c>
      <x:c r="F38" s="11" t="str">
        <x:v>Q4; Q5; Q9; Q15; G05; G07; G10</x:v>
      </x:c>
      <x:c r="G38" s="11" t="str">
        <x:v>NOT_CHECKED</x:v>
      </x:c>
    </x:row>
    <x:row r="39" ht="15" hidden="0" customHeight="1">
      <x:c r="A39" s="11" t="str">
        <x:v>DATA-05</x:v>
      </x:c>
      <x:c r="B39" s="11" t="str">
        <x:v>LOCAL_R2</x:v>
      </x:c>
      <x:c r="C39" s="11" t="str">
        <x:v>Migration rehearsal với quyền được cấp riêng</x:v>
      </x:c>
      <x:c r="D39" s="11" t="str">
        <x:v>Data Lead + QA</x:v>
      </x:c>
      <x:c r="E39" s="11" t="str">
        <x:v>DATA-04</x:v>
      </x:c>
      <x:c r="F39" s="11" t="str">
        <x:v>Q4; Q5; Q9; Q15; G05; G07; G10</x:v>
      </x:c>
      <x:c r="G39" s="11" t="str">
        <x:v>NOT_CHECKED</x:v>
      </x:c>
    </x:row>
    <x:row r="40" ht="15" hidden="0" customHeight="1">
      <x:c r="A40" s="11" t="str">
        <x:v>DATA-06</x:v>
      </x:c>
      <x:c r="B40" s="11" t="str">
        <x:v>LOCAL_R2</x:v>
      </x:c>
      <x:c r="C40" s="11" t="str">
        <x:v>Outbox và job receipt schema</x:v>
      </x:c>
      <x:c r="D40" s="11" t="str">
        <x:v>Data Lead + QA</x:v>
      </x:c>
      <x:c r="E40" s="11" t="str">
        <x:v>DATA-05</x:v>
      </x:c>
      <x:c r="F40" s="11" t="str">
        <x:v>Q4; Q5; Q9; Q15; G05; G07; G10</x:v>
      </x:c>
      <x:c r="G40" s="11" t="str">
        <x:v>NOT_CHECKED</x:v>
      </x:c>
    </x:row>
    <x:row r="41" ht="15" hidden="0" customHeight="1">
      <x:c r="A41" s="11" t="str">
        <x:v>DATA-07</x:v>
      </x:c>
      <x:c r="B41" s="11" t="str">
        <x:v>LOCAL_R2</x:v>
      </x:c>
      <x:c r="C41" s="11" t="str">
        <x:v>Deletion orchestrator xuyên hệ</x:v>
      </x:c>
      <x:c r="D41" s="11" t="str">
        <x:v>Data Lead + QA</x:v>
      </x:c>
      <x:c r="E41" s="11" t="str">
        <x:v>DATA-06</x:v>
      </x:c>
      <x:c r="F41" s="11" t="str">
        <x:v>Q4; Q5; Q9; Q15; G05; G07; G10</x:v>
      </x:c>
      <x:c r="G41" s="11" t="str">
        <x:v>NOT_CHECKED</x:v>
      </x:c>
    </x:row>
    <x:row r="42" ht="15" hidden="0" customHeight="1">
      <x:c r="A42" s="11" t="str">
        <x:v>DATA-08</x:v>
      </x:c>
      <x:c r="B42" s="11" t="str">
        <x:v>LOCAL_R2</x:v>
      </x:c>
      <x:c r="C42" s="11" t="str">
        <x:v>Legal hold và backup tombstones</x:v>
      </x:c>
      <x:c r="D42" s="11" t="str">
        <x:v>Data Lead + QA</x:v>
      </x:c>
      <x:c r="E42" s="11" t="str">
        <x:v>DATA-07</x:v>
      </x:c>
      <x:c r="F42" s="11" t="str">
        <x:v>Q4; Q5; Q9; Q15; G05; G07; G10</x:v>
      </x:c>
      <x:c r="G42" s="11" t="str">
        <x:v>NOT_CHECKED</x:v>
      </x:c>
    </x:row>
    <x:row r="43" ht="15" hidden="0" customHeight="1">
      <x:c r="A43" s="11" t="str">
        <x:v>DATA-09</x:v>
      </x:c>
      <x:c r="B43" s="11" t="str">
        <x:v>LOCAL_R2</x:v>
      </x:c>
      <x:c r="C43" s="11" t="str">
        <x:v>Export/correction self-service</x:v>
      </x:c>
      <x:c r="D43" s="11" t="str">
        <x:v>Data Lead + QA</x:v>
      </x:c>
      <x:c r="E43" s="11" t="str">
        <x:v>DATA-08</x:v>
      </x:c>
      <x:c r="F43" s="11" t="str">
        <x:v>Q4; Q5; Q9; Q15; G05; G07; G10</x:v>
      </x:c>
      <x:c r="G43" s="11" t="str">
        <x:v>NOT_CHECKED</x:v>
      </x:c>
    </x:row>
    <x:row r="44" ht="15" hidden="0" customHeight="1">
      <x:c r="A44" s="11" t="str">
        <x:v>DATA-10</x:v>
      </x:c>
      <x:c r="B44" s="11" t="str">
        <x:v>LOCAL_R2</x:v>
      </x:c>
      <x:c r="C44" s="11" t="str">
        <x:v>Cutover single writer và revert plan</x:v>
      </x:c>
      <x:c r="D44" s="11" t="str">
        <x:v>Data Lead + QA</x:v>
      </x:c>
      <x:c r="E44" s="11" t="str">
        <x:v>DATA-09</x:v>
      </x:c>
      <x:c r="F44" s="11" t="str">
        <x:v>Q4; Q5; Q9; Q15; G05; G07; G10</x:v>
      </x:c>
      <x:c r="G44" s="11" t="str">
        <x:v>NOT_CHECKED</x:v>
      </x:c>
    </x:row>
    <x:row r="45" ht="15" hidden="0" customHeight="1">
      <x:c r="A45" s="11" t="str">
        <x:v>METHOD-01</x:v>
      </x:c>
      <x:c r="B45" s="11" t="str">
        <x:v>LOCAL_R2</x:v>
      </x:c>
      <x:c r="C45" s="11" t="str">
        <x:v>NFC/transliteration/name-cycle passport</x:v>
      </x:c>
      <x:c r="D45" s="11" t="str">
        <x:v>Method Council + Engineer</x:v>
      </x:c>
      <x:c r="E45" s="11" t="str">
        <x:v>GOV-07</x:v>
      </x:c>
      <x:c r="F45" s="11" t="str">
        <x:v>Q2; Q3; Q5; Q6; Q12; G06</x:v>
      </x:c>
      <x:c r="G45" s="11" t="str">
        <x:v>NOT_CHECKED</x:v>
      </x:c>
    </x:row>
    <x:row r="46" ht="15" hidden="0" customHeight="1">
      <x:c r="A46" s="11" t="str">
        <x:v>METHOD-02</x:v>
      </x:c>
      <x:c r="B46" s="11" t="str">
        <x:v>LOCAL_R2</x:v>
      </x:c>
      <x:c r="C46" s="11" t="str">
        <x:v>Birth sums và calendar-year policy</x:v>
      </x:c>
      <x:c r="D46" s="11" t="str">
        <x:v>Method Council + Engineer</x:v>
      </x:c>
      <x:c r="E46" s="11" t="str">
        <x:v>METHOD-01</x:v>
      </x:c>
      <x:c r="F46" s="11" t="str">
        <x:v>Q2; Q3; Q5; Q6; Q12; G06</x:v>
      </x:c>
      <x:c r="G46" s="11" t="str">
        <x:v>NOT_CHECKED</x:v>
      </x:c>
    </x:row>
    <x:row r="47" ht="15" hidden="0" customHeight="1">
      <x:c r="A47" s="11" t="str">
        <x:v>METHOD-03</x:v>
      </x:c>
      <x:c r="B47" s="11" t="str">
        <x:v>LOCAL_R2</x:v>
      </x:c>
      <x:c r="C47" s="11" t="str">
        <x:v>Timezone/date precision và leap rules</x:v>
      </x:c>
      <x:c r="D47" s="11" t="str">
        <x:v>Method Council + Engineer</x:v>
      </x:c>
      <x:c r="E47" s="11" t="str">
        <x:v>METHOD-02</x:v>
      </x:c>
      <x:c r="F47" s="11" t="str">
        <x:v>Q2; Q3; Q5; Q6; Q12; G06</x:v>
      </x:c>
      <x:c r="G47" s="11" t="str">
        <x:v>NOT_CHECKED</x:v>
      </x:c>
    </x:row>
    <x:row r="48" ht="15" hidden="0" customHeight="1">
      <x:c r="A48" s="11" t="str">
        <x:v>METHOD-04</x:v>
      </x:c>
      <x:c r="B48" s="11" t="str">
        <x:v>LOCAL_R2</x:v>
      </x:c>
      <x:c r="C48" s="11" t="str">
        <x:v>Mã đuôi80 với zero policy</x:v>
      </x:c>
      <x:c r="D48" s="11" t="str">
        <x:v>Method Council + Engineer</x:v>
      </x:c>
      <x:c r="E48" s="11" t="str">
        <x:v>METHOD-03</x:v>
      </x:c>
      <x:c r="F48" s="11" t="str">
        <x:v>Q2; Q3; Q5; Q6; Q12; G06</x:v>
      </x:c>
      <x:c r="G48" s="11" t="str">
        <x:v>NOT_CHECKED</x:v>
      </x:c>
    </x:row>
    <x:row r="49" ht="15" hidden="0" customHeight="1">
      <x:c r="A49" s="11" t="str">
        <x:v>METHOD-05</x:v>
      </x:c>
      <x:c r="B49" s="11" t="str">
        <x:v>LOCAL_R2</x:v>
      </x:c>
      <x:c r="C49" s="11" t="str">
        <x:v>Registry80 label/source/editorial riêng</x:v>
      </x:c>
      <x:c r="D49" s="11" t="str">
        <x:v>Method Council + Engineer</x:v>
      </x:c>
      <x:c r="E49" s="11" t="str">
        <x:v>METHOD-04</x:v>
      </x:c>
      <x:c r="F49" s="11" t="str">
        <x:v>Q2; Q3; Q5; Q6; Q12; G06</x:v>
      </x:c>
      <x:c r="G49" s="11" t="str">
        <x:v>NOT_CHECKED</x:v>
      </x:c>
    </x:row>
    <x:row r="50" ht="15" hidden="0" customHeight="1">
      <x:c r="A50" s="11" t="str">
        <x:v>METHOD-06</x:v>
      </x:c>
      <x:c r="B50" s="11" t="str">
        <x:v>LOCAL_R2</x:v>
      </x:c>
      <x:c r="C50" s="11" t="str">
        <x:v>64cặp số và unresolved0/5</x:v>
      </x:c>
      <x:c r="D50" s="11" t="str">
        <x:v>Method Council + Engineer</x:v>
      </x:c>
      <x:c r="E50" s="11" t="str">
        <x:v>METHOD-05</x:v>
      </x:c>
      <x:c r="F50" s="11" t="str">
        <x:v>Q2; Q3; Q5; Q6; Q12; G06</x:v>
      </x:c>
      <x:c r="G50" s="11" t="str">
        <x:v>NOT_CHECKED</x:v>
      </x:c>
    </x:row>
    <x:row r="51" ht="15" hidden="0" customHeight="1">
      <x:c r="A51" s="11" t="str">
        <x:v>METHOD-07</x:v>
      </x:c>
      <x:c r="B51" s="11" t="str">
        <x:v>LOCAL_R2</x:v>
      </x:c>
      <x:c r="C51" s="11" t="str">
        <x:v>Server-required coverage và nullable metrics</x:v>
      </x:c>
      <x:c r="D51" s="11" t="str">
        <x:v>Method Council + Engineer</x:v>
      </x:c>
      <x:c r="E51" s="11" t="str">
        <x:v>METHOD-06</x:v>
      </x:c>
      <x:c r="F51" s="11" t="str">
        <x:v>Q2; Q3; Q5; Q6; Q12; G06</x:v>
      </x:c>
      <x:c r="G51" s="11" t="str">
        <x:v>NOT_CHECKED</x:v>
      </x:c>
    </x:row>
    <x:row r="52" ht="15" hidden="0" customHeight="1">
      <x:c r="A52" s="11" t="str">
        <x:v>METHOD-08</x:v>
      </x:c>
      <x:c r="B52" s="11" t="str">
        <x:v>LOCAL_R2</x:v>
      </x:c>
      <x:c r="C52" s="11" t="str">
        <x:v>Age intervals0–99 và4timeline tracks</x:v>
      </x:c>
      <x:c r="D52" s="11" t="str">
        <x:v>Method Council + Engineer</x:v>
      </x:c>
      <x:c r="E52" s="11" t="str">
        <x:v>METHOD-07</x:v>
      </x:c>
      <x:c r="F52" s="11" t="str">
        <x:v>Q2; Q3; Q5; Q6; Q12; G06</x:v>
      </x:c>
      <x:c r="G52" s="11" t="str">
        <x:v>NOT_CHECKED</x:v>
      </x:c>
    </x:row>
    <x:row r="53" ht="15" hidden="0" customHeight="1">
      <x:c r="A53" s="11" t="str">
        <x:v>METHOD-09</x:v>
      </x:c>
      <x:c r="B53" s="11" t="str">
        <x:v>LOCAL_R2</x:v>
      </x:c>
      <x:c r="C53" s="11" t="str">
        <x:v>Goal progress metric từ observation</x:v>
      </x:c>
      <x:c r="D53" s="11" t="str">
        <x:v>Method Council + Engineer</x:v>
      </x:c>
      <x:c r="E53" s="11" t="str">
        <x:v>METHOD-08</x:v>
      </x:c>
      <x:c r="F53" s="11" t="str">
        <x:v>Q2; Q3; Q5; Q6; Q12; G06</x:v>
      </x:c>
      <x:c r="G53" s="11" t="str">
        <x:v>NOT_CHECKED</x:v>
      </x:c>
    </x:row>
    <x:row r="54" ht="15" hidden="0" customHeight="1">
      <x:c r="A54" s="11" t="str">
        <x:v>METHOD-10</x:v>
      </x:c>
      <x:c r="B54" s="11" t="str">
        <x:v>LOCAL_R2</x:v>
      </x:c>
      <x:c r="C54" s="11" t="str">
        <x:v>Method release registry và revoke impact</x:v>
      </x:c>
      <x:c r="D54" s="11" t="str">
        <x:v>Method Council + Engineer</x:v>
      </x:c>
      <x:c r="E54" s="11" t="str">
        <x:v>METHOD-09</x:v>
      </x:c>
      <x:c r="F54" s="11" t="str">
        <x:v>Q2; Q3; Q5; Q6; Q12; G06</x:v>
      </x:c>
      <x:c r="G54" s="11" t="str">
        <x:v>NOT_CHECKED</x:v>
      </x:c>
    </x:row>
    <x:row r="55" ht="15" hidden="0" customHeight="1">
      <x:c r="A55" s="11" t="str">
        <x:v>WEB-01</x:v>
      </x:c>
      <x:c r="B55" s="11" t="str">
        <x:v>LOCAL_R2</x:v>
      </x:c>
      <x:c r="C55" s="11" t="str">
        <x:v>Chỉnh home/levels claims và giữ URL</x:v>
      </x:c>
      <x:c r="D55" s="11" t="str">
        <x:v>Frontend + UX</x:v>
      </x:c>
      <x:c r="E55" s="11" t="str">
        <x:v>GOV-02; TRUST-03</x:v>
      </x:c>
      <x:c r="F55" s="11" t="str">
        <x:v>Q1; Q9; Q13; Q20; G03; G08; G12</x:v>
      </x:c>
      <x:c r="G55" s="11" t="str">
        <x:v>NOT_CHECKED</x:v>
      </x:c>
    </x:row>
    <x:row r="56" ht="15" hidden="0" customHeight="1">
      <x:c r="A56" s="11" t="str">
        <x:v>WEB-02</x:v>
      </x:c>
      <x:c r="B56" s="11" t="str">
        <x:v>LOCAL_R2</x:v>
      </x:c>
      <x:c r="C56" s="11" t="str">
        <x:v>Guest deterministic tools không tài khoản</x:v>
      </x:c>
      <x:c r="D56" s="11" t="str">
        <x:v>Frontend + UX</x:v>
      </x:c>
      <x:c r="E56" s="11" t="str">
        <x:v>WEB-01</x:v>
      </x:c>
      <x:c r="F56" s="11" t="str">
        <x:v>Q1; Q9; Q13; Q20; G03; G08; G12</x:v>
      </x:c>
      <x:c r="G56" s="11" t="str">
        <x:v>NOT_CHECKED</x:v>
      </x:c>
    </x:row>
    <x:row r="57" ht="15" hidden="0" customHeight="1">
      <x:c r="A57" s="11" t="str">
        <x:v>WEB-03</x:v>
      </x:c>
      <x:c r="B57" s="11" t="str">
        <x:v>LOCAL_R2</x:v>
      </x:c>
      <x:c r="C57" s="11" t="str">
        <x:v>Needs-first onboarding và save-draft</x:v>
      </x:c>
      <x:c r="D57" s="11" t="str">
        <x:v>Frontend + UX</x:v>
      </x:c>
      <x:c r="E57" s="11" t="str">
        <x:v>WEB-02</x:v>
      </x:c>
      <x:c r="F57" s="11" t="str">
        <x:v>Q1; Q9; Q13; Q20; G03; G08; G12</x:v>
      </x:c>
      <x:c r="G57" s="11" t="str">
        <x:v>NOT_CHECKED</x:v>
      </x:c>
    </x:row>
    <x:row r="58" ht="15" hidden="0" customHeight="1">
      <x:c r="A58" s="11" t="str">
        <x:v>WEB-04</x:v>
      </x:c>
      <x:c r="B58" s="11" t="str">
        <x:v>LOCAL_R2</x:v>
      </x:c>
      <x:c r="C58" s="11" t="str">
        <x:v>Profile/hypothesis editor</x:v>
      </x:c>
      <x:c r="D58" s="11" t="str">
        <x:v>Frontend + UX</x:v>
      </x:c>
      <x:c r="E58" s="11" t="str">
        <x:v>WEB-03</x:v>
      </x:c>
      <x:c r="F58" s="11" t="str">
        <x:v>Q1; Q9; Q13; Q20; G03; G08; G12</x:v>
      </x:c>
      <x:c r="G58" s="11" t="str">
        <x:v>NOT_CHECKED</x:v>
      </x:c>
    </x:row>
    <x:row r="59" ht="15" hidden="0" customHeight="1">
      <x:c r="A59" s="11" t="str">
        <x:v>WEB-05</x:v>
      </x:c>
      <x:c r="B59" s="11" t="str">
        <x:v>LOCAL_R2</x:v>
      </x:c>
      <x:c r="C59" s="11" t="str">
        <x:v>Consent center/access grants UI</x:v>
      </x:c>
      <x:c r="D59" s="11" t="str">
        <x:v>Frontend + UX</x:v>
      </x:c>
      <x:c r="E59" s="11" t="str">
        <x:v>WEB-04</x:v>
      </x:c>
      <x:c r="F59" s="11" t="str">
        <x:v>Q1; Q9; Q13; Q20; G03; G08; G12</x:v>
      </x:c>
      <x:c r="G59" s="11" t="str">
        <x:v>NOT_CHECKED</x:v>
      </x:c>
    </x:row>
    <x:row r="60" ht="15" hidden="0" customHeight="1">
      <x:c r="A60" s="11" t="str">
        <x:v>WEB-06</x:v>
      </x:c>
      <x:c r="B60" s="11" t="str">
        <x:v>LOCAL_R2</x:v>
      </x:c>
      <x:c r="C60" s="11" t="str">
        <x:v>Dashboard goals/actions/data completeness</x:v>
      </x:c>
      <x:c r="D60" s="11" t="str">
        <x:v>Frontend + UX</x:v>
      </x:c>
      <x:c r="E60" s="11" t="str">
        <x:v>WEB-05</x:v>
      </x:c>
      <x:c r="F60" s="11" t="str">
        <x:v>Q1; Q9; Q13; Q20; G03; G08; G12</x:v>
      </x:c>
      <x:c r="G60" s="11" t="str">
        <x:v>NOT_CHECKED</x:v>
      </x:c>
    </x:row>
    <x:row r="61" ht="15" hidden="0" customHeight="1">
      <x:c r="A61" s="11" t="str">
        <x:v>WEB-07</x:v>
      </x:c>
      <x:c r="B61" s="11" t="str">
        <x:v>LOCAL_R2</x:v>
      </x:c>
      <x:c r="C61" s="11" t="str">
        <x:v>Journal/resonance check-in</x:v>
      </x:c>
      <x:c r="D61" s="11" t="str">
        <x:v>Frontend + UX</x:v>
      </x:c>
      <x:c r="E61" s="11" t="str">
        <x:v>WEB-06</x:v>
      </x:c>
      <x:c r="F61" s="11" t="str">
        <x:v>Q1; Q9; Q13; Q20; G03; G08; G12</x:v>
      </x:c>
      <x:c r="G61" s="11" t="str">
        <x:v>NOT_CHECKED</x:v>
      </x:c>
    </x:row>
    <x:row r="62" ht="15" hidden="0" customHeight="1">
      <x:c r="A62" s="11" t="str">
        <x:v>WEB-08</x:v>
      </x:c>
      <x:c r="B62" s="11" t="str">
        <x:v>LOCAL_R2</x:v>
      </x:c>
      <x:c r="C62" s="11" t="str">
        <x:v>Report reader/diff/revision/withdrawn</x:v>
      </x:c>
      <x:c r="D62" s="11" t="str">
        <x:v>Frontend + UX</x:v>
      </x:c>
      <x:c r="E62" s="11" t="str">
        <x:v>WEB-07</x:v>
      </x:c>
      <x:c r="F62" s="11" t="str">
        <x:v>Q1; Q9; Q13; Q20; G03; G08; G12</x:v>
      </x:c>
      <x:c r="G62" s="11" t="str">
        <x:v>NOT_CHECKED</x:v>
      </x:c>
    </x:row>
    <x:row r="63" ht="15" hidden="0" customHeight="1">
      <x:c r="A63" s="11" t="str">
        <x:v>WEB-09</x:v>
      </x:c>
      <x:c r="B63" s="11" t="str">
        <x:v>LOCAL_R2</x:v>
      </x:c>
      <x:c r="C63" s="11" t="str">
        <x:v>Responsive/i18n/date/RTL foundation</x:v>
      </x:c>
      <x:c r="D63" s="11" t="str">
        <x:v>Frontend + UX</x:v>
      </x:c>
      <x:c r="E63" s="11" t="str">
        <x:v>WEB-08</x:v>
      </x:c>
      <x:c r="F63" s="11" t="str">
        <x:v>Q1; Q9; Q13; Q20; G03; G08; G12</x:v>
      </x:c>
      <x:c r="G63" s="11" t="str">
        <x:v>NOT_CHECKED</x:v>
      </x:c>
    </x:row>
    <x:row r="64" ht="15" hidden="0" customHeight="1">
      <x:c r="A64" s="11" t="str">
        <x:v>WEB-10</x:v>
      </x:c>
      <x:c r="B64" s="11" t="str">
        <x:v>LOCAL_R2</x:v>
      </x:c>
      <x:c r="C64" s="11" t="str">
        <x:v>WCAG2.2AA kiểm thử flow chính</x:v>
      </x:c>
      <x:c r="D64" s="11" t="str">
        <x:v>Frontend + UX</x:v>
      </x:c>
      <x:c r="E64" s="11" t="str">
        <x:v>WEB-09</x:v>
      </x:c>
      <x:c r="F64" s="11" t="str">
        <x:v>Q1; Q9; Q13; Q20; G03; G08; G12</x:v>
      </x:c>
      <x:c r="G64" s="11" t="str">
        <x:v>NOT_CHECKED</x:v>
      </x:c>
    </x:row>
    <x:row r="65" ht="15" hidden="0" customHeight="1">
      <x:c r="A65" s="11" t="str">
        <x:v>API-01</x:v>
      </x:c>
      <x:c r="B65" s="11" t="str">
        <x:v>LOCAL_R2</x:v>
      </x:c>
      <x:c r="C65" s="11" t="str">
        <x:v>OpenAPI3.1 contract generation</x:v>
      </x:c>
      <x:c r="D65" s="11" t="str">
        <x:v>Backend + QA</x:v>
      </x:c>
      <x:c r="E65" s="11" t="str">
        <x:v>TRUST-04; DATA-01</x:v>
      </x:c>
      <x:c r="F65" s="11" t="str">
        <x:v>Q4; Q9; Q15; G03; G06; G09</x:v>
      </x:c>
      <x:c r="G65" s="11" t="str">
        <x:v>NOT_CHECKED</x:v>
      </x:c>
    </x:row>
    <x:row r="66" ht="15" hidden="0" customHeight="1">
      <x:c r="A66" s="11" t="str">
        <x:v>API-02</x:v>
      </x:c>
      <x:c r="B66" s="11" t="str">
        <x:v>LOCAL_R2</x:v>
      </x:c>
      <x:c r="C66" s="11" t="str">
        <x:v>Subject/profile/observation CRUD</x:v>
      </x:c>
      <x:c r="D66" s="11" t="str">
        <x:v>Backend + QA</x:v>
      </x:c>
      <x:c r="E66" s="11" t="str">
        <x:v>API-01</x:v>
      </x:c>
      <x:c r="F66" s="11" t="str">
        <x:v>Q4; Q9; Q15; G03; G06; G09</x:v>
      </x:c>
      <x:c r="G66" s="11" t="str">
        <x:v>NOT_CHECKED</x:v>
      </x:c>
    </x:row>
    <x:row r="67" ht="15" hidden="0" customHeight="1">
      <x:c r="A67" s="11" t="str">
        <x:v>API-03</x:v>
      </x:c>
      <x:c r="B67" s="11" t="str">
        <x:v>LOCAL_R2</x:v>
      </x:c>
      <x:c r="C67" s="11" t="str">
        <x:v>Analysis run create/status/cancel</x:v>
      </x:c>
      <x:c r="D67" s="11" t="str">
        <x:v>Backend + QA</x:v>
      </x:c>
      <x:c r="E67" s="11" t="str">
        <x:v>API-02</x:v>
      </x:c>
      <x:c r="F67" s="11" t="str">
        <x:v>Q4; Q9; Q15; G03; G06; G09</x:v>
      </x:c>
      <x:c r="G67" s="11" t="str">
        <x:v>NOT_CHECKED</x:v>
      </x:c>
    </x:row>
    <x:row r="68" ht="15" hidden="0" customHeight="1">
      <x:c r="A68" s="11" t="str">
        <x:v>API-04</x:v>
      </x:c>
      <x:c r="B68" s="11" t="str">
        <x:v>LOCAL_R2</x:v>
      </x:c>
      <x:c r="C68" s="11" t="str">
        <x:v>Claim/result scoped retrieval</x:v>
      </x:c>
      <x:c r="D68" s="11" t="str">
        <x:v>Backend + QA</x:v>
      </x:c>
      <x:c r="E68" s="11" t="str">
        <x:v>API-03</x:v>
      </x:c>
      <x:c r="F68" s="11" t="str">
        <x:v>Q4; Q9; Q15; G03; G06; G09</x:v>
      </x:c>
      <x:c r="G68" s="11" t="str">
        <x:v>NOT_CHECKED</x:v>
      </x:c>
    </x:row>
    <x:row r="69" ht="15" hidden="0" customHeight="1">
      <x:c r="A69" s="11" t="str">
        <x:v>API-05</x:v>
      </x:c>
      <x:c r="B69" s="11" t="str">
        <x:v>LOCAL_R2</x:v>
      </x:c>
      <x:c r="C69" s="11" t="str">
        <x:v>Plan/action/check-in APIs</x:v>
      </x:c>
      <x:c r="D69" s="11" t="str">
        <x:v>Backend + QA</x:v>
      </x:c>
      <x:c r="E69" s="11" t="str">
        <x:v>API-04</x:v>
      </x:c>
      <x:c r="F69" s="11" t="str">
        <x:v>Q4; Q9; Q15; G03; G06; G09</x:v>
      </x:c>
      <x:c r="G69" s="11" t="str">
        <x:v>NOT_CHECKED</x:v>
      </x:c>
    </x:row>
    <x:row r="70" ht="15" hidden="0" customHeight="1">
      <x:c r="A70" s="11" t="str">
        <x:v>API-06</x:v>
      </x:c>
      <x:c r="B70" s="11" t="str">
        <x:v>LOCAL_R2</x:v>
      </x:c>
      <x:c r="C70" s="11" t="str">
        <x:v>Report snapshot/review/export/download</x:v>
      </x:c>
      <x:c r="D70" s="11" t="str">
        <x:v>Backend + QA</x:v>
      </x:c>
      <x:c r="E70" s="11" t="str">
        <x:v>API-05</x:v>
      </x:c>
      <x:c r="F70" s="11" t="str">
        <x:v>Q4; Q9; Q15; G03; G06; G09</x:v>
      </x:c>
      <x:c r="G70" s="11" t="str">
        <x:v>NOT_CHECKED</x:v>
      </x:c>
    </x:row>
    <x:row r="71" ht="15" hidden="0" customHeight="1">
      <x:c r="A71" s="11" t="str">
        <x:v>API-07</x:v>
      </x:c>
      <x:c r="B71" s="11" t="str">
        <x:v>LOCAL_R2</x:v>
      </x:c>
      <x:c r="C71" s="11" t="str">
        <x:v>Catalog/order/entitlement APIs</x:v>
      </x:c>
      <x:c r="D71" s="11" t="str">
        <x:v>Backend + QA</x:v>
      </x:c>
      <x:c r="E71" s="11" t="str">
        <x:v>API-06</x:v>
      </x:c>
      <x:c r="F71" s="11" t="str">
        <x:v>Q4; Q9; Q15; G03; G06; G09</x:v>
      </x:c>
      <x:c r="G71" s="11" t="str">
        <x:v>NOT_CHECKED</x:v>
      </x:c>
    </x:row>
    <x:row r="72" ht="15" hidden="0" customHeight="1">
      <x:c r="A72" s="11" t="str">
        <x:v>API-08</x:v>
      </x:c>
      <x:c r="B72" s="11" t="str">
        <x:v>LOCAL_R2</x:v>
      </x:c>
      <x:c r="C72" s="11" t="str">
        <x:v>Practice case/sharing APIs</x:v>
      </x:c>
      <x:c r="D72" s="11" t="str">
        <x:v>Backend + QA</x:v>
      </x:c>
      <x:c r="E72" s="11" t="str">
        <x:v>API-07</x:v>
      </x:c>
      <x:c r="F72" s="11" t="str">
        <x:v>Q4; Q9; Q15; G03; G06; G09</x:v>
      </x:c>
      <x:c r="G72" s="11" t="str">
        <x:v>NOT_CHECKED</x:v>
      </x:c>
    </x:row>
    <x:row r="73" ht="15" hidden="0" customHeight="1">
      <x:c r="A73" s="11" t="str">
        <x:v>API-09</x:v>
      </x:c>
      <x:c r="B73" s="11" t="str">
        <x:v>LOCAL_R2</x:v>
      </x:c>
      <x:c r="C73" s="11" t="str">
        <x:v>Legacy route410/adapter migration</x:v>
      </x:c>
      <x:c r="D73" s="11" t="str">
        <x:v>Backend + QA</x:v>
      </x:c>
      <x:c r="E73" s="11" t="str">
        <x:v>API-08</x:v>
      </x:c>
      <x:c r="F73" s="11" t="str">
        <x:v>Q4; Q9; Q15; G03; G06; G09</x:v>
      </x:c>
      <x:c r="G73" s="11" t="str">
        <x:v>NOT_CHECKED</x:v>
      </x:c>
    </x:row>
    <x:row r="74" ht="15" hidden="0" customHeight="1">
      <x:c r="A74" s="11" t="str">
        <x:v>API-10</x:v>
      </x:c>
      <x:c r="B74" s="11" t="str">
        <x:v>LOCAL_R2</x:v>
      </x:c>
      <x:c r="C74" s="11" t="str">
        <x:v>Contract-to-E2E negative suite</x:v>
      </x:c>
      <x:c r="D74" s="11" t="str">
        <x:v>Backend + QA</x:v>
      </x:c>
      <x:c r="E74" s="11" t="str">
        <x:v>API-09</x:v>
      </x:c>
      <x:c r="F74" s="11" t="str">
        <x:v>Q4; Q9; Q15; G03; G06; G09</x:v>
      </x:c>
      <x:c r="G74" s="11" t="str">
        <x:v>NOT_CHECKED</x:v>
      </x:c>
    </x:row>
    <x:row r="75" ht="15" hidden="0" customHeight="1">
      <x:c r="A75" s="11" t="str">
        <x:v>AI-01</x:v>
      </x:c>
      <x:c r="B75" s="11" t="str">
        <x:v>LOCAL_R2</x:v>
      </x:c>
      <x:c r="C75" s="11" t="str">
        <x:v>Provider gateway và per-purpose policy</x:v>
      </x:c>
      <x:c r="D75" s="11" t="str">
        <x:v>AI Lead + Editorial</x:v>
      </x:c>
      <x:c r="E75" s="11" t="str">
        <x:v>GOV-06; METHOD-10</x:v>
      </x:c>
      <x:c r="F75" s="11" t="str">
        <x:v>Q3; Q7; Q9; Q15; Q16; G06; G08</x:v>
      </x:c>
      <x:c r="G75" s="11" t="str">
        <x:v>NOT_CHECKED</x:v>
      </x:c>
    </x:row>
    <x:row r="76" ht="15" hidden="0" customHeight="1">
      <x:c r="A76" s="11" t="str">
        <x:v>AI-02</x:v>
      </x:c>
      <x:c r="B76" s="11" t="str">
        <x:v>LOCAL_R2</x:v>
      </x:c>
      <x:c r="C76" s="11" t="str">
        <x:v>Source ingestion với ACL và rights</x:v>
      </x:c>
      <x:c r="D76" s="11" t="str">
        <x:v>AI Lead + Editorial</x:v>
      </x:c>
      <x:c r="E76" s="11" t="str">
        <x:v>AI-01</x:v>
      </x:c>
      <x:c r="F76" s="11" t="str">
        <x:v>Q3; Q7; Q9; Q15; Q16; G06; G08</x:v>
      </x:c>
      <x:c r="G76" s="11" t="str">
        <x:v>NOT_CHECKED</x:v>
      </x:c>
    </x:row>
    <x:row r="77" ht="15" hidden="0" customHeight="1">
      <x:c r="A77" s="11" t="str">
        <x:v>AI-03</x:v>
      </x:c>
      <x:c r="B77" s="11" t="str">
        <x:v>LOCAL_R2</x:v>
      </x:c>
      <x:c r="C77" s="11" t="str">
        <x:v>Retriever subject/tenant trước và sau search</x:v>
      </x:c>
      <x:c r="D77" s="11" t="str">
        <x:v>AI Lead + Editorial</x:v>
      </x:c>
      <x:c r="E77" s="11" t="str">
        <x:v>AI-02</x:v>
      </x:c>
      <x:c r="F77" s="11" t="str">
        <x:v>Q3; Q7; Q9; Q15; Q16; G06; G08</x:v>
      </x:c>
      <x:c r="G77" s="11" t="str">
        <x:v>NOT_CHECKED</x:v>
      </x:c>
    </x:row>
    <x:row r="78" ht="15" hidden="0" customHeight="1">
      <x:c r="A78" s="11" t="str">
        <x:v>AI-04</x:v>
      </x:c>
      <x:c r="B78" s="11" t="str">
        <x:v>LOCAL_R2</x:v>
      </x:c>
      <x:c r="C78" s="11" t="str">
        <x:v>Claim-driven synthesis tool contract</x:v>
      </x:c>
      <x:c r="D78" s="11" t="str">
        <x:v>AI Lead + Editorial</x:v>
      </x:c>
      <x:c r="E78" s="11" t="str">
        <x:v>AI-03</x:v>
      </x:c>
      <x:c r="F78" s="11" t="str">
        <x:v>Q3; Q7; Q9; Q15; Q16; G06; G08</x:v>
      </x:c>
      <x:c r="G78" s="11" t="str">
        <x:v>NOT_CHECKED</x:v>
      </x:c>
    </x:row>
    <x:row r="79" ht="15" hidden="0" customHeight="1">
      <x:c r="A79" s="11" t="str">
        <x:v>AI-05</x:v>
      </x:c>
      <x:c r="B79" s="11" t="str">
        <x:v>LOCAL_R2</x:v>
      </x:c>
      <x:c r="C79" s="11" t="str">
        <x:v>Writer VI và glossary</x:v>
      </x:c>
      <x:c r="D79" s="11" t="str">
        <x:v>AI Lead + Editorial</x:v>
      </x:c>
      <x:c r="E79" s="11" t="str">
        <x:v>AI-04</x:v>
      </x:c>
      <x:c r="F79" s="11" t="str">
        <x:v>Q3; Q7; Q9; Q15; Q16; G06; G08</x:v>
      </x:c>
      <x:c r="G79" s="11" t="str">
        <x:v>NOT_CHECKED</x:v>
      </x:c>
    </x:row>
    <x:row r="80" ht="15" hidden="0" customHeight="1">
      <x:c r="A80" s="11" t="str">
        <x:v>AI-06</x:v>
      </x:c>
      <x:c r="B80" s="11" t="str">
        <x:v>LOCAL_R2</x:v>
      </x:c>
      <x:c r="C80" s="11" t="str">
        <x:v>Reviewer deterministic số liệu và sources</x:v>
      </x:c>
      <x:c r="D80" s="11" t="str">
        <x:v>AI Lead + Editorial</x:v>
      </x:c>
      <x:c r="E80" s="11" t="str">
        <x:v>AI-05</x:v>
      </x:c>
      <x:c r="F80" s="11" t="str">
        <x:v>Q3; Q7; Q9; Q15; Q16; G06; G08</x:v>
      </x:c>
      <x:c r="G80" s="11" t="str">
        <x:v>NOT_CHECKED</x:v>
      </x:c>
    </x:row>
    <x:row r="81" ht="15" hidden="0" customHeight="1">
      <x:c r="A81" s="11" t="str">
        <x:v>AI-07</x:v>
      </x:c>
      <x:c r="B81" s="11" t="str">
        <x:v>LOCAL_R2</x:v>
      </x:c>
      <x:c r="C81" s="11" t="str">
        <x:v>Prompt injection regression multilang</x:v>
      </x:c>
      <x:c r="D81" s="11" t="str">
        <x:v>AI Lead + Editorial</x:v>
      </x:c>
      <x:c r="E81" s="11" t="str">
        <x:v>AI-06</x:v>
      </x:c>
      <x:c r="F81" s="11" t="str">
        <x:v>Q3; Q7; Q9; Q15; Q16; G06; G08</x:v>
      </x:c>
      <x:c r="G81" s="11" t="str">
        <x:v>NOT_CHECKED</x:v>
      </x:c>
    </x:row>
    <x:row r="82" ht="15" hidden="0" customHeight="1">
      <x:c r="A82" s="11" t="str">
        <x:v>AI-08</x:v>
      </x:c>
      <x:c r="B82" s="11" t="str">
        <x:v>LOCAL_R2</x:v>
      </x:c>
      <x:c r="C82" s="11" t="str">
        <x:v>Budget/quota/circuitbreaker/degrade</x:v>
      </x:c>
      <x:c r="D82" s="11" t="str">
        <x:v>AI Lead + Editorial</x:v>
      </x:c>
      <x:c r="E82" s="11" t="str">
        <x:v>AI-07</x:v>
      </x:c>
      <x:c r="F82" s="11" t="str">
        <x:v>Q3; Q7; Q9; Q15; Q16; G06; G08</x:v>
      </x:c>
      <x:c r="G82" s="11" t="str">
        <x:v>NOT_CHECKED</x:v>
      </x:c>
    </x:row>
    <x:row r="83" ht="15" hidden="0" customHeight="1">
      <x:c r="A83" s="11" t="str">
        <x:v>AI-09</x:v>
      </x:c>
      <x:c r="B83" s="11" t="str">
        <x:v>LOCAL_R2</x:v>
      </x:c>
      <x:c r="C83" s="11" t="str">
        <x:v>AI tutor/support scope tools</x:v>
      </x:c>
      <x:c r="D83" s="11" t="str">
        <x:v>AI Lead + Editorial</x:v>
      </x:c>
      <x:c r="E83" s="11" t="str">
        <x:v>AI-08</x:v>
      </x:c>
      <x:c r="F83" s="11" t="str">
        <x:v>Q3; Q7; Q9; Q15; Q16; G06; G08</x:v>
      </x:c>
      <x:c r="G83" s="11" t="str">
        <x:v>NOT_CHECKED</x:v>
      </x:c>
    </x:row>
    <x:row r="84" ht="15" hidden="0" customHeight="1">
      <x:c r="A84" s="11" t="str">
        <x:v>AI-10</x:v>
      </x:c>
      <x:c r="B84" s="11" t="str">
        <x:v>LOCAL_R2</x:v>
      </x:c>
      <x:c r="C84" s="11" t="str">
        <x:v>Autonomy center và opt-in reminders</x:v>
      </x:c>
      <x:c r="D84" s="11" t="str">
        <x:v>AI Lead + Editorial</x:v>
      </x:c>
      <x:c r="E84" s="11" t="str">
        <x:v>AI-09</x:v>
      </x:c>
      <x:c r="F84" s="11" t="str">
        <x:v>Q3; Q7; Q9; Q15; Q16; G06; G08</x:v>
      </x:c>
      <x:c r="G84" s="11" t="str">
        <x:v>NOT_CHECKED</x:v>
      </x:c>
    </x:row>
    <x:row r="85" ht="15" hidden="0" customHeight="1">
      <x:c r="A85" s="11" t="str">
        <x:v>REPORT-01</x:v>
      </x:c>
      <x:c r="B85" s="11" t="str">
        <x:v>LOCAL_R2</x:v>
      </x:c>
      <x:c r="C85" s="11" t="str">
        <x:v>Structured content tree và snapshot schema</x:v>
      </x:c>
      <x:c r="D85" s="11" t="str">
        <x:v>Report Lead + Editorial</x:v>
      </x:c>
      <x:c r="E85" s="11" t="str">
        <x:v>AI-05; API-06</x:v>
      </x:c>
      <x:c r="F85" s="11" t="str">
        <x:v>Q2; Q3; Q5; Q7; Q9; Q12; G08</x:v>
      </x:c>
      <x:c r="G85" s="11" t="str">
        <x:v>NOT_CHECKED</x:v>
      </x:c>
    </x:row>
    <x:row r="86" ht="15" hidden="0" customHeight="1">
      <x:c r="A86" s="11" t="str">
        <x:v>REPORT-02</x:v>
      </x:c>
      <x:c r="B86" s="11" t="str">
        <x:v>LOCAL_R2</x:v>
      </x:c>
      <x:c r="C86" s="11" t="str">
        <x:v>Template L1 chuẩn đọc và30dayactions</x:v>
      </x:c>
      <x:c r="D86" s="11" t="str">
        <x:v>Report Lead + Editorial</x:v>
      </x:c>
      <x:c r="E86" s="11" t="str">
        <x:v>REPORT-01</x:v>
      </x:c>
      <x:c r="F86" s="11" t="str">
        <x:v>Q2; Q3; Q5; Q7; Q9; Q12; G08</x:v>
      </x:c>
      <x:c r="G86" s="11" t="str">
        <x:v>NOT_CHECKED</x:v>
      </x:c>
    </x:row>
    <x:row r="87" ht="15" hidden="0" customHeight="1">
      <x:c r="A87" s="11" t="str">
        <x:v>REPORT-03</x:v>
      </x:c>
      <x:c r="B87" s="11" t="str">
        <x:v>LOCAL_R2</x:v>
      </x:c>
      <x:c r="C87" s="11" t="str">
        <x:v>Templates L2–L5 dữ liệu thực</x:v>
      </x:c>
      <x:c r="D87" s="11" t="str">
        <x:v>Report Lead + Editorial</x:v>
      </x:c>
      <x:c r="E87" s="11" t="str">
        <x:v>REPORT-02</x:v>
      </x:c>
      <x:c r="F87" s="11" t="str">
        <x:v>Q2; Q3; Q5; Q7; Q9; Q12; G08</x:v>
      </x:c>
      <x:c r="G87" s="11" t="str">
        <x:v>NOT_CHECKED</x:v>
      </x:c>
    </x:row>
    <x:row r="88" ht="15" hidden="0" customHeight="1">
      <x:c r="A88" s="11" t="str">
        <x:v>REPORT-04</x:v>
      </x:c>
      <x:c r="B88" s="11" t="str">
        <x:v>LOCAL_R2</x:v>
      </x:c>
      <x:c r="C88" s="11" t="str">
        <x:v>Templates L6–L9 và dedup book</x:v>
      </x:c>
      <x:c r="D88" s="11" t="str">
        <x:v>Report Lead + Editorial</x:v>
      </x:c>
      <x:c r="E88" s="11" t="str">
        <x:v>REPORT-03</x:v>
      </x:c>
      <x:c r="F88" s="11" t="str">
        <x:v>Q2; Q3; Q5; Q7; Q9; Q12; G08</x:v>
      </x:c>
      <x:c r="G88" s="11" t="str">
        <x:v>NOT_CHECKED</x:v>
      </x:c>
    </x:row>
    <x:row r="89" ht="15" hidden="0" customHeight="1">
      <x:c r="A89" s="11" t="str">
        <x:v>REPORT-05</x:v>
      </x:c>
      <x:c r="B89" s="11" t="str">
        <x:v>LOCAL_R2</x:v>
      </x:c>
      <x:c r="C89" s="11" t="str">
        <x:v>HTML/Web renderer accessible</x:v>
      </x:c>
      <x:c r="D89" s="11" t="str">
        <x:v>Report Lead + Editorial</x:v>
      </x:c>
      <x:c r="E89" s="11" t="str">
        <x:v>REPORT-04</x:v>
      </x:c>
      <x:c r="F89" s="11" t="str">
        <x:v>Q2; Q3; Q5; Q7; Q9; Q12; G08</x:v>
      </x:c>
      <x:c r="G89" s="11" t="str">
        <x:v>NOT_CHECKED</x:v>
      </x:c>
    </x:row>
    <x:row r="90" ht="15" hidden="0" customHeight="1">
      <x:c r="A90" s="11" t="str">
        <x:v>REPORT-06</x:v>
      </x:c>
      <x:c r="B90" s="11" t="str">
        <x:v>LOCAL_R2</x:v>
      </x:c>
      <x:c r="C90" s="11" t="str">
        <x:v>PDF render sandbox font/link/bookmark</x:v>
      </x:c>
      <x:c r="D90" s="11" t="str">
        <x:v>Report Lead + Editorial</x:v>
      </x:c>
      <x:c r="E90" s="11" t="str">
        <x:v>REPORT-05</x:v>
      </x:c>
      <x:c r="F90" s="11" t="str">
        <x:v>Q2; Q3; Q5; Q7; Q9; Q12; G08</x:v>
      </x:c>
      <x:c r="G90" s="11" t="str">
        <x:v>NOT_CHECKED</x:v>
      </x:c>
    </x:row>
    <x:row r="91" ht="15" hidden="0" customHeight="1">
      <x:c r="A91" s="11" t="str">
        <x:v>REPORT-07</x:v>
      </x:c>
      <x:c r="B91" s="11" t="str">
        <x:v>LOCAL_R2</x:v>
      </x:c>
      <x:c r="C91" s="11" t="str">
        <x:v>DOCX exporter headings/TOC/table</x:v>
      </x:c>
      <x:c r="D91" s="11" t="str">
        <x:v>Report Lead + Editorial</x:v>
      </x:c>
      <x:c r="E91" s="11" t="str">
        <x:v>REPORT-06</x:v>
      </x:c>
      <x:c r="F91" s="11" t="str">
        <x:v>Q2; Q3; Q5; Q7; Q9; Q12; G08</x:v>
      </x:c>
      <x:c r="G91" s="11" t="str">
        <x:v>NOT_CHECKED</x:v>
      </x:c>
    </x:row>
    <x:row r="92" ht="15" hidden="0" customHeight="1">
      <x:c r="A92" s="11" t="str">
        <x:v>REPORT-08</x:v>
      </x:c>
      <x:c r="B92" s="11" t="str">
        <x:v>LOCAL_R2</x:v>
      </x:c>
      <x:c r="C92" s="11" t="str">
        <x:v>Visual regression và a11y review</x:v>
      </x:c>
      <x:c r="D92" s="11" t="str">
        <x:v>Report Lead + Editorial</x:v>
      </x:c>
      <x:c r="E92" s="11" t="str">
        <x:v>REPORT-07</x:v>
      </x:c>
      <x:c r="F92" s="11" t="str">
        <x:v>Q2; Q3; Q5; Q7; Q9; Q12; G08</x:v>
      </x:c>
      <x:c r="G92" s="11" t="str">
        <x:v>NOT_CHECKED</x:v>
      </x:c>
    </x:row>
    <x:row r="93" ht="15" hidden="0" customHeight="1">
      <x:c r="A93" s="11" t="str">
        <x:v>REPORT-09</x:v>
      </x:c>
      <x:c r="B93" s="11" t="str">
        <x:v>LOCAL_R2</x:v>
      </x:c>
      <x:c r="C93" s="11" t="str">
        <x:v>Withdrawal/correction impact workflow</x:v>
      </x:c>
      <x:c r="D93" s="11" t="str">
        <x:v>Report Lead + Editorial</x:v>
      </x:c>
      <x:c r="E93" s="11" t="str">
        <x:v>REPORT-08</x:v>
      </x:c>
      <x:c r="F93" s="11" t="str">
        <x:v>Q2; Q3; Q5; Q7; Q9; Q12; G08</x:v>
      </x:c>
      <x:c r="G93" s="11" t="str">
        <x:v>NOT_CHECKED</x:v>
      </x:c>
    </x:row>
    <x:row r="94" ht="15" hidden="0" customHeight="1">
      <x:c r="A94" s="11" t="str">
        <x:v>REPORT-10</x:v>
      </x:c>
      <x:c r="B94" s="11" t="str">
        <x:v>LOCAL_R2</x:v>
      </x:c>
      <x:c r="C94" s="11" t="str">
        <x:v>Pilot editorial capacity tracking</x:v>
      </x:c>
      <x:c r="D94" s="11" t="str">
        <x:v>Report Lead + Editorial</x:v>
      </x:c>
      <x:c r="E94" s="11" t="str">
        <x:v>REPORT-09</x:v>
      </x:c>
      <x:c r="F94" s="11" t="str">
        <x:v>Q2; Q3; Q5; Q7; Q9; Q12; G08</x:v>
      </x:c>
      <x:c r="G94" s="11" t="str">
        <x:v>NOT_CHECKED</x:v>
      </x:c>
    </x:row>
    <x:row r="95" ht="15" hidden="0" customHeight="1">
      <x:c r="A95" s="11" t="str">
        <x:v>COMMERCE-01</x:v>
      </x:c>
      <x:c r="B95" s="11" t="str">
        <x:v>LOCAL_R2</x:v>
      </x:c>
      <x:c r="C95" s="11" t="str">
        <x:v>SKU/pricing/quotes từ server</x:v>
      </x:c>
      <x:c r="D95" s="11" t="str">
        <x:v>Commerce + Finance + QA</x:v>
      </x:c>
      <x:c r="E95" s="11" t="str">
        <x:v>TRUST-04; GOV-03</x:v>
      </x:c>
      <x:c r="F95" s="11" t="str">
        <x:v>Q4; Q13; Q14; Q15; Q20; G09; G12</x:v>
      </x:c>
      <x:c r="G95" s="11" t="str">
        <x:v>NOT_CHECKED</x:v>
      </x:c>
    </x:row>
    <x:row r="96" ht="15" hidden="0" customHeight="1">
      <x:c r="A96" s="11" t="str">
        <x:v>COMMERCE-02</x:v>
      </x:c>
      <x:c r="B96" s="11" t="str">
        <x:v>LOCAL_R2</x:v>
      </x:c>
      <x:c r="C96" s="11" t="str">
        <x:v>Payment provider legal merchant approval</x:v>
      </x:c>
      <x:c r="D96" s="11" t="str">
        <x:v>Commerce + Finance + QA</x:v>
      </x:c>
      <x:c r="E96" s="11" t="str">
        <x:v>COMMERCE-01</x:v>
      </x:c>
      <x:c r="F96" s="11" t="str">
        <x:v>Q4; Q13; Q14; Q15; Q20; G09; G12</x:v>
      </x:c>
      <x:c r="G96" s="11" t="str">
        <x:v>NOT_CHECKED</x:v>
      </x:c>
    </x:row>
    <x:row r="97" ht="15" hidden="0" customHeight="1">
      <x:c r="A97" s="11" t="str">
        <x:v>COMMERCE-03</x:v>
      </x:c>
      <x:c r="B97" s="11" t="str">
        <x:v>LOCAL_R2</x:v>
      </x:c>
      <x:c r="C97" s="11" t="str">
        <x:v>Webhook signature và raw-body check</x:v>
      </x:c>
      <x:c r="D97" s="11" t="str">
        <x:v>Commerce + Finance + QA</x:v>
      </x:c>
      <x:c r="E97" s="11" t="str">
        <x:v>COMMERCE-02</x:v>
      </x:c>
      <x:c r="F97" s="11" t="str">
        <x:v>Q4; Q13; Q14; Q15; Q20; G09; G12</x:v>
      </x:c>
      <x:c r="G97" s="11" t="str">
        <x:v>NOT_CHECKED</x:v>
      </x:c>
    </x:row>
    <x:row r="98" ht="15" hidden="0" customHeight="1">
      <x:c r="A98" s="11" t="str">
        <x:v>COMMERCE-04</x:v>
      </x:c>
      <x:c r="B98" s="11" t="str">
        <x:v>LOCAL_R2</x:v>
      </x:c>
      <x:c r="C98" s="11" t="str">
        <x:v>Event replay/out-of-order/idempotency</x:v>
      </x:c>
      <x:c r="D98" s="11" t="str">
        <x:v>Commerce + Finance + QA</x:v>
      </x:c>
      <x:c r="E98" s="11" t="str">
        <x:v>COMMERCE-03</x:v>
      </x:c>
      <x:c r="F98" s="11" t="str">
        <x:v>Q4; Q13; Q14; Q15; Q20; G09; G12</x:v>
      </x:c>
      <x:c r="G98" s="11" t="str">
        <x:v>NOT_CHECKED</x:v>
      </x:c>
    </x:row>
    <x:row r="99" ht="15" hidden="0" customHeight="1">
      <x:c r="A99" s="11" t="str">
        <x:v>COMMERCE-05</x:v>
      </x:c>
      <x:c r="B99" s="11" t="str">
        <x:v>LOCAL_R2</x:v>
      </x:c>
      <x:c r="C99" s="11" t="str">
        <x:v>Entitlement ledger/expiry/revoke</x:v>
      </x:c>
      <x:c r="D99" s="11" t="str">
        <x:v>Commerce + Finance + QA</x:v>
      </x:c>
      <x:c r="E99" s="11" t="str">
        <x:v>COMMERCE-04</x:v>
      </x:c>
      <x:c r="F99" s="11" t="str">
        <x:v>Q4; Q13; Q14; Q15; Q20; G09; G12</x:v>
      </x:c>
      <x:c r="G99" s="11" t="str">
        <x:v>NOT_CHECKED</x:v>
      </x:c>
    </x:row>
    <x:row r="100" ht="15" hidden="0" customHeight="1">
      <x:c r="A100" s="11" t="str">
        <x:v>COMMERCE-06</x:v>
      </x:c>
      <x:c r="B100" s="11" t="str">
        <x:v>LOCAL_R2</x:v>
      </x:c>
      <x:c r="C100" s="11" t="str">
        <x:v>Refund/cancel/dispute state machine</x:v>
      </x:c>
      <x:c r="D100" s="11" t="str">
        <x:v>Commerce + Finance + QA</x:v>
      </x:c>
      <x:c r="E100" s="11" t="str">
        <x:v>COMMERCE-05</x:v>
      </x:c>
      <x:c r="F100" s="11" t="str">
        <x:v>Q4; Q13; Q14; Q15; Q20; G09; G12</x:v>
      </x:c>
      <x:c r="G100" s="11" t="str">
        <x:v>NOT_CHECKED</x:v>
      </x:c>
    </x:row>
    <x:row r="101" ht="15" hidden="0" customHeight="1">
      <x:c r="A101" s="11" t="str">
        <x:v>COMMERCE-07</x:v>
      </x:c>
      <x:c r="B101" s="11" t="str">
        <x:v>LOCAL_R2</x:v>
      </x:c>
      <x:c r="C101" s="11" t="str">
        <x:v>Invoice/receipt/consumer disclosures</x:v>
      </x:c>
      <x:c r="D101" s="11" t="str">
        <x:v>Commerce + Finance + QA</x:v>
      </x:c>
      <x:c r="E101" s="11" t="str">
        <x:v>COMMERCE-06</x:v>
      </x:c>
      <x:c r="F101" s="11" t="str">
        <x:v>Q4; Q13; Q14; Q15; Q20; G09; G12</x:v>
      </x:c>
      <x:c r="G101" s="11" t="str">
        <x:v>NOT_CHECKED</x:v>
      </x:c>
    </x:row>
    <x:row r="102" ht="15" hidden="0" customHeight="1">
      <x:c r="A102" s="11" t="str">
        <x:v>COMMERCE-08</x:v>
      </x:c>
      <x:c r="B102" s="11" t="str">
        <x:v>LOCAL_R2</x:v>
      </x:c>
      <x:c r="C102" s="11" t="str">
        <x:v>Support ticket/status/escalation</x:v>
      </x:c>
      <x:c r="D102" s="11" t="str">
        <x:v>Commerce + Finance + QA</x:v>
      </x:c>
      <x:c r="E102" s="11" t="str">
        <x:v>COMMERCE-07</x:v>
      </x:c>
      <x:c r="F102" s="11" t="str">
        <x:v>Q4; Q13; Q14; Q15; Q20; G09; G12</x:v>
      </x:c>
      <x:c r="G102" s="11" t="str">
        <x:v>NOT_CHECKED</x:v>
      </x:c>
    </x:row>
    <x:row r="103" ht="15" hidden="0" customHeight="1">
      <x:c r="A103" s="11" t="str">
        <x:v>COMMERCE-09</x:v>
      </x:c>
      <x:c r="B103" s="11" t="str">
        <x:v>LOCAL_R2</x:v>
      </x:c>
      <x:c r="C103" s="11" t="str">
        <x:v>Free/paid unit economics load pilot</x:v>
      </x:c>
      <x:c r="D103" s="11" t="str">
        <x:v>Commerce + Finance + QA</x:v>
      </x:c>
      <x:c r="E103" s="11" t="str">
        <x:v>COMMERCE-08</x:v>
      </x:c>
      <x:c r="F103" s="11" t="str">
        <x:v>Q4; Q13; Q14; Q15; Q20; G09; G12</x:v>
      </x:c>
      <x:c r="G103" s="11" t="str">
        <x:v>NOT_CHECKED</x:v>
      </x:c>
    </x:row>
    <x:row r="104" ht="15" hidden="0" customHeight="1">
      <x:c r="A104" s="11" t="str">
        <x:v>COMMERCE-10</x:v>
      </x:c>
      <x:c r="B104" s="11" t="str">
        <x:v>LOCAL_R2</x:v>
      </x:c>
      <x:c r="C104" s="11" t="str">
        <x:v>Payment-to-report complete staging flow</x:v>
      </x:c>
      <x:c r="D104" s="11" t="str">
        <x:v>Commerce + Finance + QA</x:v>
      </x:c>
      <x:c r="E104" s="11" t="str">
        <x:v>COMMERCE-09</x:v>
      </x:c>
      <x:c r="F104" s="11" t="str">
        <x:v>Q4; Q13; Q14; Q15; Q20; G09; G12</x:v>
      </x:c>
      <x:c r="G104" s="11" t="str">
        <x:v>NOT_CHECKED</x:v>
      </x:c>
    </x:row>
    <x:row r="105" ht="15" hidden="0" customHeight="1">
      <x:c r="A105" s="11" t="str">
        <x:v>OPS-01</x:v>
      </x:c>
      <x:c r="B105" s="11" t="str">
        <x:v>LOCAL_R2</x:v>
      </x:c>
      <x:c r="C105" s="11" t="str">
        <x:v>CI required tests/secret/dependency scans</x:v>
      </x:c>
      <x:c r="D105" s="11" t="str">
        <x:v>SRE + Security + QA</x:v>
      </x:c>
      <x:c r="E105" s="11" t="str">
        <x:v>P0-10</x:v>
      </x:c>
      <x:c r="F105" s="11" t="str">
        <x:v>Q9; Q15; Q20; G01; G10; G11; G12</x:v>
      </x:c>
      <x:c r="G105" s="11" t="str">
        <x:v>NOT_CHECKED</x:v>
      </x:c>
    </x:row>
    <x:row r="106" ht="15" hidden="0" customHeight="1">
      <x:c r="A106" s="11" t="str">
        <x:v>OPS-02</x:v>
      </x:c>
      <x:c r="B106" s="11" t="str">
        <x:v>LOCAL_R2</x:v>
      </x:c>
      <x:c r="C106" s="11" t="str">
        <x:v>Pages allowlist/artifact integrity</x:v>
      </x:c>
      <x:c r="D106" s="11" t="str">
        <x:v>SRE + Security + QA</x:v>
      </x:c>
      <x:c r="E106" s="11" t="str">
        <x:v>OPS-01</x:v>
      </x:c>
      <x:c r="F106" s="11" t="str">
        <x:v>Q9; Q15; Q20; G01; G10; G11; G12</x:v>
      </x:c>
      <x:c r="G106" s="11" t="str">
        <x:v>NOT_CHECKED</x:v>
      </x:c>
    </x:row>
    <x:row r="107" ht="15" hidden="0" customHeight="1">
      <x:c r="A107" s="11" t="str">
        <x:v>OPS-03</x:v>
      </x:c>
      <x:c r="B107" s="11" t="str">
        <x:v>LOCAL_R2</x:v>
      </x:c>
      <x:c r="C107" s="11" t="str">
        <x:v>Worker/Pages deployment receipts</x:v>
      </x:c>
      <x:c r="D107" s="11" t="str">
        <x:v>SRE + Security + QA</x:v>
      </x:c>
      <x:c r="E107" s="11" t="str">
        <x:v>OPS-02</x:v>
      </x:c>
      <x:c r="F107" s="11" t="str">
        <x:v>Q9; Q15; Q20; G01; G10; G11; G12</x:v>
      </x:c>
      <x:c r="G107" s="11" t="str">
        <x:v>NOT_CHECKED</x:v>
      </x:c>
    </x:row>
    <x:row r="108" ht="15" hidden="0" customHeight="1">
      <x:c r="A108" s="11" t="str">
        <x:v>OPS-04</x:v>
      </x:c>
      <x:c r="B108" s="11" t="str">
        <x:v>LOCAL_R2</x:v>
      </x:c>
      <x:c r="C108" s="11" t="str">
        <x:v>Observability privacy-safe</x:v>
      </x:c>
      <x:c r="D108" s="11" t="str">
        <x:v>SRE + Security + QA</x:v>
      </x:c>
      <x:c r="E108" s="11" t="str">
        <x:v>OPS-03</x:v>
      </x:c>
      <x:c r="F108" s="11" t="str">
        <x:v>Q9; Q15; Q20; G01; G10; G11; G12</x:v>
      </x:c>
      <x:c r="G108" s="11" t="str">
        <x:v>NOT_CHECKED</x:v>
      </x:c>
    </x:row>
    <x:row r="109" ht="15" hidden="0" customHeight="1">
      <x:c r="A109" s="11" t="str">
        <x:v>OPS-05</x:v>
      </x:c>
      <x:c r="B109" s="11" t="str">
        <x:v>LOCAL_R2</x:v>
      </x:c>
      <x:c r="C109" s="11" t="str">
        <x:v>Load/fault tests queue and AI providers</x:v>
      </x:c>
      <x:c r="D109" s="11" t="str">
        <x:v>SRE + Security + QA</x:v>
      </x:c>
      <x:c r="E109" s="11" t="str">
        <x:v>OPS-04</x:v>
      </x:c>
      <x:c r="F109" s="11" t="str">
        <x:v>Q9; Q15; Q20; G01; G10; G11; G12</x:v>
      </x:c>
      <x:c r="G109" s="11" t="str">
        <x:v>NOT_CHECKED</x:v>
      </x:c>
    </x:row>
    <x:row r="110" ht="15" hidden="0" customHeight="1">
      <x:c r="A110" s="11" t="str">
        <x:v>OPS-06</x:v>
      </x:c>
      <x:c r="B110" s="11" t="str">
        <x:v>LOCAL_R2</x:v>
      </x:c>
      <x:c r="C110" s="11" t="str">
        <x:v>Backup restore drill và RPO/RTO</x:v>
      </x:c>
      <x:c r="D110" s="11" t="str">
        <x:v>SRE + Security + QA</x:v>
      </x:c>
      <x:c r="E110" s="11" t="str">
        <x:v>OPS-05</x:v>
      </x:c>
      <x:c r="F110" s="11" t="str">
        <x:v>Q9; Q15; Q20; G01; G10; G11; G12</x:v>
      </x:c>
      <x:c r="G110" s="11" t="str">
        <x:v>NOT_CHECKED</x:v>
      </x:c>
    </x:row>
    <x:row r="111" ht="15" hidden="0" customHeight="1">
      <x:c r="A111" s="11" t="str">
        <x:v>OPS-07</x:v>
      </x:c>
      <x:c r="B111" s="11" t="str">
        <x:v>LOCAL_R2</x:v>
      </x:c>
      <x:c r="C111" s="11" t="str">
        <x:v>Incident tabletop và breach decision path</x:v>
      </x:c>
      <x:c r="D111" s="11" t="str">
        <x:v>SRE + Security + QA</x:v>
      </x:c>
      <x:c r="E111" s="11" t="str">
        <x:v>OPS-06</x:v>
      </x:c>
      <x:c r="F111" s="11" t="str">
        <x:v>Q9; Q15; Q20; G01; G10; G11; G12</x:v>
      </x:c>
      <x:c r="G111" s="11" t="str">
        <x:v>NOT_CHECKED</x:v>
      </x:c>
    </x:row>
    <x:row r="112" ht="15" hidden="0" customHeight="1">
      <x:c r="A112" s="11" t="str">
        <x:v>OPS-08</x:v>
      </x:c>
      <x:c r="B112" s="11" t="str">
        <x:v>LOCAL_R2</x:v>
      </x:c>
      <x:c r="C112" s="11" t="str">
        <x:v>Independent security test/retest</x:v>
      </x:c>
      <x:c r="D112" s="11" t="str">
        <x:v>SRE + Security + QA</x:v>
      </x:c>
      <x:c r="E112" s="11" t="str">
        <x:v>OPS-07</x:v>
      </x:c>
      <x:c r="F112" s="11" t="str">
        <x:v>Q9; Q15; Q20; G01; G10; G11; G12</x:v>
      </x:c>
      <x:c r="G112" s="11" t="str">
        <x:v>NOT_CHECKED</x:v>
      </x:c>
    </x:row>
    <x:row r="113" ht="15" hidden="0" customHeight="1">
      <x:c r="A113" s="11" t="str">
        <x:v>OPS-09</x:v>
      </x:c>
      <x:c r="B113" s="11" t="str">
        <x:v>LOCAL_R2</x:v>
      </x:c>
      <x:c r="C113" s="11" t="str">
        <x:v>Canary rollout và safe rollback</x:v>
      </x:c>
      <x:c r="D113" s="11" t="str">
        <x:v>SRE + Security + QA</x:v>
      </x:c>
      <x:c r="E113" s="11" t="str">
        <x:v>OPS-08</x:v>
      </x:c>
      <x:c r="F113" s="11" t="str">
        <x:v>Q9; Q15; Q20; G01; G10; G11; G12</x:v>
      </x:c>
      <x:c r="G113" s="11" t="str">
        <x:v>NOT_CHECKED</x:v>
      </x:c>
    </x:row>
    <x:row r="114" ht="15" hidden="0" customHeight="1">
      <x:c r="A114" s="11" t="str">
        <x:v>OPS-10</x:v>
      </x:c>
      <x:c r="B114" s="11" t="str">
        <x:v>LOCAL_R2</x:v>
      </x:c>
      <x:c r="C114" s="11" t="str">
        <x:v>GO/NO_GO packet paid pilot</x:v>
      </x:c>
      <x:c r="D114" s="11" t="str">
        <x:v>SRE + Security + QA</x:v>
      </x:c>
      <x:c r="E114" s="11" t="str">
        <x:v>OPS-09</x:v>
      </x:c>
      <x:c r="F114" s="11" t="str">
        <x:v>Q9; Q15; Q20; G01; G10; G11; G12</x:v>
      </x:c>
      <x:c r="G114" s="11" t="str">
        <x:v>NOT_CHECKED</x:v>
      </x:c>
    </x:row>
    <x:row r="115" ht="15" hidden="0" customHeight="1">
      <x:c r="A115" s="11" t="str">
        <x:v>ACADEMY-01</x:v>
      </x:c>
      <x:c r="B115" s="11" t="str">
        <x:v>LOCAL_R2</x:v>
      </x:c>
      <x:c r="C115" s="11" t="str">
        <x:v>Curriculum9buổi120phút và outcomes</x:v>
      </x:c>
      <x:c r="D115" s="11" t="str">
        <x:v>Academic + Practice Lead</x:v>
      </x:c>
      <x:c r="E115" s="11" t="str">
        <x:v>GOV-07; REPORT-01</x:v>
      </x:c>
      <x:c r="F115" s="11" t="str">
        <x:v>Q3; Q12; Q17; Q20; G04; G06; G08; G12</x:v>
      </x:c>
      <x:c r="G115" s="11" t="str">
        <x:v>NOT_CHECKED</x:v>
      </x:c>
    </x:row>
    <x:row r="116" ht="15" hidden="0" customHeight="1">
      <x:c r="A116" s="11" t="str">
        <x:v>ACADEMY-02</x:v>
      </x:c>
      <x:c r="B116" s="11" t="str">
        <x:v>LOCAL_R2</x:v>
      </x:c>
      <x:c r="C116" s="11" t="str">
        <x:v>Course content licensing và locale review</x:v>
      </x:c>
      <x:c r="D116" s="11" t="str">
        <x:v>Academic + Practice Lead</x:v>
      </x:c>
      <x:c r="E116" s="11" t="str">
        <x:v>ACADEMY-01</x:v>
      </x:c>
      <x:c r="F116" s="11" t="str">
        <x:v>Q3; Q12; Q17; Q20; G04; G06; G08; G12</x:v>
      </x:c>
      <x:c r="G116" s="11" t="str">
        <x:v>NOT_CHECKED</x:v>
      </x:c>
    </x:row>
    <x:row r="117" ht="15" hidden="0" customHeight="1">
      <x:c r="A117" s="11" t="str">
        <x:v>ACADEMY-03</x:v>
      </x:c>
      <x:c r="B117" s="11" t="str">
        <x:v>LOCAL_R2</x:v>
      </x:c>
      <x:c r="C117" s="11" t="str">
        <x:v>Enrollment/schedule/learning UI</x:v>
      </x:c>
      <x:c r="D117" s="11" t="str">
        <x:v>Academic + Practice Lead</x:v>
      </x:c>
      <x:c r="E117" s="11" t="str">
        <x:v>ACADEMY-02</x:v>
      </x:c>
      <x:c r="F117" s="11" t="str">
        <x:v>Q3; Q12; Q17; Q20; G04; G06; G08; G12</x:v>
      </x:c>
      <x:c r="G117" s="11" t="str">
        <x:v>NOT_CHECKED</x:v>
      </x:c>
    </x:row>
    <x:row r="118" ht="15" hidden="0" customHeight="1">
      <x:c r="A118" s="11" t="str">
        <x:v>ACADEMY-04</x:v>
      </x:c>
      <x:c r="B118" s="11" t="str">
        <x:v>LOCAL_R2</x:v>
      </x:c>
      <x:c r="C118" s="11" t="str">
        <x:v>Assessment/calculation/ethics rubric</x:v>
      </x:c>
      <x:c r="D118" s="11" t="str">
        <x:v>Academic + Practice Lead</x:v>
      </x:c>
      <x:c r="E118" s="11" t="str">
        <x:v>ACADEMY-03</x:v>
      </x:c>
      <x:c r="F118" s="11" t="str">
        <x:v>Q3; Q12; Q17; Q20; G04; G06; G08; G12</x:v>
      </x:c>
      <x:c r="G118" s="11" t="str">
        <x:v>NOT_CHECKED</x:v>
      </x:c>
    </x:row>
    <x:row r="119" ht="15" hidden="0" customHeight="1">
      <x:c r="A119" s="11" t="str">
        <x:v>ACADEMY-05</x:v>
      </x:c>
      <x:c r="B119" s="11" t="str">
        <x:v>LOCAL_R2</x:v>
      </x:c>
      <x:c r="C119" s="11" t="str">
        <x:v>Supervised practitioner case workflow</x:v>
      </x:c>
      <x:c r="D119" s="11" t="str">
        <x:v>Academic + Practice Lead</x:v>
      </x:c>
      <x:c r="E119" s="11" t="str">
        <x:v>ACADEMY-04</x:v>
      </x:c>
      <x:c r="F119" s="11" t="str">
        <x:v>Q3; Q12; Q17; Q20; G04; G06; G08; G12</x:v>
      </x:c>
      <x:c r="G119" s="11" t="str">
        <x:v>NOT_CHECKED</x:v>
      </x:c>
    </x:row>
    <x:row r="120" ht="15" hidden="0" customHeight="1">
      <x:c r="A120" s="11" t="str">
        <x:v>ACADEMY-06</x:v>
      </x:c>
      <x:c r="B120" s="11" t="str">
        <x:v>LOCAL_R2</x:v>
      </x:c>
      <x:c r="C120" s="11" t="str">
        <x:v>Internal certificate issue/revoke/verify</x:v>
      </x:c>
      <x:c r="D120" s="11" t="str">
        <x:v>Academic + Practice Lead</x:v>
      </x:c>
      <x:c r="E120" s="11" t="str">
        <x:v>ACADEMY-05</x:v>
      </x:c>
      <x:c r="F120" s="11" t="str">
        <x:v>Q3; Q12; Q17; Q20; G04; G06; G08; G12</x:v>
      </x:c>
      <x:c r="G120" s="11" t="str">
        <x:v>NOT_CHECKED</x:v>
      </x:c>
    </x:row>
    <x:row r="121" ht="15" hidden="0" customHeight="1">
      <x:c r="A121" s="11" t="str">
        <x:v>ACADEMY-07</x:v>
      </x:c>
      <x:c r="B121" s="11" t="str">
        <x:v>LOCAL_R2</x:v>
      </x:c>
      <x:c r="C121" s="11" t="str">
        <x:v>Practitioner billing and calendar adapter</x:v>
      </x:c>
      <x:c r="D121" s="11" t="str">
        <x:v>Academic + Practice Lead</x:v>
      </x:c>
      <x:c r="E121" s="11" t="str">
        <x:v>ACADEMY-06</x:v>
      </x:c>
      <x:c r="F121" s="11" t="str">
        <x:v>Q3; Q12; Q17; Q20; G04; G06; G08; G12</x:v>
      </x:c>
      <x:c r="G121" s="11" t="str">
        <x:v>NOT_CHECKED</x:v>
      </x:c>
    </x:row>
    <x:row r="122" ht="15" hidden="0" customHeight="1">
      <x:c r="A122" s="11" t="str">
        <x:v>ACADEMY-08</x:v>
      </x:c>
      <x:c r="B122" s="11" t="str">
        <x:v>LOCAL_R2</x:v>
      </x:c>
      <x:c r="C122" s="11" t="str">
        <x:v>Trainer approval và updates by version</x:v>
      </x:c>
      <x:c r="D122" s="11" t="str">
        <x:v>Academic + Practice Lead</x:v>
      </x:c>
      <x:c r="E122" s="11" t="str">
        <x:v>ACADEMY-07</x:v>
      </x:c>
      <x:c r="F122" s="11" t="str">
        <x:v>Q3; Q12; Q17; Q20; G04; G06; G08; G12</x:v>
      </x:c>
      <x:c r="G122" s="11" t="str">
        <x:v>NOT_CHECKED</x:v>
      </x:c>
    </x:row>
    <x:row r="123" ht="15" hidden="0" customHeight="1">
      <x:c r="A123" s="11" t="str">
        <x:v>ACADEMY-09</x:v>
      </x:c>
      <x:c r="B123" s="11" t="str">
        <x:v>LOCAL_R2</x:v>
      </x:c>
      <x:c r="C123" s="11" t="str">
        <x:v>Complaint and practitioner suspension</x:v>
      </x:c>
      <x:c r="D123" s="11" t="str">
        <x:v>Academic + Practice Lead</x:v>
      </x:c>
      <x:c r="E123" s="11" t="str">
        <x:v>ACADEMY-08</x:v>
      </x:c>
      <x:c r="F123" s="11" t="str">
        <x:v>Q3; Q12; Q17; Q20; G04; G06; G08; G12</x:v>
      </x:c>
      <x:c r="G123" s="11" t="str">
        <x:v>NOT_CHECKED</x:v>
      </x:c>
    </x:row>
    <x:row r="124" ht="15" hidden="0" customHeight="1">
      <x:c r="A124" s="11" t="str">
        <x:v>ACADEMY-10</x:v>
      </x:c>
      <x:c r="B124" s="11" t="str">
        <x:v>LOCAL_R2</x:v>
      </x:c>
      <x:c r="C124" s="11" t="str">
        <x:v>Educational pilot evaluation</x:v>
      </x:c>
      <x:c r="D124" s="11" t="str">
        <x:v>Academic + Practice Lead</x:v>
      </x:c>
      <x:c r="E124" s="11" t="str">
        <x:v>ACADEMY-09</x:v>
      </x:c>
      <x:c r="F124" s="11" t="str">
        <x:v>Q3; Q12; Q17; Q20; G04; G06; G08; G12</x:v>
      </x:c>
      <x:c r="G124" s="11" t="str">
        <x:v>NOT_CHECKED</x:v>
      </x:c>
    </x:row>
    <x:row r="125" ht="15" hidden="0" customHeight="1">
      <x:c r="A125" s="11" t="str">
        <x:v>EXPAND-01</x:v>
      </x:c>
      <x:c r="B125" s="11" t="str">
        <x:v>LOCAL_R2</x:v>
      </x:c>
      <x:c r="C125" s="11" t="str">
        <x:v>Levels2–3 observation-driven launch</x:v>
      </x:c>
      <x:c r="D125" s="11" t="str">
        <x:v>Product + Data + Privacy</x:v>
      </x:c>
      <x:c r="E125" s="11" t="str">
        <x:v>OPS-10</x:v>
      </x:c>
      <x:c r="F125" s="11" t="str">
        <x:v>Q8; Q9; Q17; Q18; Q20; G03; G04; G05; G08</x:v>
      </x:c>
      <x:c r="G125" s="11" t="str">
        <x:v>NOT_CHECKED</x:v>
      </x:c>
    </x:row>
    <x:row r="126" ht="15" hidden="0" customHeight="1">
      <x:c r="A126" s="11" t="str">
        <x:v>EXPAND-02</x:v>
      </x:c>
      <x:c r="B126" s="11" t="str">
        <x:v>LOCAL_R2</x:v>
      </x:c>
      <x:c r="C126" s="11" t="str">
        <x:v>Work/wealth scenario governance</x:v>
      </x:c>
      <x:c r="D126" s="11" t="str">
        <x:v>Product + Data + Privacy</x:v>
      </x:c>
      <x:c r="E126" s="11" t="str">
        <x:v>EXPAND-01</x:v>
      </x:c>
      <x:c r="F126" s="11" t="str">
        <x:v>Q8; Q9; Q17; Q18; Q20; G03; G04; G05; G08</x:v>
      </x:c>
      <x:c r="G126" s="11" t="str">
        <x:v>NOT_CHECKED</x:v>
      </x:c>
    </x:row>
    <x:row r="127" ht="15" hidden="0" customHeight="1">
      <x:c r="A127" s="11" t="str">
        <x:v>EXPAND-03</x:v>
      </x:c>
      <x:c r="B127" s="11" t="str">
        <x:v>LOCAL_R2</x:v>
      </x:c>
      <x:c r="C127" s="11" t="str">
        <x:v>Relationship dual-subject consent</x:v>
      </x:c>
      <x:c r="D127" s="11" t="str">
        <x:v>Product + Data + Privacy</x:v>
      </x:c>
      <x:c r="E127" s="11" t="str">
        <x:v>EXPAND-02</x:v>
      </x:c>
      <x:c r="F127" s="11" t="str">
        <x:v>Q8; Q9; Q17; Q18; Q20; G03; G04; G05; G08</x:v>
      </x:c>
      <x:c r="G127" s="11" t="str">
        <x:v>NOT_CHECKED</x:v>
      </x:c>
    </x:row>
    <x:row r="128" ht="15" hidden="0" customHeight="1">
      <x:c r="A128" s="11" t="str">
        <x:v>EXPAND-04</x:v>
      </x:c>
      <x:c r="B128" s="11" t="str">
        <x:v>LOCAL_R2</x:v>
      </x:c>
      <x:c r="C128" s="11" t="str">
        <x:v>Resonance experiments reversible</x:v>
      </x:c>
      <x:c r="D128" s="11" t="str">
        <x:v>Product + Data + Privacy</x:v>
      </x:c>
      <x:c r="E128" s="11" t="str">
        <x:v>EXPAND-03</x:v>
      </x:c>
      <x:c r="F128" s="11" t="str">
        <x:v>Q8; Q9; Q17; Q18; Q20; G03; G04; G05; G08</x:v>
      </x:c>
      <x:c r="G128" s="11" t="str">
        <x:v>NOT_CHECKED</x:v>
      </x:c>
    </x:row>
    <x:row r="129" ht="15" hidden="0" customHeight="1">
      <x:c r="A129" s="11" t="str">
        <x:v>EXPAND-05</x:v>
      </x:c>
      <x:c r="B129" s="11" t="str">
        <x:v>LOCAL_R2</x:v>
      </x:c>
      <x:c r="C129" s="11" t="str">
        <x:v>Adult family sharing foundation</x:v>
      </x:c>
      <x:c r="D129" s="11" t="str">
        <x:v>Product + Data + Privacy</x:v>
      </x:c>
      <x:c r="E129" s="11" t="str">
        <x:v>EXPAND-04</x:v>
      </x:c>
      <x:c r="F129" s="11" t="str">
        <x:v>Q8; Q9; Q17; Q18; Q20; G03; G04; G05; G08</x:v>
      </x:c>
      <x:c r="G129" s="11" t="str">
        <x:v>NOT_CHECKED</x:v>
      </x:c>
    </x:row>
    <x:row r="130" ht="15" hidden="0" customHeight="1">
      <x:c r="A130" s="11" t="str">
        <x:v>EXPAND-06</x:v>
      </x:c>
      <x:c r="B130" s="11" t="str">
        <x:v>LOCAL_R2</x:v>
      </x:c>
      <x:c r="C130" s="11" t="str">
        <x:v>Minor/guardian country policy design</x:v>
      </x:c>
      <x:c r="D130" s="11" t="str">
        <x:v>Product + Data + Privacy</x:v>
      </x:c>
      <x:c r="E130" s="11" t="str">
        <x:v>EXPAND-05</x:v>
      </x:c>
      <x:c r="F130" s="11" t="str">
        <x:v>Q8; Q9; Q17; Q18; Q20; G03; G04; G05; G08</x:v>
      </x:c>
      <x:c r="G130" s="11" t="str">
        <x:v>NOT_CHECKED</x:v>
      </x:c>
    </x:row>
    <x:row r="131" ht="15" hidden="0" customHeight="1">
      <x:c r="A131" s="11" t="str">
        <x:v>EXPAND-07</x:v>
      </x:c>
      <x:c r="B131" s="11" t="str">
        <x:v>LOCAL_R2</x:v>
      </x:c>
      <x:c r="C131" s="11" t="str">
        <x:v>Body intake specialist/dpia gate</x:v>
      </x:c>
      <x:c r="D131" s="11" t="str">
        <x:v>Product + Data + Privacy</x:v>
      </x:c>
      <x:c r="E131" s="11" t="str">
        <x:v>EXPAND-06</x:v>
      </x:c>
      <x:c r="F131" s="11" t="str">
        <x:v>Q8; Q9; Q17; Q18; Q20; G03; G04; G05; G08</x:v>
      </x:c>
      <x:c r="G131" s="11" t="str">
        <x:v>NOT_CHECKED</x:v>
      </x:c>
    </x:row>
    <x:row r="132" ht="15" hidden="0" customHeight="1">
      <x:c r="A132" s="11" t="str">
        <x:v>EXPAND-08</x:v>
      </x:c>
      <x:c r="B132" s="11" t="str">
        <x:v>LOCAL_R2</x:v>
      </x:c>
      <x:c r="C132" s="11" t="str">
        <x:v>Organization work-profile separation</x:v>
      </x:c>
      <x:c r="D132" s="11" t="str">
        <x:v>Product + Data + Privacy</x:v>
      </x:c>
      <x:c r="E132" s="11" t="str">
        <x:v>EXPAND-07</x:v>
      </x:c>
      <x:c r="F132" s="11" t="str">
        <x:v>Q8; Q9; Q17; Q18; Q20; G03; G04; G05; G08</x:v>
      </x:c>
      <x:c r="G132" s="11" t="str">
        <x:v>NOT_CHECKED</x:v>
      </x:c>
    </x:row>
    <x:row r="133" ht="15" hidden="0" customHeight="1">
      <x:c r="A133" s="11" t="str">
        <x:v>EXPAND-09</x:v>
      </x:c>
      <x:c r="B133" s="11" t="str">
        <x:v>LOCAL_R2</x:v>
      </x:c>
      <x:c r="C133" s="11" t="str">
        <x:v>Aggregates reidentification tests</x:v>
      </x:c>
      <x:c r="D133" s="11" t="str">
        <x:v>Product + Data + Privacy</x:v>
      </x:c>
      <x:c r="E133" s="11" t="str">
        <x:v>EXPAND-08</x:v>
      </x:c>
      <x:c r="F133" s="11" t="str">
        <x:v>Q8; Q9; Q17; Q18; Q20; G03; G04; G05; G08</x:v>
      </x:c>
      <x:c r="G133" s="11" t="str">
        <x:v>NOT_CHECKED</x:v>
      </x:c>
    </x:row>
    <x:row r="134" ht="15" hidden="0" customHeight="1">
      <x:c r="A134" s="11" t="str">
        <x:v>EXPAND-10</x:v>
      </x:c>
      <x:c r="B134" s="11" t="str">
        <x:v>LOCAL_R2</x:v>
      </x:c>
      <x:c r="C134" s="11" t="str">
        <x:v>Mobile value assessment and offline design</x:v>
      </x:c>
      <x:c r="D134" s="11" t="str">
        <x:v>Product + Data + Privacy</x:v>
      </x:c>
      <x:c r="E134" s="11" t="str">
        <x:v>EXPAND-09</x:v>
      </x:c>
      <x:c r="F134" s="11" t="str">
        <x:v>Q8; Q9; Q17; Q18; Q20; G03; G04; G05; G08</x:v>
      </x:c>
      <x:c r="G134" s="11" t="str">
        <x:v>NOT_CHECKED</x:v>
      </x:c>
    </x:row>
    <x:row r="135" ht="24" hidden="0" customHeight="1">
      <x:c r="A135" s="11" t="str">
        <x:v>GLOBAL-01</x:v>
      </x:c>
      <x:c r="B135" s="11" t="str">
        <x:v>LOCAL_R2</x:v>
      </x:c>
      <x:c r="C135" s="11" t="str">
        <x:v>Country packs VN/EU/US/AU/SG</x:v>
      </x:c>
      <x:c r="D135" s="11" t="str">
        <x:v>Partnerships + Legal + Platform</x:v>
      </x:c>
      <x:c r="E135" s="11" t="str">
        <x:v>OPS-10; GOV-03</x:v>
      </x:c>
      <x:c r="F135" s="11" t="str">
        <x:v>Q3; Q9; Q14; Q17; Q18; Q19; Q20; G03; G04; G06; G12</x:v>
      </x:c>
      <x:c r="G135" s="11" t="str">
        <x:v>NOT_CHECKED</x:v>
      </x:c>
    </x:row>
    <x:row r="136" ht="24" hidden="0" customHeight="1">
      <x:c r="A136" s="11" t="str">
        <x:v>GLOBAL-02</x:v>
      </x:c>
      <x:c r="B136" s="11" t="str">
        <x:v>LOCAL_R2</x:v>
      </x:c>
      <x:c r="C136" s="11" t="str">
        <x:v>License-vs-franchise classification</x:v>
      </x:c>
      <x:c r="D136" s="11" t="str">
        <x:v>Partnerships + Legal + Platform</x:v>
      </x:c>
      <x:c r="E136" s="11" t="str">
        <x:v>GLOBAL-01</x:v>
      </x:c>
      <x:c r="F136" s="11" t="str">
        <x:v>Q3; Q9; Q14; Q17; Q18; Q19; Q20; G03; G04; G06; G12</x:v>
      </x:c>
      <x:c r="G136" s="11" t="str">
        <x:v>NOT_CHECKED</x:v>
      </x:c>
    </x:row>
    <x:row r="137" ht="24" hidden="0" customHeight="1">
      <x:c r="A137" s="11" t="str">
        <x:v>GLOBAL-03</x:v>
      </x:c>
      <x:c r="B137" s="11" t="str">
        <x:v>LOCAL_R2</x:v>
      </x:c>
      <x:c r="C137" s="11" t="str">
        <x:v>Trademark/translation/source rights clearance</x:v>
      </x:c>
      <x:c r="D137" s="11" t="str">
        <x:v>Partnerships + Legal + Platform</x:v>
      </x:c>
      <x:c r="E137" s="11" t="str">
        <x:v>GLOBAL-02</x:v>
      </x:c>
      <x:c r="F137" s="11" t="str">
        <x:v>Q3; Q9; Q14; Q17; Q18; Q19; Q20; G03; G04; G06; G12</x:v>
      </x:c>
      <x:c r="G137" s="11" t="str">
        <x:v>NOT_CHECKED</x:v>
      </x:c>
    </x:row>
    <x:row r="138" ht="24" hidden="0" customHeight="1">
      <x:c r="A138" s="11" t="str">
        <x:v>GLOBAL-04</x:v>
      </x:c>
      <x:c r="B138" s="11" t="str">
        <x:v>LOCAL_R2</x:v>
      </x:c>
      <x:c r="C138" s="11" t="str">
        <x:v>Regional partner term sheet and economics</x:v>
      </x:c>
      <x:c r="D138" s="11" t="str">
        <x:v>Partnerships + Legal + Platform</x:v>
      </x:c>
      <x:c r="E138" s="11" t="str">
        <x:v>GLOBAL-03</x:v>
      </x:c>
      <x:c r="F138" s="11" t="str">
        <x:v>Q3; Q9; Q14; Q17; Q18; Q19; Q20; G03; G04; G06; G12</x:v>
      </x:c>
      <x:c r="G138" s="11" t="str">
        <x:v>NOT_CHECKED</x:v>
      </x:c>
    </x:row>
    <x:row r="139" ht="24" hidden="0" customHeight="1">
      <x:c r="A139" s="11" t="str">
        <x:v>GLOBAL-05</x:v>
      </x:c>
      <x:c r="B139" s="11" t="str">
        <x:v>LOCAL_R2</x:v>
      </x:c>
      <x:c r="C139" s="11" t="str">
        <x:v>Tenantbrand policy intersection</x:v>
      </x:c>
      <x:c r="D139" s="11" t="str">
        <x:v>Partnerships + Legal + Platform</x:v>
      </x:c>
      <x:c r="E139" s="11" t="str">
        <x:v>GLOBAL-04</x:v>
      </x:c>
      <x:c r="F139" s="11" t="str">
        <x:v>Q3; Q9; Q14; Q17; Q18; Q19; Q20; G03; G04; G06; G12</x:v>
      </x:c>
      <x:c r="G139" s="11" t="str">
        <x:v>NOT_CHECKED</x:v>
      </x:c>
    </x:row>
    <x:row r="140" ht="24" hidden="0" customHeight="1">
      <x:c r="A140" s="11" t="str">
        <x:v>GLOBAL-06</x:v>
      </x:c>
      <x:c r="B140" s="11" t="str">
        <x:v>LOCAL_R2</x:v>
      </x:c>
      <x:c r="C140" s="11" t="str">
        <x:v>Trainer country qualification and audits</x:v>
      </x:c>
      <x:c r="D140" s="11" t="str">
        <x:v>Partnerships + Legal + Platform</x:v>
      </x:c>
      <x:c r="E140" s="11" t="str">
        <x:v>GLOBAL-05</x:v>
      </x:c>
      <x:c r="F140" s="11" t="str">
        <x:v>Q3; Q9; Q14; Q17; Q18; Q19; Q20; G03; G04; G06; G12</x:v>
      </x:c>
      <x:c r="G140" s="11" t="str">
        <x:v>NOT_CHECKED</x:v>
      </x:c>
    </x:row>
    <x:row r="141" ht="24" hidden="0" customHeight="1">
      <x:c r="A141" s="11" t="str">
        <x:v>GLOBAL-07</x:v>
      </x:c>
      <x:c r="B141" s="11" t="str">
        <x:v>LOCAL_R2</x:v>
      </x:c>
      <x:c r="C141" s="11" t="str">
        <x:v>Partner API OAuth/scopes/quota</x:v>
      </x:c>
      <x:c r="D141" s="11" t="str">
        <x:v>Partnerships + Legal + Platform</x:v>
      </x:c>
      <x:c r="E141" s="11" t="str">
        <x:v>GLOBAL-06</x:v>
      </x:c>
      <x:c r="F141" s="11" t="str">
        <x:v>Q3; Q9; Q14; Q17; Q18; Q19; Q20; G03; G04; G06; G12</x:v>
      </x:c>
      <x:c r="G141" s="11" t="str">
        <x:v>NOT_CHECKED</x:v>
      </x:c>
    </x:row>
    <x:row r="142" ht="24" hidden="0" customHeight="1">
      <x:c r="A142" s="11" t="str">
        <x:v>GLOBAL-08</x:v>
      </x:c>
      <x:c r="B142" s="11" t="str">
        <x:v>LOCAL_R2</x:v>
      </x:c>
      <x:c r="C142" s="11" t="str">
        <x:v>Data residency/subprocessor routing</x:v>
      </x:c>
      <x:c r="D142" s="11" t="str">
        <x:v>Partnerships + Legal + Platform</x:v>
      </x:c>
      <x:c r="E142" s="11" t="str">
        <x:v>GLOBAL-07</x:v>
      </x:c>
      <x:c r="F142" s="11" t="str">
        <x:v>Q3; Q9; Q14; Q17; Q18; Q19; Q20; G03; G04; G06; G12</x:v>
      </x:c>
      <x:c r="G142" s="11" t="str">
        <x:v>NOT_CHECKED</x:v>
      </x:c>
    </x:row>
    <x:row r="143" ht="24" hidden="0" customHeight="1">
      <x:c r="A143" s="11" t="str">
        <x:v>GLOBAL-09</x:v>
      </x:c>
      <x:c r="B143" s="11" t="str">
        <x:v>LOCAL_R2</x:v>
      </x:c>
      <x:c r="C143" s="11" t="str">
        <x:v>Partner exit/revocation/client continuity</x:v>
      </x:c>
      <x:c r="D143" s="11" t="str">
        <x:v>Partnerships + Legal + Platform</x:v>
      </x:c>
      <x:c r="E143" s="11" t="str">
        <x:v>GLOBAL-08</x:v>
      </x:c>
      <x:c r="F143" s="11" t="str">
        <x:v>Q3; Q9; Q14; Q17; Q18; Q19; Q20; G03; G04; G06; G12</x:v>
      </x:c>
      <x:c r="G143" s="11" t="str">
        <x:v>NOT_CHECKED</x:v>
      </x:c>
    </x:row>
    <x:row r="144" ht="24" hidden="0" customHeight="1">
      <x:c r="A144" s="11" t="str">
        <x:v>GLOBAL-10</x:v>
      </x:c>
      <x:c r="B144" s="11" t="str">
        <x:v>LOCAL_R2</x:v>
      </x:c>
      <x:c r="C144" s="11" t="str">
        <x:v>International pilot release decision</x:v>
      </x:c>
      <x:c r="D144" s="11" t="str">
        <x:v>Partnerships + Legal + Platform</x:v>
      </x:c>
      <x:c r="E144" s="11" t="str">
        <x:v>GLOBAL-09</x:v>
      </x:c>
      <x:c r="F144" s="11" t="str">
        <x:v>Q3; Q9; Q14; Q17; Q18; Q19; Q20; G03; G04; G06; G12</x:v>
      </x:c>
      <x:c r="G144" s="11" t="str">
        <x:v>NOT_CHECKED</x:v>
      </x:c>
    </x:row>
    <x:row r="145" ht="15" hidden="0" customHeight="1">
      <x:c r="A145" s="11" t="str">
        <x:v>V2-GOV-01</x:v>
      </x:c>
      <x:c r="B145" s="11" t="str">
        <x:v>V2</x:v>
      </x:c>
      <x:c r="C145" s="11" t="str">
        <x:v>Khóa phạm vi V2 và baseline không mất tệp</x:v>
      </x:c>
      <x:c r="D145" s="11" t="str">
        <x:v>Governance</x:v>
      </x:c>
      <x:c r="E145" s="11" t="str">
        <x:v>GOV-01</x:v>
      </x:c>
      <x:c r="F145" s="11" t="str"/>
      <x:c r="G145" s="11" t="str">
        <x:v>NOT_CHECKED</x:v>
      </x:c>
    </x:row>
    <x:row r="146" ht="15" hidden="0" customHeight="1">
      <x:c r="A146" s="11" t="str">
        <x:v>V2-GOV-02</x:v>
      </x:c>
      <x:c r="B146" s="11" t="str">
        <x:v>V2</x:v>
      </x:c>
      <x:c r="C146" s="11" t="str">
        <x:v>Phê duyệt nguồn và quyền từng phương pháp</x:v>
      </x:c>
      <x:c r="D146" s="11" t="str">
        <x:v>Governance</x:v>
      </x:c>
      <x:c r="E146" s="11" t="str">
        <x:v>V2-GOV-01</x:v>
      </x:c>
      <x:c r="F146" s="11" t="str"/>
      <x:c r="G146" s="11" t="str">
        <x:v>NOT_CHECKED</x:v>
      </x:c>
    </x:row>
    <x:row r="147" ht="15" hidden="0" customHeight="1">
      <x:c r="A147" s="11" t="str">
        <x:v>V2-GOV-03</x:v>
      </x:c>
      <x:c r="B147" s="11" t="str">
        <x:v>V2</x:v>
      </x:c>
      <x:c r="C147" s="11" t="str">
        <x:v>Khóa loại claim và từ điển ngôn ngữ</x:v>
      </x:c>
      <x:c r="D147" s="11" t="str">
        <x:v>Governance</x:v>
      </x:c>
      <x:c r="E147" s="11" t="str">
        <x:v>V2-GOV-02</x:v>
      </x:c>
      <x:c r="F147" s="11" t="str"/>
      <x:c r="G147" s="11" t="str">
        <x:v>NOT_CHECKED</x:v>
      </x:c>
    </x:row>
    <x:row r="148" ht="15" hidden="0" customHeight="1">
      <x:c r="A148" s="11" t="str">
        <x:v>V2-GOV-04</x:v>
      </x:c>
      <x:c r="B148" s="11" t="str">
        <x:v>V2</x:v>
      </x:c>
      <x:c r="C148" s="11" t="str">
        <x:v>Chốt số dư 0 và phiên bản bảng 80</x:v>
      </x:c>
      <x:c r="D148" s="11" t="str">
        <x:v>Governance</x:v>
      </x:c>
      <x:c r="E148" s="11" t="str">
        <x:v>V2-GOV-03</x:v>
      </x:c>
      <x:c r="F148" s="11" t="str"/>
      <x:c r="G148" s="11" t="str">
        <x:v>NOT_CHECKED</x:v>
      </x:c>
    </x:row>
    <x:row r="149" ht="15" hidden="0" customHeight="1">
      <x:c r="A149" s="11" t="str">
        <x:v>V2-GOV-05</x:v>
      </x:c>
      <x:c r="B149" s="11" t="str">
        <x:v>V2</x:v>
      </x:c>
      <x:c r="C149" s="11" t="str">
        <x:v>Rà phạm vi pháp lý theo quốc gia</x:v>
      </x:c>
      <x:c r="D149" s="11" t="str">
        <x:v>Governance</x:v>
      </x:c>
      <x:c r="E149" s="11" t="str">
        <x:v>V2-GOV-04</x:v>
      </x:c>
      <x:c r="F149" s="11" t="str"/>
      <x:c r="G149" s="11" t="str">
        <x:v>NOT_CHECKED</x:v>
      </x:c>
    </x:row>
    <x:row r="150" ht="15" hidden="0" customHeight="1">
      <x:c r="A150" s="11" t="str">
        <x:v>V2-GOV-06</x:v>
      </x:c>
      <x:c r="B150" s="11" t="str">
        <x:v>V2</x:v>
      </x:c>
      <x:c r="C150" s="11" t="str">
        <x:v>Chọn provider và legal entity</x:v>
      </x:c>
      <x:c r="D150" s="11" t="str">
        <x:v>Governance</x:v>
      </x:c>
      <x:c r="E150" s="11" t="str">
        <x:v>V2-GOV-05</x:v>
      </x:c>
      <x:c r="F150" s="11" t="str"/>
      <x:c r="G150" s="11" t="str">
        <x:v>NOT_CHECKED</x:v>
      </x:c>
    </x:row>
    <x:row r="151" ht="15" hidden="0" customHeight="1">
      <x:c r="A151" s="11" t="str">
        <x:v>V2-BE-01</x:v>
      </x:c>
      <x:c r="B151" s="11" t="str">
        <x:v>V2</x:v>
      </x:c>
      <x:c r="C151" s="11" t="str">
        <x:v>Áp dụng snapshot đầu vào và hypothesis</x:v>
      </x:c>
      <x:c r="D151" s="11" t="str">
        <x:v>Backend</x:v>
      </x:c>
      <x:c r="E151" s="11" t="str">
        <x:v>METHOD-01</x:v>
      </x:c>
      <x:c r="F151" s="11" t="str"/>
      <x:c r="G151" s="11" t="str">
        <x:v>NOT_CHECKED</x:v>
      </x:c>
    </x:row>
    <x:row r="152" ht="15" hidden="0" customHeight="1">
      <x:c r="A152" s="11" t="str">
        <x:v>V2-BE-02</x:v>
      </x:c>
      <x:c r="B152" s="11" t="str">
        <x:v>V2</x:v>
      </x:c>
      <x:c r="C152" s="11" t="str">
        <x:v>Triển khai normalizer Unicode và tên</x:v>
      </x:c>
      <x:c r="D152" s="11" t="str">
        <x:v>Backend</x:v>
      </x:c>
      <x:c r="E152" s="11" t="str">
        <x:v>V2-BE-01</x:v>
      </x:c>
      <x:c r="F152" s="11" t="str"/>
      <x:c r="G152" s="11" t="str">
        <x:v>NOT_CHECKED</x:v>
      </x:c>
    </x:row>
    <x:row r="153" ht="15" hidden="0" customHeight="1">
      <x:c r="A153" s="11" t="str">
        <x:v>V2-BE-03</x:v>
      </x:c>
      <x:c r="B153" s="11" t="str">
        <x:v>V2</x:v>
      </x:c>
      <x:c r="C153" s="11" t="str">
        <x:v>Triển khai time adapter có DST fold/gap</x:v>
      </x:c>
      <x:c r="D153" s="11" t="str">
        <x:v>Backend</x:v>
      </x:c>
      <x:c r="E153" s="11" t="str">
        <x:v>V2-BE-02</x:v>
      </x:c>
      <x:c r="F153" s="11" t="str"/>
      <x:c r="G153" s="11" t="str">
        <x:v>NOT_CHECKED</x:v>
      </x:c>
    </x:row>
    <x:row r="154" ht="15" hidden="0" customHeight="1">
      <x:c r="A154" s="11" t="str">
        <x:v>V2-BE-04</x:v>
      </x:c>
      <x:c r="B154" s="11" t="str">
        <x:v>V2</x:v>
      </x:c>
      <x:c r="C154" s="11" t="str">
        <x:v>Triển khai tuổi ngày nhuận 0–99</x:v>
      </x:c>
      <x:c r="D154" s="11" t="str">
        <x:v>Backend</x:v>
      </x:c>
      <x:c r="E154" s="11" t="str">
        <x:v>V2-BE-03</x:v>
      </x:c>
      <x:c r="F154" s="11" t="str"/>
      <x:c r="G154" s="11" t="str">
        <x:v>NOT_CHECKED</x:v>
      </x:c>
    </x:row>
    <x:row r="155" ht="15" hidden="0" customHeight="1">
      <x:c r="A155" s="11" t="str">
        <x:v>V2-BE-05</x:v>
      </x:c>
      <x:c r="B155" s="11" t="str">
        <x:v>V2</x:v>
      </x:c>
      <x:c r="C155" s="11" t="str">
        <x:v>Tích hợp bảng 64 cặp và unresolved 0/5</x:v>
      </x:c>
      <x:c r="D155" s="11" t="str">
        <x:v>Backend</x:v>
      </x:c>
      <x:c r="E155" s="11" t="str">
        <x:v>V2-BE-04</x:v>
      </x:c>
      <x:c r="F155" s="11" t="str"/>
      <x:c r="G155" s="11" t="str">
        <x:v>NOT_CHECKED</x:v>
      </x:c>
    </x:row>
    <x:row r="156" ht="15" hidden="0" customHeight="1">
      <x:c r="A156" s="11" t="str">
        <x:v>V2-BE-06</x:v>
      </x:c>
      <x:c r="B156" s="11" t="str">
        <x:v>V2</x:v>
      </x:c>
      <x:c r="C156" s="11" t="str">
        <x:v>Tích hợp mãđuôi 80 với integer</x:v>
      </x:c>
      <x:c r="D156" s="11" t="str">
        <x:v>Backend</x:v>
      </x:c>
      <x:c r="E156" s="11" t="str">
        <x:v>V2-BE-05</x:v>
      </x:c>
      <x:c r="F156" s="11" t="str"/>
      <x:c r="G156" s="11" t="str">
        <x:v>NOT_CHECKED</x:v>
      </x:c>
    </x:row>
    <x:row r="157" ht="15" hidden="0" customHeight="1">
      <x:c r="A157" s="11" t="str">
        <x:v>V2-BE-07</x:v>
      </x:c>
      <x:c r="B157" s="11" t="str">
        <x:v>V2</x:v>
      </x:c>
      <x:c r="C157" s="11" t="str">
        <x:v>Tạo DAG và impact analysis</x:v>
      </x:c>
      <x:c r="D157" s="11" t="str">
        <x:v>Backend</x:v>
      </x:c>
      <x:c r="E157" s="11" t="str">
        <x:v>V2-BE-06</x:v>
      </x:c>
      <x:c r="F157" s="11" t="str"/>
      <x:c r="G157" s="11" t="str">
        <x:v>NOT_CHECKED</x:v>
      </x:c>
    </x:row>
    <x:row r="158" ht="15" hidden="0" customHeight="1">
      <x:c r="A158" s="11" t="str">
        <x:v>V2-BE-08</x:v>
      </x:c>
      <x:c r="B158" s="11" t="str">
        <x:v>V2</x:v>
      </x:c>
      <x:c r="C158" s="11" t="str">
        <x:v>Khóa cache tenant/subject/purpose/version</x:v>
      </x:c>
      <x:c r="D158" s="11" t="str">
        <x:v>Backend</x:v>
      </x:c>
      <x:c r="E158" s="11" t="str">
        <x:v>V2-BE-07</x:v>
      </x:c>
      <x:c r="F158" s="11" t="str"/>
      <x:c r="G158" s="11" t="str">
        <x:v>NOT_CHECKED</x:v>
      </x:c>
    </x:row>
    <x:row r="159" ht="15" hidden="0" customHeight="1">
      <x:c r="A159" s="11" t="str">
        <x:v>V2-BE-09</x:v>
      </x:c>
      <x:c r="B159" s="11" t="str">
        <x:v>V2</x:v>
      </x:c>
      <x:c r="C159" s="11" t="str">
        <x:v>Tích hợp metrics theo cửa sổ</x:v>
      </x:c>
      <x:c r="D159" s="11" t="str">
        <x:v>Backend</x:v>
      </x:c>
      <x:c r="E159" s="11" t="str">
        <x:v>V2-BE-08</x:v>
      </x:c>
      <x:c r="F159" s="11" t="str"/>
      <x:c r="G159" s="11" t="str">
        <x:v>NOT_CHECKED</x:v>
      </x:c>
    </x:row>
    <x:row r="160" ht="15" hidden="0" customHeight="1">
      <x:c r="A160" s="11" t="str">
        <x:v>V2-BE-10</x:v>
      </x:c>
      <x:c r="B160" s="11" t="str">
        <x:v>V2</x:v>
      </x:c>
      <x:c r="C160" s="11" t="str">
        <x:v>Tạo schema claims và provenance</x:v>
      </x:c>
      <x:c r="D160" s="11" t="str">
        <x:v>Backend</x:v>
      </x:c>
      <x:c r="E160" s="11" t="str">
        <x:v>V2-BE-09</x:v>
      </x:c>
      <x:c r="F160" s="11" t="str"/>
      <x:c r="G160" s="11" t="str">
        <x:v>NOT_CHECKED</x:v>
      </x:c>
    </x:row>
    <x:row r="161" ht="15" hidden="0" customHeight="1">
      <x:c r="A161" s="11" t="str">
        <x:v>V2-BE-11</x:v>
      </x:c>
      <x:c r="B161" s="11" t="str">
        <x:v>V2</x:v>
      </x:c>
      <x:c r="C161" s="11" t="str">
        <x:v>Tạo validation method-specific</x:v>
      </x:c>
      <x:c r="D161" s="11" t="str">
        <x:v>Backend</x:v>
      </x:c>
      <x:c r="E161" s="11" t="str">
        <x:v>V2-BE-10</x:v>
      </x:c>
      <x:c r="F161" s="11" t="str"/>
      <x:c r="G161" s="11" t="str">
        <x:v>NOT_CHECKED</x:v>
      </x:c>
    </x:row>
    <x:row r="162" ht="15" hidden="0" customHeight="1">
      <x:c r="A162" s="11" t="str">
        <x:v>V2-BE-12</x:v>
      </x:c>
      <x:c r="B162" s="11" t="str">
        <x:v>V2</x:v>
      </x:c>
      <x:c r="C162" s="11" t="str">
        <x:v>Tách calculation/symbolic sections</x:v>
      </x:c>
      <x:c r="D162" s="11" t="str">
        <x:v>Backend</x:v>
      </x:c>
      <x:c r="E162" s="11" t="str">
        <x:v>V2-BE-11</x:v>
      </x:c>
      <x:c r="F162" s="11" t="str"/>
      <x:c r="G162" s="11" t="str">
        <x:v>NOT_CHECKED</x:v>
      </x:c>
    </x:row>
    <x:row r="163" ht="15" hidden="0" customHeight="1">
      <x:c r="A163" s="11" t="str">
        <x:v>V2-BE-13</x:v>
      </x:c>
      <x:c r="B163" s="11" t="str">
        <x:v>V2</x:v>
      </x:c>
      <x:c r="C163" s="11" t="str">
        <x:v>Triển khai optimistic concurrency</x:v>
      </x:c>
      <x:c r="D163" s="11" t="str">
        <x:v>Backend</x:v>
      </x:c>
      <x:c r="E163" s="11" t="str">
        <x:v>V2-BE-12</x:v>
      </x:c>
      <x:c r="F163" s="11" t="str"/>
      <x:c r="G163" s="11" t="str">
        <x:v>NOT_CHECKED</x:v>
      </x:c>
    </x:row>
    <x:row r="164" ht="15" hidden="0" customHeight="1">
      <x:c r="A164" s="11" t="str">
        <x:v>V2-BE-14</x:v>
      </x:c>
      <x:c r="B164" s="11" t="str">
        <x:v>V2</x:v>
      </x:c>
      <x:c r="C164" s="11" t="str">
        <x:v>Tạo method release freeze/rollback</x:v>
      </x:c>
      <x:c r="D164" s="11" t="str">
        <x:v>Backend</x:v>
      </x:c>
      <x:c r="E164" s="11" t="str">
        <x:v>V2-BE-13</x:v>
      </x:c>
      <x:c r="F164" s="11" t="str"/>
      <x:c r="G164" s="11" t="str">
        <x:v>NOT_CHECKED</x:v>
      </x:c>
    </x:row>
    <x:row r="165" ht="15" hidden="0" customHeight="1">
      <x:c r="A165" s="11" t="str">
        <x:v>V2-BE-15</x:v>
      </x:c>
      <x:c r="B165" s="11" t="str">
        <x:v>V2</x:v>
      </x:c>
      <x:c r="C165" s="11" t="str">
        <x:v>Tạo run trace theo quyền</x:v>
      </x:c>
      <x:c r="D165" s="11" t="str">
        <x:v>Backend</x:v>
      </x:c>
      <x:c r="E165" s="11" t="str">
        <x:v>V2-BE-14</x:v>
      </x:c>
      <x:c r="F165" s="11" t="str"/>
      <x:c r="G165" s="11" t="str">
        <x:v>NOT_CHECKED</x:v>
      </x:c>
    </x:row>
    <x:row r="166" ht="15" hidden="0" customHeight="1">
      <x:c r="A166" s="11" t="str">
        <x:v>V2-BE-16</x:v>
      </x:c>
      <x:c r="B166" s="11" t="str">
        <x:v>V2</x:v>
      </x:c>
      <x:c r="C166" s="11" t="str">
        <x:v>Tích hợp API compare/hypotheses</x:v>
      </x:c>
      <x:c r="D166" s="11" t="str">
        <x:v>Backend</x:v>
      </x:c>
      <x:c r="E166" s="11" t="str">
        <x:v>V2-BE-15</x:v>
      </x:c>
      <x:c r="F166" s="11" t="str"/>
      <x:c r="G166" s="11" t="str">
        <x:v>NOT_CHECKED</x:v>
      </x:c>
    </x:row>
    <x:row r="167" ht="15" hidden="0" customHeight="1">
      <x:c r="A167" s="11" t="str">
        <x:v>V2-SEC-01</x:v>
      </x:c>
      <x:c r="B167" s="11" t="str">
        <x:v>V2</x:v>
      </x:c>
      <x:c r="C167" s="11" t="str">
        <x:v>Thay identity/session legacy</x:v>
      </x:c>
      <x:c r="D167" s="11" t="str">
        <x:v>Security</x:v>
      </x:c>
      <x:c r="E167" s="11" t="str">
        <x:v>TRUST-01</x:v>
      </x:c>
      <x:c r="F167" s="11" t="str"/>
      <x:c r="G167" s="11" t="str">
        <x:v>NOT_CHECKED</x:v>
      </x:c>
    </x:row>
    <x:row r="168" ht="15" hidden="0" customHeight="1">
      <x:c r="A168" s="11" t="str">
        <x:v>V2-SEC-02</x:v>
      </x:c>
      <x:c r="B168" s="11" t="str">
        <x:v>V2</x:v>
      </x:c>
      <x:c r="C168" s="11" t="str">
        <x:v>Khóa object authorization</x:v>
      </x:c>
      <x:c r="D168" s="11" t="str">
        <x:v>Security</x:v>
      </x:c>
      <x:c r="E168" s="11" t="str">
        <x:v>V2-SEC-01</x:v>
      </x:c>
      <x:c r="F168" s="11" t="str"/>
      <x:c r="G168" s="11" t="str">
        <x:v>NOT_CHECKED</x:v>
      </x:c>
    </x:row>
    <x:row r="169" ht="15" hidden="0" customHeight="1">
      <x:c r="A169" s="11" t="str">
        <x:v>V2-SEC-03</x:v>
      </x:c>
      <x:c r="B169" s="11" t="str">
        <x:v>V2</x:v>
      </x:c>
      <x:c r="C169" s="11" t="str">
        <x:v>Chạy RLS runtime role</x:v>
      </x:c>
      <x:c r="D169" s="11" t="str">
        <x:v>Security</x:v>
      </x:c>
      <x:c r="E169" s="11" t="str">
        <x:v>V2-SEC-02</x:v>
      </x:c>
      <x:c r="F169" s="11" t="str"/>
      <x:c r="G169" s="11" t="str">
        <x:v>NOT_CHECKED</x:v>
      </x:c>
    </x:row>
    <x:row r="170" ht="15" hidden="0" customHeight="1">
      <x:c r="A170" s="11" t="str">
        <x:v>V2-SEC-04</x:v>
      </x:c>
      <x:c r="B170" s="11" t="str">
        <x:v>V2</x:v>
      </x:c>
      <x:c r="C170" s="11" t="str">
        <x:v>Chặn xử lý sau thu hồi quyền</x:v>
      </x:c>
      <x:c r="D170" s="11" t="str">
        <x:v>Security</x:v>
      </x:c>
      <x:c r="E170" s="11" t="str">
        <x:v>V2-SEC-03</x:v>
      </x:c>
      <x:c r="F170" s="11" t="str"/>
      <x:c r="G170" s="11" t="str">
        <x:v>NOT_CHECKED</x:v>
      </x:c>
    </x:row>
    <x:row r="171" ht="15" hidden="0" customHeight="1">
      <x:c r="A171" s="11" t="str">
        <x:v>V2-SEC-05</x:v>
      </x:c>
      <x:c r="B171" s="11" t="str">
        <x:v>V2</x:v>
      </x:c>
      <x:c r="C171" s="11" t="str">
        <x:v>Thiết kế deletion xuyên hệ</x:v>
      </x:c>
      <x:c r="D171" s="11" t="str">
        <x:v>Security</x:v>
      </x:c>
      <x:c r="E171" s="11" t="str">
        <x:v>V2-SEC-04</x:v>
      </x:c>
      <x:c r="F171" s="11" t="str"/>
      <x:c r="G171" s="11" t="str">
        <x:v>NOT_CHECKED</x:v>
      </x:c>
    </x:row>
    <x:row r="172" ht="15" hidden="0" customHeight="1">
      <x:c r="A172" s="11" t="str">
        <x:v>V2-SEC-06</x:v>
      </x:c>
      <x:c r="B172" s="11" t="str">
        <x:v>V2</x:v>
      </x:c>
      <x:c r="C172" s="11" t="str">
        <x:v>Kiểm soát report download</x:v>
      </x:c>
      <x:c r="D172" s="11" t="str">
        <x:v>Security</x:v>
      </x:c>
      <x:c r="E172" s="11" t="str">
        <x:v>V2-SEC-05</x:v>
      </x:c>
      <x:c r="F172" s="11" t="str"/>
      <x:c r="G172" s="11" t="str">
        <x:v>NOT_CHECKED</x:v>
      </x:c>
    </x:row>
    <x:row r="173" ht="15" hidden="0" customHeight="1">
      <x:c r="A173" s="11" t="str">
        <x:v>V2-SEC-07</x:v>
      </x:c>
      <x:c r="B173" s="11" t="str">
        <x:v>V2</x:v>
      </x:c>
      <x:c r="C173" s="11" t="str">
        <x:v>Chặn prompt injection/RAG cross-tenant</x:v>
      </x:c>
      <x:c r="D173" s="11" t="str">
        <x:v>Security</x:v>
      </x:c>
      <x:c r="E173" s="11" t="str">
        <x:v>V2-SEC-06</x:v>
      </x:c>
      <x:c r="F173" s="11" t="str"/>
      <x:c r="G173" s="11" t="str">
        <x:v>NOT_CHECKED</x:v>
      </x:c>
    </x:row>
    <x:row r="174" ht="15" hidden="0" customHeight="1">
      <x:c r="A174" s="11" t="str">
        <x:v>V2-SEC-08</x:v>
      </x:c>
      <x:c r="B174" s="11" t="str">
        <x:v>V2</x:v>
      </x:c>
      <x:c r="C174" s="11" t="str">
        <x:v>Thiết kế sandbox render không egress</x:v>
      </x:c>
      <x:c r="D174" s="11" t="str">
        <x:v>Security</x:v>
      </x:c>
      <x:c r="E174" s="11" t="str">
        <x:v>V2-SEC-07</x:v>
      </x:c>
      <x:c r="F174" s="11" t="str"/>
      <x:c r="G174" s="11" t="str">
        <x:v>NOT_CHECKED</x:v>
      </x:c>
    </x:row>
    <x:row r="175" ht="15" hidden="0" customHeight="1">
      <x:c r="A175" s="11" t="str">
        <x:v>V2-SEC-09</x:v>
      </x:c>
      <x:c r="B175" s="11" t="str">
        <x:v>V2</x:v>
      </x:c>
      <x:c r="C175" s="11" t="str">
        <x:v>Kiểm tra secrets/buildallowlist</x:v>
      </x:c>
      <x:c r="D175" s="11" t="str">
        <x:v>Security</x:v>
      </x:c>
      <x:c r="E175" s="11" t="str">
        <x:v>V2-SEC-08</x:v>
      </x:c>
      <x:c r="F175" s="11" t="str"/>
      <x:c r="G175" s="11" t="str">
        <x:v>NOT_CHECKED</x:v>
      </x:c>
    </x:row>
    <x:row r="176" ht="15" hidden="0" customHeight="1">
      <x:c r="A176" s="11" t="str">
        <x:v>V2-SEC-10</x:v>
      </x:c>
      <x:c r="B176" s="11" t="str">
        <x:v>V2</x:v>
      </x:c>
      <x:c r="C176" s="11" t="str">
        <x:v>Đánh giá bảo mật độc lập</x:v>
      </x:c>
      <x:c r="D176" s="11" t="str">
        <x:v>Security</x:v>
      </x:c>
      <x:c r="E176" s="11" t="str">
        <x:v>V2-SEC-09</x:v>
      </x:c>
      <x:c r="F176" s="11" t="str"/>
      <x:c r="G176" s="11" t="str">
        <x:v>NOT_CHECKED</x:v>
      </x:c>
    </x:row>
    <x:row r="177" ht="15" hidden="0" customHeight="1">
      <x:c r="A177" s="11" t="str">
        <x:v>V2-JOB-01</x:v>
      </x:c>
      <x:c r="B177" s="11" t="str">
        <x:v>V2</x:v>
      </x:c>
      <x:c r="C177" s="11" t="str">
        <x:v>Triển khai outbox transaction</x:v>
      </x:c>
      <x:c r="D177" s="11" t="str">
        <x:v>Jobs</x:v>
      </x:c>
      <x:c r="E177" s="11" t="str">
        <x:v>COMMERCE-01</x:v>
      </x:c>
      <x:c r="F177" s="11" t="str"/>
      <x:c r="G177" s="11" t="str">
        <x:v>NOT_CHECKED</x:v>
      </x:c>
    </x:row>
    <x:row r="178" ht="15" hidden="0" customHeight="1">
      <x:c r="A178" s="11" t="str">
        <x:v>V2-JOB-02</x:v>
      </x:c>
      <x:c r="B178" s="11" t="str">
        <x:v>V2</x:v>
      </x:c>
      <x:c r="C178" s="11" t="str">
        <x:v>Triển khai lease/retry/DLQ</x:v>
      </x:c>
      <x:c r="D178" s="11" t="str">
        <x:v>Jobs</x:v>
      </x:c>
      <x:c r="E178" s="11" t="str">
        <x:v>V2-JOB-01</x:v>
      </x:c>
      <x:c r="F178" s="11" t="str"/>
      <x:c r="G178" s="11" t="str">
        <x:v>NOT_CHECKED</x:v>
      </x:c>
    </x:row>
    <x:row r="179" ht="15" hidden="0" customHeight="1">
      <x:c r="A179" s="11" t="str">
        <x:v>V2-JOB-03</x:v>
      </x:c>
      <x:c r="B179" s="11" t="str">
        <x:v>V2</x:v>
      </x:c>
      <x:c r="C179" s="11" t="str">
        <x:v>Idempotency bền vững đa worker</x:v>
      </x:c>
      <x:c r="D179" s="11" t="str">
        <x:v>Jobs</x:v>
      </x:c>
      <x:c r="E179" s="11" t="str">
        <x:v>V2-JOB-02</x:v>
      </x:c>
      <x:c r="F179" s="11" t="str"/>
      <x:c r="G179" s="11" t="str">
        <x:v>NOT_CHECKED</x:v>
      </x:c>
    </x:row>
    <x:row r="180" ht="15" hidden="0" customHeight="1">
      <x:c r="A180" s="11" t="str">
        <x:v>V2-JOB-04</x:v>
      </x:c>
      <x:c r="B180" s="11" t="str">
        <x:v>V2</x:v>
      </x:c>
      <x:c r="C180" s="11" t="str">
        <x:v>Reconcile provider result</x:v>
      </x:c>
      <x:c r="D180" s="11" t="str">
        <x:v>Jobs</x:v>
      </x:c>
      <x:c r="E180" s="11" t="str">
        <x:v>V2-JOB-03</x:v>
      </x:c>
      <x:c r="F180" s="11" t="str"/>
      <x:c r="G180" s="11" t="str">
        <x:v>NOT_CHECKED</x:v>
      </x:c>
    </x:row>
    <x:row r="181" ht="15" hidden="0" customHeight="1">
      <x:c r="A181" s="11" t="str">
        <x:v>V2-JOB-05</x:v>
      </x:c>
      <x:c r="B181" s="11" t="str">
        <x:v>V2</x:v>
      </x:c>
      <x:c r="C181" s="11" t="str">
        <x:v>Webhook đúng số tiền và chữ ký</x:v>
      </x:c>
      <x:c r="D181" s="11" t="str">
        <x:v>Jobs</x:v>
      </x:c>
      <x:c r="E181" s="11" t="str">
        <x:v>V2-JOB-04</x:v>
      </x:c>
      <x:c r="F181" s="11" t="str"/>
      <x:c r="G181" s="11" t="str">
        <x:v>NOT_CHECKED</x:v>
      </x:c>
    </x:row>
    <x:row r="182" ht="15" hidden="0" customHeight="1">
      <x:c r="A182" s="11" t="str">
        <x:v>V2-JOB-06</x:v>
      </x:c>
      <x:c r="B182" s="11" t="str">
        <x:v>V2</x:v>
      </x:c>
      <x:c r="C182" s="11" t="str">
        <x:v>Tách paid/entitlement/fulfilled</x:v>
      </x:c>
      <x:c r="D182" s="11" t="str">
        <x:v>Jobs</x:v>
      </x:c>
      <x:c r="E182" s="11" t="str">
        <x:v>V2-JOB-05</x:v>
      </x:c>
      <x:c r="F182" s="11" t="str"/>
      <x:c r="G182" s="11" t="str">
        <x:v>NOT_CHECKED</x:v>
      </x:c>
    </x:row>
    <x:row r="183" ht="15" hidden="0" customHeight="1">
      <x:c r="A183" s="11" t="str">
        <x:v>V2-JOB-07</x:v>
      </x:c>
      <x:c r="B183" s="11" t="str">
        <x:v>V2</x:v>
      </x:c>
      <x:c r="C183" s="11" t="str">
        <x:v>Refund và cancel rules</x:v>
      </x:c>
      <x:c r="D183" s="11" t="str">
        <x:v>Jobs</x:v>
      </x:c>
      <x:c r="E183" s="11" t="str">
        <x:v>V2-JOB-06</x:v>
      </x:c>
      <x:c r="F183" s="11" t="str"/>
      <x:c r="G183" s="11" t="str">
        <x:v>NOT_CHECKED</x:v>
      </x:c>
    </x:row>
    <x:row r="184" ht="15" hidden="0" customHeight="1">
      <x:c r="A184" s="11" t="str">
        <x:v>V2-JOB-08</x:v>
      </x:c>
      <x:c r="B184" s="11" t="str">
        <x:v>V2</x:v>
      </x:c>
      <x:c r="C184" s="11" t="str">
        <x:v>Backup restore có tombstone</x:v>
      </x:c>
      <x:c r="D184" s="11" t="str">
        <x:v>Jobs</x:v>
      </x:c>
      <x:c r="E184" s="11" t="str">
        <x:v>V2-JOB-07</x:v>
      </x:c>
      <x:c r="F184" s="11" t="str"/>
      <x:c r="G184" s="11" t="str">
        <x:v>NOT_CHECKED</x:v>
      </x:c>
    </x:row>
    <x:row r="185" ht="15" hidden="0" customHeight="1">
      <x:c r="A185" s="11" t="str">
        <x:v>V2-FE-01</x:v>
      </x:c>
      <x:c r="B185" s="11" t="str">
        <x:v>V2</x:v>
      </x:c>
      <x:c r="C185" s="11" t="str">
        <x:v>Triển khai nhu cầu-first onboarding</x:v>
      </x:c>
      <x:c r="D185" s="11" t="str">
        <x:v>Frontend</x:v>
      </x:c>
      <x:c r="E185" s="11" t="str">
        <x:v>WEB-01</x:v>
      </x:c>
      <x:c r="F185" s="11" t="str"/>
      <x:c r="G185" s="11" t="str">
        <x:v>NOT_CHECKED</x:v>
      </x:c>
    </x:row>
    <x:row r="186" ht="15" hidden="0" customHeight="1">
      <x:c r="A186" s="11" t="str">
        <x:v>V2-FE-02</x:v>
      </x:c>
      <x:c r="B186" s="11" t="str">
        <x:v>V2</x:v>
      </x:c>
      <x:c r="C186" s="11" t="str">
        <x:v>Form dữ liệu thiếu/mâu thuẫn</x:v>
      </x:c>
      <x:c r="D186" s="11" t="str">
        <x:v>Frontend</x:v>
      </x:c>
      <x:c r="E186" s="11" t="str">
        <x:v>V2-FE-01</x:v>
      </x:c>
      <x:c r="F186" s="11" t="str"/>
      <x:c r="G186" s="11" t="str">
        <x:v>NOT_CHECKED</x:v>
      </x:c>
    </x:row>
    <x:row r="187" ht="15" hidden="0" customHeight="1">
      <x:c r="A187" s="11" t="str">
        <x:v>V2-FE-03</x:v>
      </x:c>
      <x:c r="B187" s="11" t="str">
        <x:v>V2</x:v>
      </x:c>
      <x:c r="C187" s="11" t="str">
        <x:v>Demo drawer trong app</x:v>
      </x:c>
      <x:c r="D187" s="11" t="str">
        <x:v>Frontend</x:v>
      </x:c>
      <x:c r="E187" s="11" t="str">
        <x:v>V2-FE-02</x:v>
      </x:c>
      <x:c r="F187" s="11" t="str"/>
      <x:c r="G187" s="11" t="str">
        <x:v>NOT_CHECKED</x:v>
      </x:c>
    </x:row>
    <x:row r="188" ht="15" hidden="0" customHeight="1">
      <x:c r="A188" s="11" t="str">
        <x:v>V2-FE-04</x:v>
      </x:c>
      <x:c r="B188" s="11" t="str">
        <x:v>V2</x:v>
      </x:c>
      <x:c r="C188" s="11" t="str">
        <x:v>Trace đọc được bằng người dùng</x:v>
      </x:c>
      <x:c r="D188" s="11" t="str">
        <x:v>Frontend</x:v>
      </x:c>
      <x:c r="E188" s="11" t="str">
        <x:v>V2-FE-03</x:v>
      </x:c>
      <x:c r="F188" s="11" t="str"/>
      <x:c r="G188" s="11" t="str">
        <x:v>NOT_CHECKED</x:v>
      </x:c>
    </x:row>
    <x:row r="189" ht="15" hidden="0" customHeight="1">
      <x:c r="A189" s="11" t="str">
        <x:v>V2-FE-05</x:v>
      </x:c>
      <x:c r="B189" s="11" t="str">
        <x:v>V2</x:v>
      </x:c>
      <x:c r="C189" s="11" t="str">
        <x:v>Timeline nhiều đường riêng</x:v>
      </x:c>
      <x:c r="D189" s="11" t="str">
        <x:v>Frontend</x:v>
      </x:c>
      <x:c r="E189" s="11" t="str">
        <x:v>V2-FE-04</x:v>
      </x:c>
      <x:c r="F189" s="11" t="str"/>
      <x:c r="G189" s="11" t="str">
        <x:v>NOT_CHECKED</x:v>
      </x:c>
    </x:row>
    <x:row r="190" ht="15" hidden="0" customHeight="1">
      <x:c r="A190" s="11" t="str">
        <x:v>V2-FE-06</x:v>
      </x:c>
      <x:c r="B190" s="11" t="str">
        <x:v>V2</x:v>
      </x:c>
      <x:c r="C190" s="11" t="str">
        <x:v>State errors/empty/partial toàn diện</x:v>
      </x:c>
      <x:c r="D190" s="11" t="str">
        <x:v>Frontend</x:v>
      </x:c>
      <x:c r="E190" s="11" t="str">
        <x:v>V2-FE-05</x:v>
      </x:c>
      <x:c r="F190" s="11" t="str"/>
      <x:c r="G190" s="11" t="str">
        <x:v>NOT_CHECKED</x:v>
      </x:c>
    </x:row>
    <x:row r="191" ht="15" hidden="0" customHeight="1">
      <x:c r="A191" s="11" t="str">
        <x:v>V2-FE-07</x:v>
      </x:c>
      <x:c r="B191" s="11" t="str">
        <x:v>V2</x:v>
      </x:c>
      <x:c r="C191" s="11" t="str">
        <x:v>Mobile layout 360 px</x:v>
      </x:c>
      <x:c r="D191" s="11" t="str">
        <x:v>Frontend</x:v>
      </x:c>
      <x:c r="E191" s="11" t="str">
        <x:v>V2-FE-06</x:v>
      </x:c>
      <x:c r="F191" s="11" t="str"/>
      <x:c r="G191" s="11" t="str">
        <x:v>NOT_CHECKED</x:v>
      </x:c>
    </x:row>
    <x:row r="192" ht="15" hidden="0" customHeight="1">
      <x:c r="A192" s="11" t="str">
        <x:v>V2-FE-08</x:v>
      </x:c>
      <x:c r="B192" s="11" t="str">
        <x:v>V2</x:v>
      </x:c>
      <x:c r="C192" s="11" t="str">
        <x:v>Keyboard/a 11 y flow</x:v>
      </x:c>
      <x:c r="D192" s="11" t="str">
        <x:v>Frontend</x:v>
      </x:c>
      <x:c r="E192" s="11" t="str">
        <x:v>V2-FE-07</x:v>
      </x:c>
      <x:c r="F192" s="11" t="str"/>
      <x:c r="G192" s="11" t="str">
        <x:v>NOT_CHECKED</x:v>
      </x:c>
    </x:row>
    <x:row r="193" ht="15" hidden="0" customHeight="1">
      <x:c r="A193" s="11" t="str">
        <x:v>V2-FE-09</x:v>
      </x:c>
      <x:c r="B193" s="11" t="str">
        <x:v>V2</x:v>
      </x:c>
      <x:c r="C193" s="11" t="str">
        <x:v>Offline conflict dialog</x:v>
      </x:c>
      <x:c r="D193" s="11" t="str">
        <x:v>Frontend</x:v>
      </x:c>
      <x:c r="E193" s="11" t="str">
        <x:v>V2-FE-08</x:v>
      </x:c>
      <x:c r="F193" s="11" t="str"/>
      <x:c r="G193" s="11" t="str">
        <x:v>NOT_CHECKED</x:v>
      </x:c>
    </x:row>
    <x:row r="194" ht="15" hidden="0" customHeight="1">
      <x:c r="A194" s="11" t="str">
        <x:v>V2-FE-10</x:v>
      </x:c>
      <x:c r="B194" s="11" t="str">
        <x:v>V2</x:v>
      </x:c>
      <x:c r="C194" s="11" t="str">
        <x:v>Consent và sharing console</x:v>
      </x:c>
      <x:c r="D194" s="11" t="str">
        <x:v>Frontend</x:v>
      </x:c>
      <x:c r="E194" s="11" t="str">
        <x:v>V2-FE-09</x:v>
      </x:c>
      <x:c r="F194" s="11" t="str"/>
      <x:c r="G194" s="11" t="str">
        <x:v>NOT_CHECKED</x:v>
      </x:c>
    </x:row>
    <x:row r="195" ht="15" hidden="0" customHeight="1">
      <x:c r="A195" s="11" t="str">
        <x:v>V2-FE-11</x:v>
      </x:c>
      <x:c r="B195" s="11" t="str">
        <x:v>V2</x:v>
      </x:c>
      <x:c r="C195" s="11" t="str">
        <x:v>Report outline và PDF download</x:v>
      </x:c>
      <x:c r="D195" s="11" t="str">
        <x:v>Frontend</x:v>
      </x:c>
      <x:c r="E195" s="11" t="str">
        <x:v>V2-FE-10</x:v>
      </x:c>
      <x:c r="F195" s="11" t="str"/>
      <x:c r="G195" s="11" t="str">
        <x:v>NOT_CHECKED</x:v>
      </x:c>
    </x:row>
    <x:row r="196" ht="15" hidden="0" customHeight="1">
      <x:c r="A196" s="11" t="str">
        <x:v>V2-FE-12</x:v>
      </x:c>
      <x:c r="B196" s="11" t="str">
        <x:v>V2</x:v>
      </x:c>
      <x:c r="C196" s="11" t="str">
        <x:v>Đa ngôn ngữ không đổi claim</x:v>
      </x:c>
      <x:c r="D196" s="11" t="str">
        <x:v>Frontend</x:v>
      </x:c>
      <x:c r="E196" s="11" t="str">
        <x:v>V2-FE-11</x:v>
      </x:c>
      <x:c r="F196" s="11" t="str"/>
      <x:c r="G196" s="11" t="str">
        <x:v>NOT_CHECKED</x:v>
      </x:c>
    </x:row>
    <x:row r="197" ht="15" hidden="0" customHeight="1">
      <x:c r="A197" s="11" t="str">
        <x:v>V2-AI-01</x:v>
      </x:c>
      <x:c r="B197" s="11" t="str">
        <x:v>V2</x:v>
      </x:c>
      <x:c r="C197" s="11" t="str">
        <x:v>Tạo approved claims assembler</x:v>
      </x:c>
      <x:c r="D197" s="11" t="str">
        <x:v>AI/Content</x:v>
      </x:c>
      <x:c r="E197" s="11" t="str">
        <x:v>AI-01</x:v>
      </x:c>
      <x:c r="F197" s="11" t="str"/>
      <x:c r="G197" s="11" t="str">
        <x:v>NOT_CHECKED</x:v>
      </x:c>
    </x:row>
    <x:row r="198" ht="15" hidden="0" customHeight="1">
      <x:c r="A198" s="11" t="str">
        <x:v>V2-AI-02</x:v>
      </x:c>
      <x:c r="B198" s="11" t="str">
        <x:v>V2</x:v>
      </x:c>
      <x:c r="C198" s="11" t="str">
        <x:v>Tạo writer dựa claim IDs</x:v>
      </x:c>
      <x:c r="D198" s="11" t="str">
        <x:v>AI/Content</x:v>
      </x:c>
      <x:c r="E198" s="11" t="str">
        <x:v>V2-AI-01</x:v>
      </x:c>
      <x:c r="F198" s="11" t="str"/>
      <x:c r="G198" s="11" t="str">
        <x:v>NOT_CHECKED</x:v>
      </x:c>
    </x:row>
    <x:row r="199" ht="15" hidden="0" customHeight="1">
      <x:c r="A199" s="11" t="str">
        <x:v>V2-AI-03</x:v>
      </x:c>
      <x:c r="B199" s="11" t="str">
        <x:v>V2</x:v>
      </x:c>
      <x:c r="C199" s="11" t="str">
        <x:v>Tạo reviewer số liệu/nguồn</x:v>
      </x:c>
      <x:c r="D199" s="11" t="str">
        <x:v>AI/Content</x:v>
      </x:c>
      <x:c r="E199" s="11" t="str">
        <x:v>V2-AI-02</x:v>
      </x:c>
      <x:c r="F199" s="11" t="str"/>
      <x:c r="G199" s="11" t="str">
        <x:v>NOT_CHECKED</x:v>
      </x:c>
    </x:row>
    <x:row r="200" ht="15" hidden="0" customHeight="1">
      <x:c r="A200" s="11" t="str">
        <x:v>V2-AI-04</x:v>
      </x:c>
      <x:c r="B200" s="11" t="str">
        <x:v>V2</x:v>
      </x:c>
      <x:c r="C200" s="11" t="str">
        <x:v>Tạo 9 template nội dung riêng</x:v>
      </x:c>
      <x:c r="D200" s="11" t="str">
        <x:v>AI/Content</x:v>
      </x:c>
      <x:c r="E200" s="11" t="str">
        <x:v>V2-AI-03</x:v>
      </x:c>
      <x:c r="F200" s="11" t="str"/>
      <x:c r="G200" s="11" t="str">
        <x:v>NOT_CHECKED</x:v>
      </x:c>
    </x:row>
    <x:row r="201" ht="15" hidden="0" customHeight="1">
      <x:c r="A201" s="11" t="str">
        <x:v>V2-AI-05</x:v>
      </x:c>
      <x:c r="B201" s="11" t="str">
        <x:v>V2</x:v>
      </x:c>
      <x:c r="C201" s="11" t="str">
        <x:v>Tạo 3 case Level 1 đủ/thiếu/hypothesis</x:v>
      </x:c>
      <x:c r="D201" s="11" t="str">
        <x:v>AI/Content</x:v>
      </x:c>
      <x:c r="E201" s="11" t="str">
        <x:v>V2-AI-04</x:v>
      </x:c>
      <x:c r="F201" s="11" t="str"/>
      <x:c r="G201" s="11" t="str">
        <x:v>NOT_CHECKED</x:v>
      </x:c>
    </x:row>
    <x:row r="202" ht="15" hidden="0" customHeight="1">
      <x:c r="A202" s="11" t="str">
        <x:v>V2-AI-06</x:v>
      </x:c>
      <x:c r="B202" s="11" t="str">
        <x:v>V2</x:v>
      </x:c>
      <x:c r="C202" s="11" t="str">
        <x:v>Tạo budget/quota/circuit breaker</x:v>
      </x:c>
      <x:c r="D202" s="11" t="str">
        <x:v>AI/Content</x:v>
      </x:c>
      <x:c r="E202" s="11" t="str">
        <x:v>V2-AI-05</x:v>
      </x:c>
      <x:c r="F202" s="11" t="str"/>
      <x:c r="G202" s="11" t="str">
        <x:v>NOT_CHECKED</x:v>
      </x:c>
    </x:row>
    <x:row r="203" ht="15" hidden="0" customHeight="1">
      <x:c r="A203" s="11" t="str">
        <x:v>V2-AI-07</x:v>
      </x:c>
      <x:c r="B203" s="11" t="str">
        <x:v>V2</x:v>
      </x:c>
      <x:c r="C203" s="11" t="str">
        <x:v>Biên tập VI và nguồn đa ngôn ngữ</x:v>
      </x:c>
      <x:c r="D203" s="11" t="str">
        <x:v>AI/Content</x:v>
      </x:c>
      <x:c r="E203" s="11" t="str">
        <x:v>V2-AI-06</x:v>
      </x:c>
      <x:c r="F203" s="11" t="str"/>
      <x:c r="G203" s="11" t="str">
        <x:v>NOT_CHECKED</x:v>
      </x:c>
    </x:row>
    <x:row r="204" ht="15" hidden="0" customHeight="1">
      <x:c r="A204" s="11" t="str">
        <x:v>V2-AI-08</x:v>
      </x:c>
      <x:c r="B204" s="11" t="str">
        <x:v>V2</x:v>
      </x:c>
      <x:c r="C204" s="11" t="str">
        <x:v>Theo dõi correction/outcome</x:v>
      </x:c>
      <x:c r="D204" s="11" t="str">
        <x:v>AI/Content</x:v>
      </x:c>
      <x:c r="E204" s="11" t="str">
        <x:v>V2-AI-07</x:v>
      </x:c>
      <x:c r="F204" s="11" t="str"/>
      <x:c r="G204" s="11" t="str">
        <x:v>NOT_CHECKED</x:v>
      </x:c>
    </x:row>
    <x:row r="205" ht="15" hidden="0" customHeight="1">
      <x:c r="A205" s="11" t="str">
        <x:v>V2-OPS-01</x:v>
      </x:c>
      <x:c r="B205" s="11" t="str">
        <x:v>V2</x:v>
      </x:c>
      <x:c r="C205" s="11" t="str">
        <x:v>Khóa source/artifact/runtime receipt</x:v>
      </x:c>
      <x:c r="D205" s="11" t="str">
        <x:v>Operations</x:v>
      </x:c>
      <x:c r="E205" s="11" t="str">
        <x:v>OPS-01</x:v>
      </x:c>
      <x:c r="F205" s="11" t="str"/>
      <x:c r="G205" s="11" t="str">
        <x:v>NOT_CHECKED</x:v>
      </x:c>
    </x:row>
    <x:row r="206" ht="15" hidden="0" customHeight="1">
      <x:c r="A206" s="11" t="str">
        <x:v>V2-OPS-02</x:v>
      </x:c>
      <x:c r="B206" s="11" t="str">
        <x:v>V2</x:v>
      </x:c>
      <x:c r="C206" s="11" t="str">
        <x:v>CI kiểm schema/code/report</x:v>
      </x:c>
      <x:c r="D206" s="11" t="str">
        <x:v>Operations</x:v>
      </x:c>
      <x:c r="E206" s="11" t="str">
        <x:v>V2-OPS-01</x:v>
      </x:c>
      <x:c r="F206" s="11" t="str"/>
      <x:c r="G206" s="11" t="str">
        <x:v>NOT_CHECKED</x:v>
      </x:c>
    </x:row>
    <x:row r="207" ht="15" hidden="0" customHeight="1">
      <x:c r="A207" s="11" t="str">
        <x:v>V2-OPS-03</x:v>
      </x:c>
      <x:c r="B207" s="11" t="str">
        <x:v>V2</x:v>
      </x:c>
      <x:c r="C207" s="11" t="str">
        <x:v>Load test staging</x:v>
      </x:c>
      <x:c r="D207" s="11" t="str">
        <x:v>Operations</x:v>
      </x:c>
      <x:c r="E207" s="11" t="str">
        <x:v>V2-OPS-02</x:v>
      </x:c>
      <x:c r="F207" s="11" t="str"/>
      <x:c r="G207" s="11" t="str">
        <x:v>NOT_CHECKED</x:v>
      </x:c>
    </x:row>
    <x:row r="208" ht="15" hidden="0" customHeight="1">
      <x:c r="A208" s="11" t="str">
        <x:v>V2-OPS-04</x:v>
      </x:c>
      <x:c r="B208" s="11" t="str">
        <x:v>V2</x:v>
      </x:c>
      <x:c r="C208" s="11" t="str">
        <x:v>SLO/alert/runbook</x:v>
      </x:c>
      <x:c r="D208" s="11" t="str">
        <x:v>Operations</x:v>
      </x:c>
      <x:c r="E208" s="11" t="str">
        <x:v>V2-OPS-03</x:v>
      </x:c>
      <x:c r="F208" s="11" t="str"/>
      <x:c r="G208" s="11" t="str">
        <x:v>NOT_CHECKED</x:v>
      </x:c>
    </x:row>
    <x:row r="209" ht="15" hidden="0" customHeight="1">
      <x:c r="A209" s="11" t="str">
        <x:v>V2-OPS-05</x:v>
      </x:c>
      <x:c r="B209" s="11" t="str">
        <x:v>V2</x:v>
      </x:c>
      <x:c r="C209" s="11" t="str">
        <x:v>Diễn tập rollback về safe mode</x:v>
      </x:c>
      <x:c r="D209" s="11" t="str">
        <x:v>Operations</x:v>
      </x:c>
      <x:c r="E209" s="11" t="str">
        <x:v>V2-OPS-04</x:v>
      </x:c>
      <x:c r="F209" s="11" t="str"/>
      <x:c r="G209" s="11" t="str">
        <x:v>NOT_CHECKED</x:v>
      </x:c>
    </x:row>
    <x:row r="210" ht="15" hidden="0" customHeight="1">
      <x:c r="A210" s="11" t="str">
        <x:v>V2-OPS-06</x:v>
      </x:c>
      <x:c r="B210" s="11" t="str">
        <x:v>V2</x:v>
      </x:c>
      <x:c r="C210" s="11" t="str">
        <x:v>Pilot người lớn có đồng ý</x:v>
      </x:c>
      <x:c r="D210" s="11" t="str">
        <x:v>Operations</x:v>
      </x:c>
      <x:c r="E210" s="11" t="str">
        <x:v>V2-OPS-05</x:v>
      </x:c>
      <x:c r="F210" s="11" t="str"/>
      <x:c r="G210" s="11" t="str">
        <x:v>NOT_CHECKED</x:v>
      </x:c>
    </x:row>
    <x:row r="211" ht="15" hidden="0" customHeight="1">
      <x:c r="A211" s="11" t="str">
        <x:v>V2-OPS-07</x:v>
      </x:c>
      <x:c r="B211" s="11" t="str">
        <x:v>V2</x:v>
      </x:c>
      <x:c r="C211" s="11" t="str">
        <x:v>Đào tạo chuyên gia và reviewer</x:v>
      </x:c>
      <x:c r="D211" s="11" t="str">
        <x:v>Operations</x:v>
      </x:c>
      <x:c r="E211" s="11" t="str">
        <x:v>V2-OPS-06</x:v>
      </x:c>
      <x:c r="F211" s="11" t="str"/>
      <x:c r="G211" s="11" t="str">
        <x:v>NOT_CHECKED</x:v>
      </x:c>
    </x:row>
    <x:row r="212" ht="15" hidden="0" customHeight="1">
      <x:c r="A212" s="11" t="str">
        <x:v>V2-OPS-08</x:v>
      </x:c>
      <x:c r="B212" s="11" t="str">
        <x:v>V2</x:v>
      </x:c>
      <x:c r="C212" s="11" t="str">
        <x:v>Thử partner không độc quyền</x:v>
      </x:c>
      <x:c r="D212" s="11" t="str">
        <x:v>Operations</x:v>
      </x:c>
      <x:c r="E212" s="11" t="str">
        <x:v>V2-OPS-07</x:v>
      </x:c>
      <x:c r="F212" s="11" t="str"/>
      <x:c r="G212" s="11" t="str">
        <x:v>NOT_CHECKED</x:v>
      </x:c>
    </x:row>
    <x:row r="213" ht="15" hidden="0" customHeight="1">
      <x:c r="A213" s="11" t="str">
        <x:v>V3-MTH-001</x:v>
      </x:c>
      <x:c r="B213" s="11" t="str">
        <x:v>V3</x:v>
      </x:c>
      <x:c r="C213" s="11" t="str">
        <x:v>Đặc tả, đối chiếu và duyệt Lịch và múi giờ</x:v>
      </x:c>
      <x:c r="D213" s="11" t="str">
        <x:v>Method Engineer + Native Reviewer + QA</x:v>
      </x:c>
      <x:c r="E213" s="11" t="str"/>
      <x:c r="F213" s="11" t="str">
        <x:v>Q31; Q32; G06</x:v>
      </x:c>
      <x:c r="G213" s="11" t="str">
        <x:v>NOT_CHECKED</x:v>
      </x:c>
    </x:row>
    <x:row r="214" ht="15" hidden="0" customHeight="1">
      <x:c r="A214" s="11" t="str">
        <x:v>V3-MTH-002</x:v>
      </x:c>
      <x:c r="B214" s="11" t="str">
        <x:v>V3</x:v>
      </x:c>
      <x:c r="C214" s="11" t="str">
        <x:v>Đặc tả, đối chiếu và duyệt 24 tiết khí</x:v>
      </x:c>
      <x:c r="D214" s="11" t="str">
        <x:v>Method Engineer + Native Reviewer + QA</x:v>
      </x:c>
      <x:c r="E214" s="11" t="str"/>
      <x:c r="F214" s="11" t="str">
        <x:v>Q31; Q32; G06</x:v>
      </x:c>
      <x:c r="G214" s="11" t="str">
        <x:v>NOT_CHECKED</x:v>
      </x:c>
    </x:row>
    <x:row r="215" ht="15" hidden="0" customHeight="1">
      <x:c r="A215" s="11" t="str">
        <x:v>V3-MTH-003</x:v>
      </x:c>
      <x:c r="B215" s="11" t="str">
        <x:v>V3</x:v>
      </x:c>
      <x:c r="C215" s="11" t="str">
        <x:v>Đặc tả, đối chiếu và duyệt Âm–dương lịch</x:v>
      </x:c>
      <x:c r="D215" s="11" t="str">
        <x:v>Method Engineer + Native Reviewer + QA</x:v>
      </x:c>
      <x:c r="E215" s="11" t="str"/>
      <x:c r="F215" s="11" t="str">
        <x:v>Q31; Q32; G06</x:v>
      </x:c>
      <x:c r="G215" s="11" t="str">
        <x:v>NOT_CHECKED</x:v>
      </x:c>
    </x:row>
    <x:row r="216" ht="15" hidden="0" customHeight="1">
      <x:c r="A216" s="11" t="str">
        <x:v>V3-MTH-004</x:v>
      </x:c>
      <x:c r="B216" s="11" t="str">
        <x:v>V3</x:v>
      </x:c>
      <x:c r="C216" s="11" t="str">
        <x:v>Đặc tả, đối chiếu và duyệt Bốn trụ</x:v>
      </x:c>
      <x:c r="D216" s="11" t="str">
        <x:v>Method Engineer + Native Reviewer + QA</x:v>
      </x:c>
      <x:c r="E216" s="11" t="str"/>
      <x:c r="F216" s="11" t="str">
        <x:v>Q31; Q32; G06</x:v>
      </x:c>
      <x:c r="G216" s="11" t="str">
        <x:v>NOT_CHECKED</x:v>
      </x:c>
    </x:row>
    <x:row r="217" ht="15" hidden="0" customHeight="1">
      <x:c r="A217" s="11" t="str">
        <x:v>V3-MTH-005</x:v>
      </x:c>
      <x:c r="B217" s="11" t="str">
        <x:v>V3</x:v>
      </x:c>
      <x:c r="C217" s="11" t="str">
        <x:v>Đặc tả, đối chiếu và duyệt Tàng can, thập thần, quan hệ</x:v>
      </x:c>
      <x:c r="D217" s="11" t="str">
        <x:v>Method Engineer + Native Reviewer + QA</x:v>
      </x:c>
      <x:c r="E217" s="11" t="str"/>
      <x:c r="F217" s="11" t="str">
        <x:v>Q31; Q32; G06</x:v>
      </x:c>
      <x:c r="G217" s="11" t="str">
        <x:v>NOT_CHECKED</x:v>
      </x:c>
    </x:row>
    <x:row r="218" ht="15" hidden="0" customHeight="1">
      <x:c r="A218" s="11" t="str">
        <x:v>V3-MTH-006</x:v>
      </x:c>
      <x:c r="B218" s="11" t="str">
        <x:v>V3</x:v>
      </x:c>
      <x:c r="C218" s="11" t="str">
        <x:v>Đặc tả, đối chiếu và duyệt Khởi vận và đại vận</x:v>
      </x:c>
      <x:c r="D218" s="11" t="str">
        <x:v>Method Engineer + Native Reviewer + QA</x:v>
      </x:c>
      <x:c r="E218" s="11" t="str"/>
      <x:c r="F218" s="11" t="str">
        <x:v>Q31; Q32; G06</x:v>
      </x:c>
      <x:c r="G218" s="11" t="str">
        <x:v>NOT_CHECKED</x:v>
      </x:c>
    </x:row>
    <x:row r="219" ht="15" hidden="0" customHeight="1">
      <x:c r="A219" s="11" t="str">
        <x:v>V3-MTH-007</x:v>
      </x:c>
      <x:c r="B219" s="11" t="str">
        <x:v>V3</x:v>
      </x:c>
      <x:c r="C219" s="11" t="str">
        <x:v>Đặc tả, đối chiếu và duyệt An cung và sao</x:v>
      </x:c>
      <x:c r="D219" s="11" t="str">
        <x:v>Method Engineer + Native Reviewer + QA</x:v>
      </x:c>
      <x:c r="E219" s="11" t="str"/>
      <x:c r="F219" s="11" t="str">
        <x:v>Q31; Q32; G06</x:v>
      </x:c>
      <x:c r="G219" s="11" t="str">
        <x:v>NOT_CHECKED</x:v>
      </x:c>
    </x:row>
    <x:row r="220" ht="15" hidden="0" customHeight="1">
      <x:c r="A220" s="11" t="str">
        <x:v>V3-MTH-008</x:v>
      </x:c>
      <x:c r="B220" s="11" t="str">
        <x:v>V3</x:v>
      </x:c>
      <x:c r="C220" s="11" t="str">
        <x:v>Đặc tả, đối chiếu và duyệt Tứ hóa và hạn</x:v>
      </x:c>
      <x:c r="D220" s="11" t="str">
        <x:v>Method Engineer + Native Reviewer + QA</x:v>
      </x:c>
      <x:c r="E220" s="11" t="str"/>
      <x:c r="F220" s="11" t="str">
        <x:v>Q31; Q32; G06</x:v>
      </x:c>
      <x:c r="G220" s="11" t="str">
        <x:v>NOT_CHECKED</x:v>
      </x:c>
    </x:row>
    <x:row r="221" ht="15" hidden="0" customHeight="1">
      <x:c r="A221" s="11" t="str">
        <x:v>V3-MTH-009</x:v>
      </x:c>
      <x:c r="B221" s="11" t="str">
        <x:v>V3</x:v>
      </x:c>
      <x:c r="C221" s="11" t="str">
        <x:v>Đặc tả, đối chiếu và duyệt Hà Lạc/Thiết Bản</x:v>
      </x:c>
      <x:c r="D221" s="11" t="str">
        <x:v>Method Engineer + Native Reviewer + QA</x:v>
      </x:c>
      <x:c r="E221" s="11" t="str"/>
      <x:c r="F221" s="11" t="str">
        <x:v>Q31; Q32; G06</x:v>
      </x:c>
      <x:c r="G221" s="11" t="str">
        <x:v>NOT_CHECKED</x:v>
      </x:c>
    </x:row>
    <x:row r="222" ht="15" hidden="0" customHeight="1">
      <x:c r="A222" s="11" t="str">
        <x:v>V3-MTH-010</x:v>
      </x:c>
      <x:c r="B222" s="11" t="str">
        <x:v>V3</x:v>
      </x:c>
      <x:c r="C222" s="11" t="str">
        <x:v>Đặc tả, đối chiếu và duyệt Sáu hào và quẻ biến</x:v>
      </x:c>
      <x:c r="D222" s="11" t="str">
        <x:v>Method Engineer + Native Reviewer + QA</x:v>
      </x:c>
      <x:c r="E222" s="11" t="str"/>
      <x:c r="F222" s="11" t="str">
        <x:v>Q31; Q32; G06</x:v>
      </x:c>
      <x:c r="G222" s="11" t="str">
        <x:v>NOT_CHECKED</x:v>
      </x:c>
    </x:row>
    <x:row r="223" ht="15" hidden="0" customHeight="1">
      <x:c r="A223" s="11" t="str">
        <x:v>V3-MTH-011</x:v>
      </x:c>
      <x:c r="B223" s="11" t="str">
        <x:v>V3</x:v>
      </x:c>
      <x:c r="C223" s="11" t="str">
        <x:v>Đặc tả, đối chiếu và duyệt Quẻ/hào và văn bản</x:v>
      </x:c>
      <x:c r="D223" s="11" t="str">
        <x:v>Method Engineer + Native Reviewer + QA</x:v>
      </x:c>
      <x:c r="E223" s="11" t="str"/>
      <x:c r="F223" s="11" t="str">
        <x:v>Q31; Q32; G06</x:v>
      </x:c>
      <x:c r="G223" s="11" t="str">
        <x:v>NOT_CHECKED</x:v>
      </x:c>
    </x:row>
    <x:row r="224" ht="15" hidden="0" customHeight="1">
      <x:c r="A224" s="11" t="str">
        <x:v>V3-MTH-012</x:v>
      </x:c>
      <x:c r="B224" s="11" t="str">
        <x:v>V3</x:v>
      </x:c>
      <x:c r="C224" s="11" t="str">
        <x:v>Đặc tả, đối chiếu và duyệt Lục Hào/Mai Hoa</x:v>
      </x:c>
      <x:c r="D224" s="11" t="str">
        <x:v>Method Engineer + Native Reviewer + QA</x:v>
      </x:c>
      <x:c r="E224" s="11" t="str"/>
      <x:c r="F224" s="11" t="str">
        <x:v>Q31; Q32; G06</x:v>
      </x:c>
      <x:c r="G224" s="11" t="str">
        <x:v>NOT_CHECKED</x:v>
      </x:c>
    </x:row>
    <x:row r="225" ht="15" hidden="0" customHeight="1">
      <x:c r="A225" s="11" t="str">
        <x:v>V3-MTH-013</x:v>
      </x:c>
      <x:c r="B225" s="11" t="str">
        <x:v>V3</x:v>
      </x:c>
      <x:c r="C225" s="11" t="str">
        <x:v>Đặc tả, đối chiếu và duyệt Kỳ Môn</x:v>
      </x:c>
      <x:c r="D225" s="11" t="str">
        <x:v>Method Engineer + Native Reviewer + QA</x:v>
      </x:c>
      <x:c r="E225" s="11" t="str"/>
      <x:c r="F225" s="11" t="str">
        <x:v>Q31; Q32; G06</x:v>
      </x:c>
      <x:c r="G225" s="11" t="str">
        <x:v>NOT_CHECKED</x:v>
      </x:c>
    </x:row>
    <x:row r="226" ht="15" hidden="0" customHeight="1">
      <x:c r="A226" s="11" t="str">
        <x:v>V3-MTH-014</x:v>
      </x:c>
      <x:c r="B226" s="11" t="str">
        <x:v>V3</x:v>
      </x:c>
      <x:c r="C226" s="11" t="str">
        <x:v>Đặc tả, đối chiếu và duyệt Đại Lục Nhâm</x:v>
      </x:c>
      <x:c r="D226" s="11" t="str">
        <x:v>Method Engineer + Native Reviewer + QA</x:v>
      </x:c>
      <x:c r="E226" s="11" t="str"/>
      <x:c r="F226" s="11" t="str">
        <x:v>Q31; Q32; G06</x:v>
      </x:c>
      <x:c r="G226" s="11" t="str">
        <x:v>NOT_CHECKED</x:v>
      </x:c>
    </x:row>
    <x:row r="227" ht="15" hidden="0" customHeight="1">
      <x:c r="A227" s="11" t="str">
        <x:v>V3-MTH-015</x:v>
      </x:c>
      <x:c r="B227" s="11" t="str">
        <x:v>V3</x:v>
      </x:c>
      <x:c r="C227" s="11" t="str">
        <x:v>Đặc tả, đối chiếu và duyệt Thái Ất</x:v>
      </x:c>
      <x:c r="D227" s="11" t="str">
        <x:v>Method Engineer + Native Reviewer + QA</x:v>
      </x:c>
      <x:c r="E227" s="11" t="str"/>
      <x:c r="F227" s="11" t="str">
        <x:v>Q31; Q32; G06</x:v>
      </x:c>
      <x:c r="G227" s="11" t="str">
        <x:v>NOT_CHECKED</x:v>
      </x:c>
    </x:row>
    <x:row r="228" ht="15" hidden="0" customHeight="1">
      <x:c r="A228" s="11" t="str">
        <x:v>V3-MTH-016</x:v>
      </x:c>
      <x:c r="B228" s="11" t="str">
        <x:v>V3</x:v>
      </x:c>
      <x:c r="C228" s="11" t="str">
        <x:v>Đặc tả, đối chiếu và duyệt Phong thủy không gian</x:v>
      </x:c>
      <x:c r="D228" s="11" t="str">
        <x:v>Method Engineer + Native Reviewer + QA</x:v>
      </x:c>
      <x:c r="E228" s="11" t="str"/>
      <x:c r="F228" s="11" t="str">
        <x:v>Q31; Q32; G06</x:v>
      </x:c>
      <x:c r="G228" s="11" t="str">
        <x:v>NOT_CHECKED</x:v>
      </x:c>
    </x:row>
    <x:row r="229" ht="15" hidden="0" customHeight="1">
      <x:c r="A229" s="11" t="str">
        <x:v>V3-MTH-017</x:v>
      </x:c>
      <x:c r="B229" s="11" t="str">
        <x:v>V3</x:v>
      </x:c>
      <x:c r="C229" s="11" t="str">
        <x:v>Đặc tả, đối chiếu và duyệt Vastu</x:v>
      </x:c>
      <x:c r="D229" s="11" t="str">
        <x:v>Method Engineer + Native Reviewer + QA</x:v>
      </x:c>
      <x:c r="E229" s="11" t="str"/>
      <x:c r="F229" s="11" t="str">
        <x:v>Q31; Q32; G06</x:v>
      </x:c>
      <x:c r="G229" s="11" t="str">
        <x:v>NOT_CHECKED</x:v>
      </x:c>
    </x:row>
    <x:row r="230" ht="15" hidden="0" customHeight="1">
      <x:c r="A230" s="11" t="str">
        <x:v>V3-MTH-018</x:v>
      </x:c>
      <x:c r="B230" s="11" t="str">
        <x:v>V3</x:v>
      </x:c>
      <x:c r="C230" s="11" t="str">
        <x:v>Đặc tả, đối chiếu và duyệt Không gian thực tế</x:v>
      </x:c>
      <x:c r="D230" s="11" t="str">
        <x:v>Method Engineer + Native Reviewer + QA</x:v>
      </x:c>
      <x:c r="E230" s="11" t="str"/>
      <x:c r="F230" s="11" t="str">
        <x:v>Q31; Q32; G06</x:v>
      </x:c>
      <x:c r="G230" s="11" t="str">
        <x:v>NOT_CHECKED</x:v>
      </x:c>
    </x:row>
    <x:row r="231" ht="15" hidden="0" customHeight="1">
      <x:c r="A231" s="11" t="str">
        <x:v>V3-MTH-019</x:v>
      </x:c>
      <x:c r="B231" s="11" t="str">
        <x:v>V3</x:v>
      </x:c>
      <x:c r="C231" s="11" t="str">
        <x:v>Đặc tả, đối chiếu và duyệt Jyotish lá số</x:v>
      </x:c>
      <x:c r="D231" s="11" t="str">
        <x:v>Method Engineer + Native Reviewer + QA</x:v>
      </x:c>
      <x:c r="E231" s="11" t="str"/>
      <x:c r="F231" s="11" t="str">
        <x:v>Q31; Q32; G06</x:v>
      </x:c>
      <x:c r="G231" s="11" t="str">
        <x:v>NOT_CHECKED</x:v>
      </x:c>
    </x:row>
    <x:row r="232" ht="15" hidden="0" customHeight="1">
      <x:c r="A232" s="11" t="str">
        <x:v>V3-MTH-020</x:v>
      </x:c>
      <x:c r="B232" s="11" t="str">
        <x:v>V3</x:v>
      </x:c>
      <x:c r="C232" s="11" t="str">
        <x:v>Đặc tả, đối chiếu và duyệt Daśā và quá cảnh</x:v>
      </x:c>
      <x:c r="D232" s="11" t="str">
        <x:v>Method Engineer + Native Reviewer + QA</x:v>
      </x:c>
      <x:c r="E232" s="11" t="str"/>
      <x:c r="F232" s="11" t="str">
        <x:v>Q31; Q32; G06</x:v>
      </x:c>
      <x:c r="G232" s="11" t="str">
        <x:v>NOT_CHECKED</x:v>
      </x:c>
    </x:row>
    <x:row r="233" ht="15" hidden="0" customHeight="1">
      <x:c r="A233" s="11" t="str">
        <x:v>V3-MTH-021</x:v>
      </x:c>
      <x:c r="B233" s="11" t="str">
        <x:v>V3</x:v>
      </x:c>
      <x:c r="C233" s="11" t="str">
        <x:v>Đặc tả, đối chiếu và duyệt Nadi văn bản</x:v>
      </x:c>
      <x:c r="D233" s="11" t="str">
        <x:v>Method Engineer + Native Reviewer + QA</x:v>
      </x:c>
      <x:c r="E233" s="11" t="str"/>
      <x:c r="F233" s="11" t="str">
        <x:v>Q31; Q32; G06</x:v>
      </x:c>
      <x:c r="G233" s="11" t="str">
        <x:v>NOT_CHECKED</x:v>
      </x:c>
    </x:row>
    <x:row r="234" ht="15" hidden="0" customHeight="1">
      <x:c r="A234" s="11" t="str">
        <x:v>V3-MTH-022</x:v>
      </x:c>
      <x:c r="B234" s="11" t="str">
        <x:v>V3</x:v>
      </x:c>
      <x:c r="C234" s="11" t="str">
        <x:v>Đặc tả, đối chiếu và duyệt Thiên thể và hệ nhà</x:v>
      </x:c>
      <x:c r="D234" s="11" t="str">
        <x:v>Method Engineer + Native Reviewer + QA</x:v>
      </x:c>
      <x:c r="E234" s="11" t="str"/>
      <x:c r="F234" s="11" t="str">
        <x:v>Q31; Q32; G06</x:v>
      </x:c>
      <x:c r="G234" s="11" t="str">
        <x:v>NOT_CHECKED</x:v>
      </x:c>
    </x:row>
    <x:row r="235" ht="15" hidden="0" customHeight="1">
      <x:c r="A235" s="11" t="str">
        <x:v>V3-MTH-023</x:v>
      </x:c>
      <x:c r="B235" s="11" t="str">
        <x:v>V3</x:v>
      </x:c>
      <x:c r="C235" s="11" t="str">
        <x:v>Đặc tả, đối chiếu và duyệt Quá cảnh/tiến triển</x:v>
      </x:c>
      <x:c r="D235" s="11" t="str">
        <x:v>Method Engineer + Native Reviewer + QA</x:v>
      </x:c>
      <x:c r="E235" s="11" t="str"/>
      <x:c r="F235" s="11" t="str">
        <x:v>Q31; Q32; G06</x:v>
      </x:c>
      <x:c r="G235" s="11" t="str">
        <x:v>NOT_CHECKED</x:v>
      </x:c>
    </x:row>
    <x:row r="236" ht="15" hidden="0" customHeight="1">
      <x:c r="A236" s="11" t="str">
        <x:v>V3-MTH-024</x:v>
      </x:c>
      <x:c r="B236" s="11" t="str">
        <x:v>V3</x:v>
      </x:c>
      <x:c r="C236" s="11" t="str">
        <x:v>Đặc tả, đối chiếu và duyệt Hy Lạp/Latin/Ả Rập</x:v>
      </x:c>
      <x:c r="D236" s="11" t="str">
        <x:v>Method Engineer + Native Reviewer + QA</x:v>
      </x:c>
      <x:c r="E236" s="11" t="str"/>
      <x:c r="F236" s="11" t="str">
        <x:v>Q31; Q32; G06</x:v>
      </x:c>
      <x:c r="G236" s="11" t="str">
        <x:v>NOT_CHECKED</x:v>
      </x:c>
    </x:row>
    <x:row r="237" ht="15" hidden="0" customHeight="1">
      <x:c r="A237" s="11" t="str">
        <x:v>V3-MTH-025</x:v>
      </x:c>
      <x:c r="B237" s="11" t="str">
        <x:v>V3</x:v>
      </x:c>
      <x:c r="C237" s="11" t="str">
        <x:v>Đặc tả, đối chiếu và duyệt Saju, Shichū Suimei, Tây Tạng</x:v>
      </x:c>
      <x:c r="D237" s="11" t="str">
        <x:v>Method Engineer + Native Reviewer + QA</x:v>
      </x:c>
      <x:c r="E237" s="11" t="str"/>
      <x:c r="F237" s="11" t="str">
        <x:v>Q31; Q32; G06</x:v>
      </x:c>
      <x:c r="G237" s="11" t="str">
        <x:v>NOT_CHECKED</x:v>
      </x:c>
    </x:row>
    <x:row r="238" ht="15" hidden="0" customHeight="1">
      <x:c r="A238" s="11" t="str">
        <x:v>V3-MTH-026</x:v>
      </x:c>
      <x:c r="B238" s="11" t="str">
        <x:v>V3</x:v>
      </x:c>
      <x:c r="C238" s="11" t="str">
        <x:v>Đặc tả, đối chiếu và duyệt Thái, Myanmar, Weton/Pawukon</x:v>
      </x:c>
      <x:c r="D238" s="11" t="str">
        <x:v>Method Engineer + Native Reviewer + QA</x:v>
      </x:c>
      <x:c r="E238" s="11" t="str"/>
      <x:c r="F238" s="11" t="str">
        <x:v>Q31; Q32; G06</x:v>
      </x:c>
      <x:c r="G238" s="11" t="str">
        <x:v>NOT_CHECKED</x:v>
      </x:c>
    </x:row>
    <x:row r="239" ht="15" hidden="0" customHeight="1">
      <x:c r="A239" s="11" t="str">
        <x:v>V3-MTH-027</x:v>
      </x:c>
      <x:c r="B239" s="11" t="str">
        <x:v>V3</x:v>
      </x:c>
      <x:c r="C239" s="11" t="str">
        <x:v>Đặc tả, đối chiếu và duyệt Lịch Maya</x:v>
      </x:c>
      <x:c r="D239" s="11" t="str">
        <x:v>Method Engineer + Native Reviewer + QA</x:v>
      </x:c>
      <x:c r="E239" s="11" t="str"/>
      <x:c r="F239" s="11" t="str">
        <x:v>Q31; Q32; G06</x:v>
      </x:c>
      <x:c r="G239" s="11" t="str">
        <x:v>NOT_CHECKED</x:v>
      </x:c>
    </x:row>
    <x:row r="240" ht="15" hidden="0" customHeight="1">
      <x:c r="A240" s="11" t="str">
        <x:v>V3-MTH-028</x:v>
      </x:c>
      <x:c r="B240" s="11" t="str">
        <x:v>V3</x:v>
      </x:c>
      <x:c r="C240" s="11" t="str">
        <x:v>Đặc tả, đối chiếu và duyệt 23 chỉ số số–tên</x:v>
      </x:c>
      <x:c r="D240" s="11" t="str">
        <x:v>Method Engineer + Native Reviewer + QA</x:v>
      </x:c>
      <x:c r="E240" s="11" t="str"/>
      <x:c r="F240" s="11" t="str">
        <x:v>Q31; Q32; G06</x:v>
      </x:c>
      <x:c r="G240" s="11" t="str">
        <x:v>NOT_CHECKED</x:v>
      </x:c>
    </x:row>
    <x:row r="241" ht="15" hidden="0" customHeight="1">
      <x:c r="A241" s="11" t="str">
        <x:v>V3-MTH-029</x:v>
      </x:c>
      <x:c r="B241" s="11" t="str">
        <x:v>V3</x:v>
      </x:c>
      <x:c r="C241" s="11" t="str">
        <x:v>Đặc tả, đối chiếu và duyệt Psychomatrix 17 vị trí</x:v>
      </x:c>
      <x:c r="D241" s="11" t="str">
        <x:v>Method Engineer + Native Reviewer + QA</x:v>
      </x:c>
      <x:c r="E241" s="11" t="str"/>
      <x:c r="F241" s="11" t="str">
        <x:v>Q31; Q32; G06</x:v>
      </x:c>
      <x:c r="G241" s="11" t="str">
        <x:v>NOT_CHECKED</x:v>
      </x:c>
    </x:row>
    <x:row r="242" ht="15" hidden="0" customHeight="1">
      <x:c r="A242" s="11" t="str">
        <x:v>V3-MTH-030</x:v>
      </x:c>
      <x:c r="B242" s="11" t="str">
        <x:v>V3</x:v>
      </x:c>
      <x:c r="C242" s="11" t="str">
        <x:v>Đặc tả, đối chiếu và duyệt Chu kỳ, đỉnh cao và thử thách</x:v>
      </x:c>
      <x:c r="D242" s="11" t="str">
        <x:v>Method Engineer + Native Reviewer + QA</x:v>
      </x:c>
      <x:c r="E242" s="11" t="str"/>
      <x:c r="F242" s="11" t="str">
        <x:v>Q31; Q32; G06</x:v>
      </x:c>
      <x:c r="G242" s="11" t="str">
        <x:v>NOT_CHECKED</x:v>
      </x:c>
    </x:row>
    <x:row r="243" ht="15" hidden="0" customHeight="1">
      <x:c r="A243" s="11" t="str">
        <x:v>V3-MTH-031</x:v>
      </x:c>
      <x:c r="B243" s="11" t="str">
        <x:v>V3</x:v>
      </x:c>
      <x:c r="C243" s="11" t="str">
        <x:v>Đặc tả, đối chiếu và duyệt Gematria/Abjad/Isopsephy</x:v>
      </x:c>
      <x:c r="D243" s="11" t="str">
        <x:v>Method Engineer + Native Reviewer + QA</x:v>
      </x:c>
      <x:c r="E243" s="11" t="str"/>
      <x:c r="F243" s="11" t="str">
        <x:v>Q31; Q32; G06</x:v>
      </x:c>
      <x:c r="G243" s="11" t="str">
        <x:v>NOT_CHECKED</x:v>
      </x:c>
    </x:row>
    <x:row r="244" ht="15" hidden="0" customHeight="1">
      <x:c r="A244" s="11" t="str">
        <x:v>V3-MTH-032</x:v>
      </x:c>
      <x:c r="B244" s="11" t="str">
        <x:v>V3</x:v>
      </x:c>
      <x:c r="C244" s="11" t="str">
        <x:v>Đặc tả, đối chiếu và duyệt Bát Cực 64 cặp</x:v>
      </x:c>
      <x:c r="D244" s="11" t="str">
        <x:v>Method Engineer + Native Reviewer + QA</x:v>
      </x:c>
      <x:c r="E244" s="11" t="str"/>
      <x:c r="F244" s="11" t="str">
        <x:v>Q31; Q32; G06</x:v>
      </x:c>
      <x:c r="G244" s="11" t="str">
        <x:v>NOT_CHECKED</x:v>
      </x:c>
    </x:row>
    <x:row r="245" ht="15" hidden="0" customHeight="1">
      <x:c r="A245" s="11" t="str">
        <x:v>V3-MTH-033</x:v>
      </x:c>
      <x:c r="B245" s="11" t="str">
        <x:v>V3</x:v>
      </x:c>
      <x:c r="C245" s="11" t="str">
        <x:v>Đặc tả, đối chiếu và duyệt Số 0 và 5</x:v>
      </x:c>
      <x:c r="D245" s="11" t="str">
        <x:v>Method Engineer + Native Reviewer + QA</x:v>
      </x:c>
      <x:c r="E245" s="11" t="str"/>
      <x:c r="F245" s="11" t="str">
        <x:v>Q31; Q32; G06</x:v>
      </x:c>
      <x:c r="G245" s="11" t="str">
        <x:v>NOT_CHECKED</x:v>
      </x:c>
    </x:row>
    <x:row r="246" ht="15" hidden="0" customHeight="1">
      <x:c r="A246" s="11" t="str">
        <x:v>V3-MTH-034</x:v>
      </x:c>
      <x:c r="B246" s="11" t="str">
        <x:v>V3</x:v>
      </x:c>
      <x:c r="C246" s="11" t="str">
        <x:v>Đặc tả, đối chiếu và duyệt Tổ hợp và chế hóa</x:v>
      </x:c>
      <x:c r="D246" s="11" t="str">
        <x:v>Method Engineer + Native Reviewer + QA</x:v>
      </x:c>
      <x:c r="E246" s="11" t="str"/>
      <x:c r="F246" s="11" t="str">
        <x:v>Q31; Q32; G06</x:v>
      </x:c>
      <x:c r="G246" s="11" t="str">
        <x:v>NOT_CHECKED</x:v>
      </x:c>
    </x:row>
    <x:row r="247" ht="15" hidden="0" customHeight="1">
      <x:c r="A247" s="11" t="str">
        <x:v>V3-MTH-035</x:v>
      </x:c>
      <x:c r="B247" s="11" t="str">
        <x:v>V3</x:v>
      </x:c>
      <x:c r="C247" s="11" t="str">
        <x:v>Đặc tả, đối chiếu và duyệt Mã đuôi 80</x:v>
      </x:c>
      <x:c r="D247" s="11" t="str">
        <x:v>Method Engineer + Native Reviewer + QA</x:v>
      </x:c>
      <x:c r="E247" s="11" t="str"/>
      <x:c r="F247" s="11" t="str">
        <x:v>Q31; Q32; G06</x:v>
      </x:c>
      <x:c r="G247" s="11" t="str">
        <x:v>NOT_CHECKED</x:v>
      </x:c>
    </x:row>
    <x:row r="248" ht="15" hidden="0" customHeight="1">
      <x:c r="A248" s="11" t="str">
        <x:v>V3-MTH-036</x:v>
      </x:c>
      <x:c r="B248" s="11" t="str">
        <x:v>V3</x:v>
      </x:c>
      <x:c r="C248" s="11" t="str">
        <x:v>Đặc tả, đối chiếu và duyệt SIM/serial/biển/địa chỉ</x:v>
      </x:c>
      <x:c r="D248" s="11" t="str">
        <x:v>Method Engineer + Native Reviewer + QA</x:v>
      </x:c>
      <x:c r="E248" s="11" t="str"/>
      <x:c r="F248" s="11" t="str">
        <x:v>Q31; Q32; G06</x:v>
      </x:c>
      <x:c r="G248" s="11" t="str">
        <x:v>NOT_CHECKED</x:v>
      </x:c>
    </x:row>
    <x:row r="249" ht="15" hidden="0" customHeight="1">
      <x:c r="A249" s="11" t="str">
        <x:v>V3-MTH-037</x:v>
      </x:c>
      <x:c r="B249" s="11" t="str">
        <x:v>V3</x:v>
      </x:c>
      <x:c r="C249" s="11" t="str">
        <x:v>Đặc tả, đối chiếu và duyệt Tên và Unicode</x:v>
      </x:c>
      <x:c r="D249" s="11" t="str">
        <x:v>Method Engineer + Native Reviewer + QA</x:v>
      </x:c>
      <x:c r="E249" s="11" t="str"/>
      <x:c r="F249" s="11" t="str">
        <x:v>Q31; Q32; G06</x:v>
      </x:c>
      <x:c r="G249" s="11" t="str">
        <x:v>NOT_CHECKED</x:v>
      </x:c>
    </x:row>
    <x:row r="250" ht="15" hidden="0" customHeight="1">
      <x:c r="A250" s="11" t="str">
        <x:v>V3-MTH-038</x:v>
      </x:c>
      <x:c r="B250" s="11" t="str">
        <x:v>V3</x:v>
      </x:c>
      <x:c r="C250" s="11" t="str">
        <x:v>Đặc tả, đối chiếu và duyệt Ngữ nghĩa tên</x:v>
      </x:c>
      <x:c r="D250" s="11" t="str">
        <x:v>Method Engineer + Native Reviewer + QA</x:v>
      </x:c>
      <x:c r="E250" s="11" t="str"/>
      <x:c r="F250" s="11" t="str">
        <x:v>Q31; Q32; G06</x:v>
      </x:c>
      <x:c r="G250" s="11" t="str">
        <x:v>NOT_CHECKED</x:v>
      </x:c>
    </x:row>
    <x:row r="251" ht="15" hidden="0" customHeight="1">
      <x:c r="A251" s="11" t="str">
        <x:v>V3-MTH-039</x:v>
      </x:c>
      <x:c r="B251" s="11" t="str">
        <x:v>V3</x:v>
      </x:c>
      <x:c r="C251" s="11" t="str">
        <x:v>Đặc tả, đối chiếu và duyệt Tên thường dùng/doanh nghiệp</x:v>
      </x:c>
      <x:c r="D251" s="11" t="str">
        <x:v>Method Engineer + Native Reviewer + QA</x:v>
      </x:c>
      <x:c r="E251" s="11" t="str"/>
      <x:c r="F251" s="11" t="str">
        <x:v>Q31; Q32; G06</x:v>
      </x:c>
      <x:c r="G251" s="11" t="str">
        <x:v>NOT_CHECKED</x:v>
      </x:c>
    </x:row>
    <x:row r="252" ht="15" hidden="0" customHeight="1">
      <x:c r="A252" s="11" t="str">
        <x:v>V3-MTH-040</x:v>
      </x:c>
      <x:c r="B252" s="11" t="str">
        <x:v>V3</x:v>
      </x:c>
      <x:c r="C252" s="11" t="str">
        <x:v>Đặc tả, đối chiếu và duyệt Bàn tay</x:v>
      </x:c>
      <x:c r="D252" s="11" t="str">
        <x:v>Method Engineer + Native Reviewer + QA</x:v>
      </x:c>
      <x:c r="E252" s="11" t="str"/>
      <x:c r="F252" s="11" t="str">
        <x:v>Q31; Q32; G06</x:v>
      </x:c>
      <x:c r="G252" s="11" t="str">
        <x:v>NOT_CHECKED</x:v>
      </x:c>
    </x:row>
    <x:row r="253" ht="15" hidden="0" customHeight="1">
      <x:c r="A253" s="11" t="str">
        <x:v>V3-MTH-041</x:v>
      </x:c>
      <x:c r="B253" s="11" t="str">
        <x:v>V3</x:v>
      </x:c>
      <x:c r="C253" s="11" t="str">
        <x:v>Đặc tả, đối chiếu và duyệt Khuôn mặt</x:v>
      </x:c>
      <x:c r="D253" s="11" t="str">
        <x:v>Method Engineer + Native Reviewer + QA</x:v>
      </x:c>
      <x:c r="E253" s="11" t="str"/>
      <x:c r="F253" s="11" t="str">
        <x:v>Q31; Q32; G06</x:v>
      </x:c>
      <x:c r="G253" s="11" t="str">
        <x:v>NOT_CHECKED</x:v>
      </x:c>
    </x:row>
    <x:row r="254" ht="15" hidden="0" customHeight="1">
      <x:c r="A254" s="11" t="str">
        <x:v>V3-MTH-042</x:v>
      </x:c>
      <x:c r="B254" s="11" t="str">
        <x:v>V3</x:v>
      </x:c>
      <x:c r="C254" s="11" t="str">
        <x:v>Đặc tả, đối chiếu và duyệt Chân, giọng và dáng</x:v>
      </x:c>
      <x:c r="D254" s="11" t="str">
        <x:v>Method Engineer + Native Reviewer + QA</x:v>
      </x:c>
      <x:c r="E254" s="11" t="str"/>
      <x:c r="F254" s="11" t="str">
        <x:v>Q31; Q32; G06</x:v>
      </x:c>
      <x:c r="G254" s="11" t="str">
        <x:v>NOT_CHECKED</x:v>
      </x:c>
    </x:row>
    <x:row r="255" ht="15" hidden="0" customHeight="1">
      <x:c r="A255" s="11" t="str">
        <x:v>V3-MTH-043</x:v>
      </x:c>
      <x:c r="B255" s="11" t="str">
        <x:v>V3</x:v>
      </x:c>
      <x:c r="C255" s="11" t="str">
        <x:v>Đặc tả, đối chiếu và duyệt Tarot/Lenormand/Oracle</x:v>
      </x:c>
      <x:c r="D255" s="11" t="str">
        <x:v>Method Engineer + Native Reviewer + QA</x:v>
      </x:c>
      <x:c r="E255" s="11" t="str"/>
      <x:c r="F255" s="11" t="str">
        <x:v>Q31; Q32; G06</x:v>
      </x:c>
      <x:c r="G255" s="11" t="str">
        <x:v>NOT_CHECKED</x:v>
      </x:c>
    </x:row>
    <x:row r="256" ht="15" hidden="0" customHeight="1">
      <x:c r="A256" s="11" t="str">
        <x:v>V3-MTH-044</x:v>
      </x:c>
      <x:c r="B256" s="11" t="str">
        <x:v>V3</x:v>
      </x:c>
      <x:c r="C256" s="11" t="str">
        <x:v>Đặc tả, đối chiếu và duyệt Rune/geomancy</x:v>
      </x:c>
      <x:c r="D256" s="11" t="str">
        <x:v>Method Engineer + Native Reviewer + QA</x:v>
      </x:c>
      <x:c r="E256" s="11" t="str"/>
      <x:c r="F256" s="11" t="str">
        <x:v>Q31; Q32; G06</x:v>
      </x:c>
      <x:c r="G256" s="11" t="str">
        <x:v>NOT_CHECKED</x:v>
      </x:c>
    </x:row>
    <x:row r="257" ht="15" hidden="0" customHeight="1">
      <x:c r="A257" s="11" t="str">
        <x:v>V3-MTH-045</x:v>
      </x:c>
      <x:c r="B257" s="11" t="str">
        <x:v>V3</x:v>
      </x:c>
      <x:c r="C257" s="11" t="str">
        <x:v>Đặc tả, đối chiếu và duyệt Ifá và giấc mơ</x:v>
      </x:c>
      <x:c r="D257" s="11" t="str">
        <x:v>Method Engineer + Native Reviewer + QA</x:v>
      </x:c>
      <x:c r="E257" s="11" t="str"/>
      <x:c r="F257" s="11" t="str">
        <x:v>Q31; Q32; G06</x:v>
      </x:c>
      <x:c r="G257" s="11" t="str">
        <x:v>NOT_CHECKED</x:v>
      </x:c>
    </x:row>
    <x:row r="258" ht="15" hidden="0" customHeight="1">
      <x:c r="A258" s="11" t="str">
        <x:v>V3-MTH-046</x:v>
      </x:c>
      <x:c r="B258" s="11" t="str">
        <x:v>V3</x:v>
      </x:c>
      <x:c r="C258" s="11" t="str">
        <x:v>Đặc tả, đối chiếu và duyệt Human Design</x:v>
      </x:c>
      <x:c r="D258" s="11" t="str">
        <x:v>Method Engineer + Native Reviewer + QA</x:v>
      </x:c>
      <x:c r="E258" s="11" t="str"/>
      <x:c r="F258" s="11" t="str">
        <x:v>Q31; Q32; G06</x:v>
      </x:c>
      <x:c r="G258" s="11" t="str">
        <x:v>NOT_CHECKED</x:v>
      </x:c>
    </x:row>
    <x:row r="259" ht="15" hidden="0" customHeight="1">
      <x:c r="A259" s="11" t="str">
        <x:v>V3-MTH-047</x:v>
      </x:c>
      <x:c r="B259" s="11" t="str">
        <x:v>V3</x:v>
      </x:c>
      <x:c r="C259" s="11" t="str">
        <x:v>Đặc tả, đối chiếu và duyệt Gene Keys</x:v>
      </x:c>
      <x:c r="D259" s="11" t="str">
        <x:v>Method Engineer + Native Reviewer + QA</x:v>
      </x:c>
      <x:c r="E259" s="11" t="str"/>
      <x:c r="F259" s="11" t="str">
        <x:v>Q31; Q32; G06</x:v>
      </x:c>
      <x:c r="G259" s="11" t="str">
        <x:v>NOT_CHECKED</x:v>
      </x:c>
    </x:row>
    <x:row r="260" ht="15" hidden="0" customHeight="1">
      <x:c r="A260" s="11" t="str">
        <x:v>V3-MTH-048</x:v>
      </x:c>
      <x:c r="B260" s="11" t="str">
        <x:v>V3</x:v>
      </x:c>
      <x:c r="C260" s="11" t="str">
        <x:v>Đặc tả, đối chiếu và duyệt Ngữ pháp HNH</x:v>
      </x:c>
      <x:c r="D260" s="11" t="str">
        <x:v>Method Engineer + Native Reviewer + QA</x:v>
      </x:c>
      <x:c r="E260" s="11" t="str"/>
      <x:c r="F260" s="11" t="str">
        <x:v>Q31; Q32; G06</x:v>
      </x:c>
      <x:c r="G260" s="11" t="str">
        <x:v>NOT_CHECKED</x:v>
      </x:c>
    </x:row>
    <x:row r="261" ht="15" hidden="0" customHeight="1">
      <x:c r="A261" s="11" t="str">
        <x:v>V3-MTH-049</x:v>
      </x:c>
      <x:c r="B261" s="11" t="str">
        <x:v>V3</x:v>
      </x:c>
      <x:c r="C261" s="11" t="str">
        <x:v>Đặc tả, đối chiếu và duyệt Tu tập và thực hành nội tâm</x:v>
      </x:c>
      <x:c r="D261" s="11" t="str">
        <x:v>Method Engineer + Native Reviewer + QA</x:v>
      </x:c>
      <x:c r="E261" s="11" t="str"/>
      <x:c r="F261" s="11" t="str">
        <x:v>Q31; Q32; G06</x:v>
      </x:c>
      <x:c r="G261" s="11" t="str">
        <x:v>NOT_CHECKED</x:v>
      </x:c>
    </x:row>
    <x:row r="262" ht="15" hidden="0" customHeight="1">
      <x:c r="A262" s="11" t="str">
        <x:v>V3-MTH-050</x:v>
      </x:c>
      <x:c r="B262" s="11" t="str">
        <x:v>V3</x:v>
      </x:c>
      <x:c r="C262" s="11" t="str">
        <x:v>Đặc tả, đối chiếu và duyệt Nhân cách và bảng hỏi</x:v>
      </x:c>
      <x:c r="D262" s="11" t="str">
        <x:v>Method Engineer + Native Reviewer + QA</x:v>
      </x:c>
      <x:c r="E262" s="11" t="str"/>
      <x:c r="F262" s="11" t="str">
        <x:v>Q31; Q32; G06</x:v>
      </x:c>
      <x:c r="G262" s="11" t="str">
        <x:v>NOT_CHECKED</x:v>
      </x:c>
    </x:row>
    <x:row r="263" ht="15" hidden="0" customHeight="1">
      <x:c r="A263" s="11" t="str">
        <x:v>V3-MTH-051</x:v>
      </x:c>
      <x:c r="B263" s="11" t="str">
        <x:v>V3</x:v>
      </x:c>
      <x:c r="C263" s="11" t="str">
        <x:v>Đặc tả, đối chiếu và duyệt Giá trị/hứng thú</x:v>
      </x:c>
      <x:c r="D263" s="11" t="str">
        <x:v>Method Engineer + Native Reviewer + QA</x:v>
      </x:c>
      <x:c r="E263" s="11" t="str"/>
      <x:c r="F263" s="11" t="str">
        <x:v>Q31; Q32; G06</x:v>
      </x:c>
      <x:c r="G263" s="11" t="str">
        <x:v>NOT_CHECKED</x:v>
      </x:c>
    </x:row>
    <x:row r="264" ht="15" hidden="0" customHeight="1">
      <x:c r="A264" s="11" t="str">
        <x:v>V3-MTH-052</x:v>
      </x:c>
      <x:c r="B264" s="11" t="str">
        <x:v>V3</x:v>
      </x:c>
      <x:c r="C264" s="11" t="str">
        <x:v>Đặc tả, đối chiếu và duyệt Đánh giá đo lường</x:v>
      </x:c>
      <x:c r="D264" s="11" t="str">
        <x:v>Method Engineer + Native Reviewer + QA</x:v>
      </x:c>
      <x:c r="E264" s="11" t="str"/>
      <x:c r="F264" s="11" t="str">
        <x:v>Q31; Q32; G06</x:v>
      </x:c>
      <x:c r="G264" s="11" t="str">
        <x:v>NOT_CHECKED</x:v>
      </x:c>
    </x:row>
    <x:row r="265" ht="15" hidden="0" customHeight="1">
      <x:c r="A265" s="11" t="str">
        <x:v>V3-MTH-053</x:v>
      </x:c>
      <x:c r="B265" s="11" t="str">
        <x:v>V3</x:v>
      </x:c>
      <x:c r="C265" s="11" t="str">
        <x:v>Đặc tả, đối chiếu và duyệt Nghề, vai trò và kỹ năng</x:v>
      </x:c>
      <x:c r="D265" s="11" t="str">
        <x:v>Method Engineer + Native Reviewer + QA</x:v>
      </x:c>
      <x:c r="E265" s="11" t="str"/>
      <x:c r="F265" s="11" t="str">
        <x:v>Q31; Q32; G06</x:v>
      </x:c>
      <x:c r="G265" s="11" t="str">
        <x:v>NOT_CHECKED</x:v>
      </x:c>
    </x:row>
    <x:row r="266" ht="15" hidden="0" customHeight="1">
      <x:c r="A266" s="11" t="str">
        <x:v>V3-MTH-054</x:v>
      </x:c>
      <x:c r="B266" s="11" t="str">
        <x:v>V3</x:v>
      </x:c>
      <x:c r="C266" s="11" t="str">
        <x:v>Đặc tả, đối chiếu và duyệt Nguồn lực và dòng tiền</x:v>
      </x:c>
      <x:c r="D266" s="11" t="str">
        <x:v>Method Engineer + Native Reviewer + QA</x:v>
      </x:c>
      <x:c r="E266" s="11" t="str"/>
      <x:c r="F266" s="11" t="str">
        <x:v>Q31; Q32; G06</x:v>
      </x:c>
      <x:c r="G266" s="11" t="str">
        <x:v>NOT_CHECKED</x:v>
      </x:c>
    </x:row>
    <x:row r="267" ht="15" hidden="0" customHeight="1">
      <x:c r="A267" s="11" t="str">
        <x:v>V3-MTH-055</x:v>
      </x:c>
      <x:c r="B267" s="11" t="str">
        <x:v>V3</x:v>
      </x:c>
      <x:c r="C267" s="11" t="str">
        <x:v>Đặc tả, đối chiếu và duyệt Quan hệ nhiều chủ thể</x:v>
      </x:c>
      <x:c r="D267" s="11" t="str">
        <x:v>Method Engineer + Native Reviewer + QA</x:v>
      </x:c>
      <x:c r="E267" s="11" t="str"/>
      <x:c r="F267" s="11" t="str">
        <x:v>Q31; Q32; G06</x:v>
      </x:c>
      <x:c r="G267" s="11" t="str">
        <x:v>NOT_CHECKED</x:v>
      </x:c>
    </x:row>
    <x:row r="268" ht="15" hidden="0" customHeight="1">
      <x:c r="A268" s="11" t="str">
        <x:v>V3-MTH-056</x:v>
      </x:c>
      <x:c r="B268" s="11" t="str">
        <x:v>V3</x:v>
      </x:c>
      <x:c r="C268" s="11" t="str">
        <x:v>Đặc tả, đối chiếu và duyệt 12 trường đồng nhịp</x:v>
      </x:c>
      <x:c r="D268" s="11" t="str">
        <x:v>Method Engineer + Native Reviewer + QA</x:v>
      </x:c>
      <x:c r="E268" s="11" t="str"/>
      <x:c r="F268" s="11" t="str">
        <x:v>Q31; Q32; G06</x:v>
      </x:c>
      <x:c r="G268" s="11" t="str">
        <x:v>NOT_CHECKED</x:v>
      </x:c>
    </x:row>
    <x:row r="269" ht="15" hidden="0" customHeight="1">
      <x:c r="A269" s="11" t="str">
        <x:v>V3-MTH-057</x:v>
      </x:c>
      <x:c r="B269" s="11" t="str">
        <x:v>V3</x:v>
      </x:c>
      <x:c r="C269" s="11" t="str">
        <x:v>Đặc tả, đối chiếu và duyệt Ăn gần nguồn, lịch sinh hoạt</x:v>
      </x:c>
      <x:c r="D269" s="11" t="str">
        <x:v>Method Engineer + Native Reviewer + QA</x:v>
      </x:c>
      <x:c r="E269" s="11" t="str"/>
      <x:c r="F269" s="11" t="str">
        <x:v>Q31; Q32; G06</x:v>
      </x:c>
      <x:c r="G269" s="11" t="str">
        <x:v>NOT_CHECKED</x:v>
      </x:c>
    </x:row>
    <x:row r="270" ht="15" hidden="0" customHeight="1">
      <x:c r="A270" s="11" t="str">
        <x:v>V3-MTH-058</x:v>
      </x:c>
      <x:c r="B270" s="11" t="str">
        <x:v>V3</x:v>
      </x:c>
      <x:c r="C270" s="11" t="str">
        <x:v>Đặc tả, đối chiếu và duyệt 30/90 ngày và chuyển giao</x:v>
      </x:c>
      <x:c r="D270" s="11" t="str">
        <x:v>Method Engineer + Native Reviewer + QA</x:v>
      </x:c>
      <x:c r="E270" s="11" t="str"/>
      <x:c r="F270" s="11" t="str">
        <x:v>Q31; Q32; G06</x:v>
      </x:c>
      <x:c r="G270" s="11" t="str">
        <x:v>NOT_CHECKED</x:v>
      </x:c>
    </x:row>
    <x:row r="271" ht="15" hidden="0" customHeight="1">
      <x:c r="A271" s="11" t="str">
        <x:v>V3-MTH-059</x:v>
      </x:c>
      <x:c r="B271" s="11" t="str">
        <x:v>V3</x:v>
      </x:c>
      <x:c r="C271" s="11" t="str">
        <x:v>Đặc tả, đối chiếu và duyệt Đồ thị nguồn và nhận định</x:v>
      </x:c>
      <x:c r="D271" s="11" t="str">
        <x:v>Method Engineer + Native Reviewer + QA</x:v>
      </x:c>
      <x:c r="E271" s="11" t="str"/>
      <x:c r="F271" s="11" t="str">
        <x:v>Q31; Q32; G06</x:v>
      </x:c>
      <x:c r="G271" s="11" t="str">
        <x:v>NOT_CHECKED</x:v>
      </x:c>
    </x:row>
    <x:row r="272" ht="15" hidden="0" customHeight="1">
      <x:c r="A272" s="11" t="str">
        <x:v>V3-MTH-060</x:v>
      </x:c>
      <x:c r="B272" s="11" t="str">
        <x:v>V3</x:v>
      </x:c>
      <x:c r="C272" s="11" t="str">
        <x:v>Đặc tả, đối chiếu và duyệt Quyền và tự động hóa</x:v>
      </x:c>
      <x:c r="D272" s="11" t="str">
        <x:v>Method Engineer + Native Reviewer + QA</x:v>
      </x:c>
      <x:c r="E272" s="11" t="str"/>
      <x:c r="F272" s="11" t="str">
        <x:v>Q31; Q32; G06</x:v>
      </x:c>
      <x:c r="G272" s="11" t="str">
        <x:v>NOT_CHECKED</x:v>
      </x:c>
    </x:row>
    <x:row r="273" ht="15" hidden="0" customHeight="1">
      <x:c r="A273" s="11" t="str">
        <x:v>V3-MTH-061</x:v>
      </x:c>
      <x:c r="B273" s="11" t="str">
        <x:v>V3</x:v>
      </x:c>
      <x:c r="C273" s="11" t="str">
        <x:v>Đặc tả, đối chiếu và duyệt Báo cáo và bản sách</x:v>
      </x:c>
      <x:c r="D273" s="11" t="str">
        <x:v>Method Engineer + Native Reviewer + QA</x:v>
      </x:c>
      <x:c r="E273" s="11" t="str"/>
      <x:c r="F273" s="11" t="str">
        <x:v>Q31; Q32; G06</x:v>
      </x:c>
      <x:c r="G273" s="11" t="str">
        <x:v>NOT_CHECKED</x:v>
      </x:c>
    </x:row>
    <x:row r="274" ht="15" hidden="0" customHeight="1">
      <x:c r="A274" s="11" t="str">
        <x:v>V3-MTH-062</x:v>
      </x:c>
      <x:c r="B274" s="11" t="str">
        <x:v>V3</x:v>
      </x:c>
      <x:c r="C274" s="11" t="str">
        <x:v>Đặc tả, đối chiếu và duyệt Kiểm thử và hiệu chỉnh</x:v>
      </x:c>
      <x:c r="D274" s="11" t="str">
        <x:v>Method Engineer + Native Reviewer + QA</x:v>
      </x:c>
      <x:c r="E274" s="11" t="str"/>
      <x:c r="F274" s="11" t="str">
        <x:v>Q31; Q32; G06</x:v>
      </x:c>
      <x:c r="G274" s="11" t="str">
        <x:v>NOT_CHECKED</x:v>
      </x:c>
    </x:row>
    <x:row r="275" ht="15" hidden="0" customHeight="1">
      <x:c r="A275" s="11" t="str">
        <x:v>V3-INT-01</x:v>
      </x:c>
      <x:c r="B275" s="11" t="str">
        <x:v>V3</x:v>
      </x:c>
      <x:c r="C275" s="11" t="str">
        <x:v>Một luồng nhập dữ liệu; chọn sản phẩm và chỉ thu trường cần thiết</x:v>
      </x:c>
      <x:c r="D275" s="11" t="str">
        <x:v>UX Lead + QA</x:v>
      </x:c>
      <x:c r="E275" s="11" t="str"/>
      <x:c r="F275" s="11" t="str">
        <x:v>Q31; G01</x:v>
      </x:c>
      <x:c r="G275" s="11" t="str">
        <x:v>NOT_CHECKED</x:v>
      </x:c>
    </x:row>
    <x:row r="276" ht="15" hidden="0" customHeight="1">
      <x:c r="A276" s="11" t="str">
        <x:v>V3-INT-02</x:v>
      </x:c>
      <x:c r="B276" s="11" t="str">
        <x:v>V3</x:v>
      </x:c>
      <x:c r="C276" s="11" t="str">
        <x:v>Dòng đời có nhiều giả thuyết và phiên bản</x:v>
      </x:c>
      <x:c r="D276" s="11" t="str">
        <x:v>DATA Lead + QA</x:v>
      </x:c>
      <x:c r="E276" s="11" t="str"/>
      <x:c r="F276" s="11" t="str">
        <x:v>Q31; G01</x:v>
      </x:c>
      <x:c r="G276" s="11" t="str">
        <x:v>NOT_CHECKED</x:v>
      </x:c>
    </x:row>
    <x:row r="277" ht="15" hidden="0" customHeight="1">
      <x:c r="A277" s="11" t="str">
        <x:v>V3-INT-03</x:v>
      </x:c>
      <x:c r="B277" s="11" t="str">
        <x:v>V3</x:v>
      </x:c>
      <x:c r="C277" s="11" t="str">
        <x:v>Bộ biên tập sử dụng nhận định được phép truy cập</x:v>
      </x:c>
      <x:c r="D277" s="11" t="str">
        <x:v>AI Lead + QA</x:v>
      </x:c>
      <x:c r="E277" s="11" t="str"/>
      <x:c r="F277" s="11" t="str">
        <x:v>Q31; G01</x:v>
      </x:c>
      <x:c r="G277" s="11" t="str">
        <x:v>NOT_CHECKED</x:v>
      </x:c>
    </x:row>
    <x:row r="278" ht="15" hidden="0" customHeight="1">
      <x:c r="A278" s="11" t="str">
        <x:v>V3-INT-04</x:v>
      </x:c>
      <x:c r="B278" s="11" t="str">
        <x:v>V3</x:v>
      </x:c>
      <x:c r="C278" s="11" t="str">
        <x:v>Tích hợp API V3 với nhà cung cấp danh tính thực tế</x:v>
      </x:c>
      <x:c r="D278" s="11" t="str">
        <x:v>API Lead + QA</x:v>
      </x:c>
      <x:c r="E278" s="11" t="str"/>
      <x:c r="F278" s="11" t="str">
        <x:v>Q31; G01</x:v>
      </x:c>
      <x:c r="G278" s="11" t="str">
        <x:v>NOT_CHECKED</x:v>
      </x:c>
    </x:row>
    <x:row r="279" ht="15" hidden="0" customHeight="1">
      <x:c r="A279" s="11" t="str">
        <x:v>V3-INT-05</x:v>
      </x:c>
      <x:c r="B279" s="11" t="str">
        <x:v>V3</x:v>
      </x:c>
      <x:c r="C279" s="11" t="str">
        <x:v>Chín báo cáo dùng chung cấu trúc nội dung</x:v>
      </x:c>
      <x:c r="D279" s="11" t="str">
        <x:v>REPORT Lead + QA</x:v>
      </x:c>
      <x:c r="E279" s="11" t="str"/>
      <x:c r="F279" s="11" t="str">
        <x:v>Q31; G01</x:v>
      </x:c>
      <x:c r="G279" s="11" t="str">
        <x:v>NOT_CHECKED</x:v>
      </x:c>
    </x:row>
    <x:row r="280" ht="15" hidden="0" customHeight="1">
      <x:c r="A280" s="11" t="str">
        <x:v>V3-INT-06</x:v>
      </x:c>
      <x:c r="B280" s="11" t="str">
        <x:v>V3</x:v>
      </x:c>
      <x:c r="C280" s="11" t="str">
        <x:v>PWA đồng bộ và quyền ngoại tuyến</x:v>
      </x:c>
      <x:c r="D280" s="11" t="str">
        <x:v>MOBILE Lead + QA</x:v>
      </x:c>
      <x:c r="E280" s="11" t="str"/>
      <x:c r="F280" s="11" t="str">
        <x:v>Q31; G01</x:v>
      </x:c>
      <x:c r="G280" s="11" t="str">
        <x:v>NOT_CHECKED</x:v>
      </x:c>
    </x:row>
    <x:row r="281" ht="15" hidden="0" customHeight="1">
      <x:c r="A281" s="11" t="str">
        <x:v>V3-INT-07</x:v>
      </x:c>
      <x:c r="B281" s="11" t="str">
        <x:v>V3</x:v>
      </x:c>
      <x:c r="C281" s="11" t="str">
        <x:v>Mỗi lãnh thổ có điều kiện phát hành riêng</x:v>
      </x:c>
      <x:c r="D281" s="11" t="str">
        <x:v>LIC Lead + QA</x:v>
      </x:c>
      <x:c r="E281" s="11" t="str"/>
      <x:c r="F281" s="11" t="str">
        <x:v>Q31; G01</x:v>
      </x:c>
      <x:c r="G281" s="11" t="str">
        <x:v>NOT_CHECKED</x:v>
      </x:c>
    </x:row>
    <x:row r="282" ht="15" hidden="0" customHeight="1">
      <x:c r="A282" s="11" t="str">
        <x:v>V3-INT-08</x:v>
      </x:c>
      <x:c r="B282" s="11" t="str">
        <x:v>V3</x:v>
      </x:c>
      <x:c r="C282" s="11" t="str">
        <x:v>Chín buổi, mỗi buổi 120 phút; đánh giá thực hành</x:v>
      </x:c>
      <x:c r="D282" s="11" t="str">
        <x:v>EDU Lead + QA</x:v>
      </x:c>
      <x:c r="E282" s="11" t="str"/>
      <x:c r="F282" s="11" t="str">
        <x:v>Q31; G01</x:v>
      </x:c>
      <x:c r="G282" s="11" t="str">
        <x:v>NOT_CHECKED</x:v>
      </x:c>
    </x:row>
    <x:row r="283" ht="15" hidden="0" customHeight="1">
      <x:c r="A283" s="11" t="str">
        <x:v>V3-INT-09</x:v>
      </x:c>
      <x:c r="B283" s="11" t="str">
        <x:v>V3</x:v>
      </x:c>
      <x:c r="C283" s="11" t="str">
        <x:v>Công cụ nhập gói không ghi đè</x:v>
      </x:c>
      <x:c r="D283" s="11" t="str">
        <x:v>OPS Lead + QA</x:v>
      </x:c>
      <x:c r="E283" s="11" t="str"/>
      <x:c r="F283" s="11" t="str">
        <x:v>Q31; G01</x:v>
      </x:c>
      <x:c r="G283" s="11" t="str">
        <x:v>NOT_CHECKED</x:v>
      </x:c>
    </x:row>
    <x:row r="284" ht="15" hidden="0" customHeight="1">
      <x:c r="A284" s="11" t="str">
        <x:v>V3-INT-10</x:v>
      </x:c>
      <x:c r="B284" s="11" t="str">
        <x:v>V3</x:v>
      </x:c>
      <x:c r="C284" s="11" t="str">
        <x:v>Đối chiếu bản nền, kế hoạch và triển khai thực tế</x:v>
      </x:c>
      <x:c r="D284" s="11" t="str">
        <x:v>QUALITY Lead + QA</x:v>
      </x:c>
      <x:c r="E284" s="11" t="str"/>
      <x:c r="F284" s="11" t="str">
        <x:v>Q31; G01</x:v>
      </x:c>
      <x:c r="G284" s="11" t="str">
        <x:v>NOT_CHECKED</x:v>
      </x:c>
    </x:row>
    <x:row r="285" ht="15" hidden="0" customHeight="1">
      <x:c r="A285" s="11" t="str">
        <x:v>UPG-PRD-001</x:v>
      </x:c>
      <x:c r="B285" s="11" t="str">
        <x:v>LOCAL_R2</x:v>
      </x:c>
      <x:c r="C285" s="11" t="str">
        <x:v>Chốt product execution charter và metric success/kill</x:v>
      </x:c>
      <x:c r="D285" s="11" t="str">
        <x:v>Product Lead</x:v>
      </x:c>
      <x:c r="E285" s="11" t="str">
        <x:v>GOV-01</x:v>
      </x:c>
      <x:c r="F285" s="11" t="str">
        <x:v>Q1; Q8; Q20; G04; G06; G12</x:v>
      </x:c>
      <x:c r="G285" s="11" t="str">
        <x:v>NOT_CHECKED</x:v>
      </x:c>
    </x:row>
    <x:row r="286" ht="15" hidden="0" customHeight="1">
      <x:c r="A286" s="11" t="str">
        <x:v>UPG-PRD-002</x:v>
      </x:c>
      <x:c r="B286" s="11" t="str">
        <x:v>LOCAL_R2</x:v>
      </x:c>
      <x:c r="C286" s="11" t="str">
        <x:v>Đóng contract stage và evidence cho đủ 23 sản phẩm</x:v>
      </x:c>
      <x:c r="D286" s="11" t="str">
        <x:v>Product Lead</x:v>
      </x:c>
      <x:c r="E286" s="11" t="str">
        <x:v>UPG-PRD-001</x:v>
      </x:c>
      <x:c r="F286" s="11" t="str">
        <x:v>Q1; Q2; Q8; Q20; G04; G06; G12</x:v>
      </x:c>
      <x:c r="G286" s="11" t="str">
        <x:v>NOT_CHECKED</x:v>
      </x:c>
    </x:row>
    <x:row r="287" ht="15" hidden="0" customHeight="1">
      <x:c r="A287" s="11" t="str">
        <x:v>UPG-UX-001</x:v>
      </x:c>
      <x:c r="B287" s="11" t="str">
        <x:v>LOCAL_R2</x:v>
      </x:c>
      <x:c r="C287" s="11" t="str">
        <x:v>Triển khai contract responsive/PWA và trạng thái đủ 45 màn hình</x:v>
      </x:c>
      <x:c r="D287" s="11" t="str">
        <x:v>Frontend/UX Lead</x:v>
      </x:c>
      <x:c r="E287" s="11" t="str">
        <x:v>WEB-09; UPG-BE-006</x:v>
      </x:c>
      <x:c r="F287" s="11" t="str">
        <x:v>Q9; Q15; Q20; G03; G08; G12</x:v>
      </x:c>
      <x:c r="G287" s="11" t="str">
        <x:v>NOT_CHECKED</x:v>
      </x:c>
    </x:row>
    <x:row r="288" ht="15" hidden="0" customHeight="1">
      <x:c r="A288" s="11" t="str">
        <x:v>UPG-UX-002</x:v>
      </x:c>
      <x:c r="B288" s="11" t="str">
        <x:v>LOCAL_R2</x:v>
      </x:c>
      <x:c r="C288" s="11" t="str">
        <x:v>Chạy demo usability tổng hợp bằng dữ liệu synthetic</x:v>
      </x:c>
      <x:c r="D288" s="11" t="str">
        <x:v>UX Research + QA</x:v>
      </x:c>
      <x:c r="E288" s="11" t="str">
        <x:v>UPG-UX-001; UPG-AI-001</x:v>
      </x:c>
      <x:c r="F288" s="11" t="str">
        <x:v>Q1; Q9; Q20; G03; G08; G10</x:v>
      </x:c>
      <x:c r="G288" s="11" t="str">
        <x:v>NOT_CHECKED</x:v>
      </x:c>
    </x:row>
    <x:row r="289" ht="15" hidden="0" customHeight="1">
      <x:c r="A289" s="11" t="str">
        <x:v>UPG-UX-003</x:v>
      </x:c>
      <x:c r="B289" s="11" t="str">
        <x:v>LOCAL_R2</x:v>
      </x:c>
      <x:c r="C289" s="11" t="str">
        <x:v>Xác minh WCAG 2.2 AA cho critical flows và PWA lifecycle</x:v>
      </x:c>
      <x:c r="D289" s="11" t="str">
        <x:v>Accessibility QA</x:v>
      </x:c>
      <x:c r="E289" s="11" t="str">
        <x:v>UPG-UX-001; WEB-10</x:v>
      </x:c>
      <x:c r="F289" s="11" t="str">
        <x:v>Q9; Q20; G03; G08; G10</x:v>
      </x:c>
      <x:c r="G289" s="11" t="str">
        <x:v>NOT_CHECKED</x:v>
      </x:c>
    </x:row>
    <x:row r="290" ht="15" hidden="0" customHeight="1">
      <x:c r="A290" s="11" t="str">
        <x:v>UPG-AI-001</x:v>
      </x:c>
      <x:c r="B290" s="11" t="str">
        <x:v>LOCAL_R2</x:v>
      </x:c>
      <x:c r="C290" s="11" t="str">
        <x:v>Đóng 9 hợp đồng AI/report khác biệt theo cấp</x:v>
      </x:c>
      <x:c r="D290" s="11" t="str">
        <x:v>AI + Editorial Lead</x:v>
      </x:c>
      <x:c r="E290" s="11" t="str">
        <x:v>AI-06; REPORT-01; METHOD-10</x:v>
      </x:c>
      <x:c r="F290" s="11" t="str">
        <x:v>Q2; Q3; Q5; Q7; Q12; Q20; G06; G08</x:v>
      </x:c>
      <x:c r="G290" s="11" t="str">
        <x:v>NOT_CHECKED</x:v>
      </x:c>
    </x:row>
    <x:row r="291" ht="15" hidden="0" customHeight="1">
      <x:c r="A291" s="11" t="str">
        <x:v>UPG-AI-002</x:v>
      </x:c>
      <x:c r="B291" s="11" t="str">
        <x:v>LOCAL_R2</x:v>
      </x:c>
      <x:c r="C291" s="11" t="str">
        <x:v>Xây evaluation, injection, lineage, cost và failure suite cho 9 cấp</x:v>
      </x:c>
      <x:c r="D291" s="11" t="str">
        <x:v>AI QA + Security</x:v>
      </x:c>
      <x:c r="E291" s="11" t="str">
        <x:v>UPG-AI-001; AI-07; AI-08</x:v>
      </x:c>
      <x:c r="F291" s="11" t="str">
        <x:v>Q9; Q15; Q16; Q20; G06; G08; G10</x:v>
      </x:c>
      <x:c r="G291" s="11" t="str">
        <x:v>NOT_CHECKED</x:v>
      </x:c>
    </x:row>
    <x:row r="292" ht="24" hidden="0" customHeight="1">
      <x:c r="A292" s="11" t="str">
        <x:v>UPG-PM-001</x:v>
      </x:c>
      <x:c r="B292" s="11" t="str">
        <x:v>LOCAL_R2</x:v>
      </x:c>
      <x:c r="C292" s="11" t="str">
        <x:v>Duy trì requirement-to-screen-API-task-test-evidence trace</x:v>
      </x:c>
      <x:c r="D292" s="11" t="str">
        <x:v>Program Lead + QA</x:v>
      </x:c>
      <x:c r="E292" s="11" t="str">
        <x:v>UPG-PRD-002; UPG-UX-001; UPG-AI-001; UPG-BE-006</x:v>
      </x:c>
      <x:c r="F292" s="11" t="str">
        <x:v>Q1; Q2; Q20; G01; G04; G06; G12</x:v>
      </x:c>
      <x:c r="G292" s="11" t="str">
        <x:v>NOT_CHECKED</x:v>
      </x:c>
    </x:row>
    <x:row r="293" ht="15" hidden="0" customHeight="1">
      <x:c r="A293" s="11" t="str">
        <x:v>UPG-PM-002</x:v>
      </x:c>
      <x:c r="B293" s="11" t="str">
        <x:v>LOCAL_R2</x:v>
      </x:c>
      <x:c r="C293" s="11" t="str">
        <x:v>Chốt capacity, rate inputs, cost scenarios và estimate variance</x:v>
      </x:c>
      <x:c r="D293" s="11" t="str">
        <x:v>Program Lead + Finance</x:v>
      </x:c>
      <x:c r="E293" s="11" t="str">
        <x:v>UPG-PM-001</x:v>
      </x:c>
      <x:c r="F293" s="11" t="str">
        <x:v>Q14; Q15; Q20; G04; G12</x:v>
      </x:c>
      <x:c r="G293" s="11" t="str">
        <x:v>NOT_CHECKED</x:v>
      </x:c>
    </x:row>
    <x:row r="294" ht="15" hidden="0" customHeight="1">
      <x:c r="A294" s="11" t="str">
        <x:v>UPG-BE-001</x:v>
      </x:c>
      <x:c r="B294" s="11" t="str">
        <x:v>LOCAL_R2</x:v>
      </x:c>
      <x:c r="C294" s="11" t="str">
        <x:v>Triển khai method/source/rights release registry</x:v>
      </x:c>
      <x:c r="D294" s="11" t="str">
        <x:v>Backend + Method</x:v>
      </x:c>
      <x:c r="E294" s="11" t="str">
        <x:v>METHOD-10; GOV-07</x:v>
      </x:c>
      <x:c r="F294" s="11" t="str">
        <x:v>Q3; Q12; G04; G06</x:v>
      </x:c>
      <x:c r="G294" s="11" t="str">
        <x:v>NOT_CHECKED</x:v>
      </x:c>
    </x:row>
    <x:row r="295" ht="15" hidden="0" customHeight="1">
      <x:c r="A295" s="11" t="str">
        <x:v>UPG-BE-002</x:v>
      </x:c>
      <x:c r="B295" s="11" t="str">
        <x:v>LOCAL_R2</x:v>
      </x:c>
      <x:c r="C295" s="11" t="str">
        <x:v>Triển khai typed formula/result/null-decimal-time contract</x:v>
      </x:c>
      <x:c r="D295" s="11" t="str">
        <x:v>Backend + Data</x:v>
      </x:c>
      <x:c r="E295" s="11" t="str">
        <x:v>API-01; METHOD-07</x:v>
      </x:c>
      <x:c r="F295" s="11" t="str">
        <x:v>Q3; Q5; Q12; G05; G06; G09</x:v>
      </x:c>
      <x:c r="G295" s="11" t="str">
        <x:v>NOT_CHECKED</x:v>
      </x:c>
    </x:row>
    <x:row r="296" ht="15" hidden="0" customHeight="1">
      <x:c r="A296" s="11" t="str">
        <x:v>UPG-BE-003</x:v>
      </x:c>
      <x:c r="B296" s="11" t="str">
        <x:v>LOCAL_R2</x:v>
      </x:c>
      <x:c r="C296" s="11" t="str">
        <x:v>Triển khai object/tenant/subject authorization và RLS design</x:v>
      </x:c>
      <x:c r="D296" s="11" t="str">
        <x:v>Backend + Security</x:v>
      </x:c>
      <x:c r="E296" s="11" t="str">
        <x:v>TRUST-05; API-01</x:v>
      </x:c>
      <x:c r="F296" s="11" t="str">
        <x:v>Q4; Q9; Q18; G02; G03; G05; G09</x:v>
      </x:c>
      <x:c r="G296" s="11" t="str">
        <x:v>NOT_CHECKED</x:v>
      </x:c>
    </x:row>
    <x:row r="297" ht="15" hidden="0" customHeight="1">
      <x:c r="A297" s="11" t="str">
        <x:v>UPG-BE-004</x:v>
      </x:c>
      <x:c r="B297" s="11" t="str">
        <x:v>LOCAL_R2</x:v>
      </x:c>
      <x:c r="C297" s="11" t="str">
        <x:v>Triển khai jobs/outbox/idempotency/payment consistency</x:v>
      </x:c>
      <x:c r="D297" s="11" t="str">
        <x:v>Backend + Commerce</x:v>
      </x:c>
      <x:c r="E297" s="11" t="str">
        <x:v>DATA-06; COMMERCE-04; API-01</x:v>
      </x:c>
      <x:c r="F297" s="11" t="str">
        <x:v>Q4; Q14; Q15; G05; G07; G09; G10</x:v>
      </x:c>
      <x:c r="G297" s="11" t="str">
        <x:v>NOT_CHECKED</x:v>
      </x:c>
    </x:row>
    <x:row r="298" ht="15" hidden="0" customHeight="1">
      <x:c r="A298" s="11" t="str">
        <x:v>UPG-BE-005</x:v>
      </x:c>
      <x:c r="B298" s="11" t="str">
        <x:v>LOCAL_R2</x:v>
      </x:c>
      <x:c r="C298" s="11" t="str">
        <x:v>Chạy D1→Postgres dry-run, reconcile và rollback bằng synthetic</x:v>
      </x:c>
      <x:c r="D298" s="11" t="str">
        <x:v>Data Lead</x:v>
      </x:c>
      <x:c r="E298" s="11" t="str">
        <x:v>DATA-03; UPG-BE-002; UPG-BE-003</x:v>
      </x:c>
      <x:c r="F298" s="11" t="str">
        <x:v>Q9; Q15; Q20; G05; G07; G10</x:v>
      </x:c>
      <x:c r="G298" s="11" t="str">
        <x:v>NOT_CHECKED</x:v>
      </x:c>
    </x:row>
    <x:row r="299" ht="15" hidden="0" customHeight="1">
      <x:c r="A299" s="11" t="str">
        <x:v>UPG-BE-006</x:v>
      </x:c>
      <x:c r="B299" s="11" t="str">
        <x:v>LOCAL_R2</x:v>
      </x:c>
      <x:c r="C299" s="11" t="str">
        <x:v>Tạo OpenAPI overlay và contract/negative tests cho 64 operation</x:v>
      </x:c>
      <x:c r="D299" s="11" t="str">
        <x:v>API Lead + QA</x:v>
      </x:c>
      <x:c r="E299" s="11" t="str">
        <x:v>API-01; UPG-BE-002; UPG-BE-003</x:v>
      </x:c>
      <x:c r="F299" s="11" t="str">
        <x:v>Q4; Q9; Q15; G02; G03; G06; G09</x:v>
      </x:c>
      <x:c r="G299" s="11" t="str">
        <x:v>NOT_CHECKED</x:v>
      </x:c>
    </x:row>
    <x:row r="300" ht="24" hidden="0" customHeight="1">
      <x:c r="A300" s="11" t="str">
        <x:v>UPG-BE-007</x:v>
      </x:c>
      <x:c r="B300" s="11" t="str">
        <x:v>LOCAL_R2</x:v>
      </x:c>
      <x:c r="C300" s="11" t="str">
        <x:v>Xây synthetic demo suite và offline trace explorer</x:v>
      </x:c>
      <x:c r="D300" s="11" t="str">
        <x:v>Backend + AI QA</x:v>
      </x:c>
      <x:c r="E300" s="11" t="str">
        <x:v>UPG-BE-002; UPG-BE-006; UPG-UX-002; UPG-AI-002</x:v>
      </x:c>
      <x:c r="F300" s="11" t="str">
        <x:v>Q3; Q5; Q7; Q9; Q15; Q20; G03; G06; G08; G10</x:v>
      </x:c>
      <x:c r="G300" s="11" t="str">
        <x:v>NOT_CHECKED</x:v>
      </x:c>
    </x:row>
    <x:row r="301" ht="15" hidden="0" customHeight="1">
      <x:c r="A301" s="11" t="str">
        <x:v>INT29-001</x:v>
      </x:c>
      <x:c r="B301" s="11" t="str">
        <x:v>INTEGRATION_REFINEMENT</x:v>
      </x:c>
      <x:c r="C301" s="11" t="str">
        <x:v>Bảo toàn nguồn và nối biên nhận nhập liệu</x:v>
      </x:c>
      <x:c r="D301" s="11" t="str">
        <x:v>Governance + Documentation</x:v>
      </x:c>
      <x:c r="E301" s="11" t="str"/>
      <x:c r="F301" s="11" t="str">
        <x:v>Q21; Q31; Q45; G01</x:v>
      </x:c>
      <x:c r="G301" s="11" t="str">
        <x:v>NOT_CHECKED</x:v>
      </x:c>
    </x:row>
    <x:row r="302" ht="15" hidden="0" customHeight="1">
      <x:c r="A302" s="11" t="str">
        <x:v>INT29-002</x:v>
      </x:c>
      <x:c r="B302" s="11" t="str">
        <x:v>INTEGRATION_REFINEMENT</x:v>
      </x:c>
      <x:c r="C302" s="11" t="str">
        <x:v>Khóa đúng repository và phân biệt source/runtime</x:v>
      </x:c>
      <x:c r="D302" s="11" t="str">
        <x:v>Tech Lead + Release Lead</x:v>
      </x:c>
      <x:c r="E302" s="11" t="str">
        <x:v>INT29-001</x:v>
      </x:c>
      <x:c r="F302" s="11" t="str">
        <x:v>Q10; Q30; Q45; G01; G07</x:v>
      </x:c>
      <x:c r="G302" s="11" t="str">
        <x:v>NOT_CHECKED</x:v>
      </x:c>
    </x:row>
    <x:row r="303" ht="15" hidden="0" customHeight="1">
      <x:c r="A303" s="11" t="str">
        <x:v>INT29-003</x:v>
      </x:c>
      <x:c r="B303" s="11" t="str">
        <x:v>INTEGRATION_REFINEMENT</x:v>
      </x:c>
      <x:c r="C303" s="11" t="str">
        <x:v>Hợp nhất namespace, DAG có kiểu và estimate rollup</x:v>
      </x:c>
      <x:c r="D303" s="11" t="str">
        <x:v>Program Manager + Data/QA</x:v>
      </x:c>
      <x:c r="E303" s="11" t="str">
        <x:v>INT29-001</x:v>
      </x:c>
      <x:c r="F303" s="11" t="str">
        <x:v>Q20; Q31; G01; G06</x:v>
      </x:c>
      <x:c r="G303" s="11" t="str">
        <x:v>NOT_CHECKED</x:v>
      </x:c>
    </x:row>
    <x:row r="304" ht="24" hidden="0" customHeight="1">
      <x:c r="A304" s="11" t="str">
        <x:v>INT29-004</x:v>
      </x:c>
      <x:c r="B304" s="11" t="str">
        <x:v>INTEGRATION_REFINEMENT</x:v>
      </x:c>
      <x:c r="C304" s="11" t="str">
        <x:v>Mở 45 decision packet và phân quyền duyệt</x:v>
      </x:c>
      <x:c r="D304" s="11" t="str">
        <x:v>Founder Office + Functional Leads</x:v>
      </x:c>
      <x:c r="E304" s="11" t="str">
        <x:v>INT29-003</x:v>
      </x:c>
      <x:c r="F304" s="11" t="str">
        <x:v>Q1; Q3; Q4; Q9; Q12; Q14; Q15; Q20; Q31; G04; G06</x:v>
      </x:c>
      <x:c r="G304" s="11" t="str">
        <x:v>NOT_CHECKED</x:v>
      </x:c>
    </x:row>
    <x:row r="305" ht="15" hidden="0" customHeight="1">
      <x:c r="A305" s="11" t="str">
        <x:v>INT29-005</x:v>
      </x:c>
      <x:c r="B305" s="11" t="str">
        <x:v>INTEGRATION_REFINEMENT</x:v>
      </x:c>
      <x:c r="C305" s="11" t="str">
        <x:v>Cấp hộ chiếu nguồn/quyền cho 62 adapter phương pháp</x:v>
      </x:c>
      <x:c r="D305" s="11" t="str">
        <x:v>Method Lead + Rights/Legal + Native Reviewer</x:v>
      </x:c>
      <x:c r="E305" s="11" t="str">
        <x:v>INT29-004</x:v>
      </x:c>
      <x:c r="F305" s="11" t="str">
        <x:v>Q3; Q12; Q22; Q31; G04; G06</x:v>
      </x:c>
      <x:c r="G305" s="11" t="str">
        <x:v>NOT_CHECKED</x:v>
      </x:c>
    </x:row>
    <x:row r="306" ht="15" hidden="0" customHeight="1">
      <x:c r="A306" s="11" t="str">
        <x:v>INT29-006</x:v>
      </x:c>
      <x:c r="B306" s="11" t="str">
        <x:v>INTEGRATION_REFINEMENT</x:v>
      </x:c>
      <x:c r="C306" s="11" t="str">
        <x:v>Chốt hợp đồng tên, lịch, thời gian và giả thuyết</x:v>
      </x:c>
      <x:c r="D306" s="11" t="str">
        <x:v>Backend Method Engineer + Domain QA</x:v>
      </x:c>
      <x:c r="E306" s="11" t="str">
        <x:v>INT29-003</x:v>
      </x:c>
      <x:c r="F306" s="11" t="str">
        <x:v>Q23; Q24; Q32; Q39; G03; G05; G06</x:v>
      </x:c>
      <x:c r="G306" s="11" t="str">
        <x:v>NOT_CHECKED</x:v>
      </x:c>
    </x:row>
    <x:row r="307" ht="24" hidden="0" customHeight="1">
      <x:c r="A307" s="11" t="str">
        <x:v>INT29-007</x:v>
      </x:c>
      <x:c r="B307" s="11" t="str">
        <x:v>INTEGRATION_REFINEMENT</x:v>
      </x:c>
      <x:c r="C307" s="11" t="str">
        <x:v>Đặc tả và kiểm thử 23 thành phần Numerology</x:v>
      </x:c>
      <x:c r="D307" s="11" t="str">
        <x:v>Method Engineer + Native Reviewer + Independent QA</x:v>
      </x:c>
      <x:c r="E307" s="11" t="str">
        <x:v>INT29-005; INT29-006</x:v>
      </x:c>
      <x:c r="F307" s="11" t="str">
        <x:v>Q6; Q32; Q38; G06</x:v>
      </x:c>
      <x:c r="G307" s="11" t="str">
        <x:v>NOT_CHECKED</x:v>
      </x:c>
    </x:row>
    <x:row r="308" ht="15" hidden="0" customHeight="1">
      <x:c r="A308" s="11" t="str">
        <x:v>INT29-008</x:v>
      </x:c>
      <x:c r="B308" s="11" t="str">
        <x:v>INTEGRATION_REFINEMENT</x:v>
      </x:c>
      <x:c r="C308" s="11" t="str">
        <x:v>Đóng hợp đồng Bát Cực, đuôi 80, Psychomatrix</x:v>
      </x:c>
      <x:c r="D308" s="11" t="str">
        <x:v>Method Engineer + Source Reviewer + QA</x:v>
      </x:c>
      <x:c r="E308" s="11" t="str">
        <x:v>INT29-005; INT29-006</x:v>
      </x:c>
      <x:c r="F308" s="11" t="str">
        <x:v>Q33; Q34; Q35; Q36; G06</x:v>
      </x:c>
      <x:c r="G308" s="11" t="str">
        <x:v>NOT_CHECKED</x:v>
      </x:c>
    </x:row>
    <x:row r="309" ht="15" hidden="0" customHeight="1">
      <x:c r="A309" s="11" t="str">
        <x:v>INT29-009</x:v>
      </x:c>
      <x:c r="B309" s="11" t="str">
        <x:v>INTEGRATION_REFINEMENT</x:v>
      </x:c>
      <x:c r="C309" s="11" t="str">
        <x:v>Đặc tả 18 lĩnh vực, chín giai đoạn và timeline</x:v>
      </x:c>
      <x:c r="D309" s="11" t="str">
        <x:v>Product + Method + UX + Privacy</x:v>
      </x:c>
      <x:c r="E309" s="11" t="str">
        <x:v>INT29-004; INT29-006</x:v>
      </x:c>
      <x:c r="F309" s="11" t="str">
        <x:v>Q26; Q37; Q38; Q41; G04; G06; G08</x:v>
      </x:c>
      <x:c r="G309" s="11" t="str">
        <x:v>NOT_CHECKED</x:v>
      </x:c>
    </x:row>
    <x:row r="310" ht="15" hidden="0" customHeight="1">
      <x:c r="A310" s="11" t="str">
        <x:v>INT29-010</x:v>
      </x:c>
      <x:c r="B310" s="11" t="str">
        <x:v>INTEGRATION_REFINEMENT</x:v>
      </x:c>
      <x:c r="C310" s="11" t="str">
        <x:v>Đóng schema dữ liệu và 99 thao tác API đích</x:v>
      </x:c>
      <x:c r="D310" s="11" t="str">
        <x:v>Backend Architect + API QA</x:v>
      </x:c>
      <x:c r="E310" s="11" t="str">
        <x:v>INT29-003; INT29-006</x:v>
      </x:c>
      <x:c r="F310" s="11" t="str">
        <x:v>Q25; Q29; Q39; G01; G03; G06; G07</x:v>
      </x:c>
      <x:c r="G310" s="11" t="str">
        <x:v>NOT_CHECKED</x:v>
      </x:c>
    </x:row>
    <x:row r="311" ht="24" hidden="0" customHeight="1">
      <x:c r="A311" s="11" t="str">
        <x:v>INT29-011</x:v>
      </x:c>
      <x:c r="B311" s="11" t="str">
        <x:v>INTEGRATION_REFINEMENT</x:v>
      </x:c>
      <x:c r="C311" s="11" t="str">
        <x:v>Thiết kế và xác minh identity, quyền và riêng tư</x:v>
      </x:c>
      <x:c r="D311" s="11" t="str">
        <x:v>Security + Backend + Privacy</x:v>
      </x:c>
      <x:c r="E311" s="11" t="str">
        <x:v>INT29-010</x:v>
      </x:c>
      <x:c r="F311" s="11" t="str">
        <x:v>Q4; Q9; Q18; Q23; Q29; Q39; G02; G03; G04; G05; G11</x:v>
      </x:c>
      <x:c r="G311" s="11" t="str">
        <x:v>NOT_CHECKED</x:v>
      </x:c>
    </x:row>
    <x:row r="312" ht="15" hidden="0" customHeight="1">
      <x:c r="A312" s="11" t="str">
        <x:v>INT29-012</x:v>
      </x:c>
      <x:c r="B312" s="11" t="str">
        <x:v>INTEGRATION_REFINEMENT</x:v>
      </x:c>
      <x:c r="C312" s="11" t="str">
        <x:v>Thiết kế durable jobs, cache và idempotency</x:v>
      </x:c>
      <x:c r="D312" s="11" t="str">
        <x:v>Backend + Platform + Reliability QA</x:v>
      </x:c>
      <x:c r="E312" s="11" t="str">
        <x:v>INT29-010; INT29-011</x:v>
      </x:c>
      <x:c r="F312" s="11" t="str">
        <x:v>Q23; Q29; Q39; G03; G05; G09; G10</x:v>
      </x:c>
      <x:c r="G312" s="11" t="str">
        <x:v>NOT_CHECKED</x:v>
      </x:c>
    </x:row>
    <x:row r="313" ht="24" hidden="0" customHeight="1">
      <x:c r="A313" s="11" t="str">
        <x:v>INT29-013</x:v>
      </x:c>
      <x:c r="B313" s="11" t="str">
        <x:v>INTEGRATION_REFINEMENT</x:v>
      </x:c>
      <x:c r="C313" s="11" t="str">
        <x:v>Nhận 167 demo vào ma trận kiểm thử có phân hạng</x:v>
      </x:c>
      <x:c r="D313" s="11" t="str">
        <x:v>QA Lead + Method + UX</x:v>
      </x:c>
      <x:c r="E313" s="11" t="str">
        <x:v>INT29-003; INT29-006</x:v>
      </x:c>
      <x:c r="F313" s="11" t="str">
        <x:v>Q22; Q25; Q32; Q33; Q35; Q36; G06; G08; G11</x:v>
      </x:c>
      <x:c r="G313" s="11" t="str">
        <x:v>NOT_CHECKED</x:v>
      </x:c>
    </x:row>
    <x:row r="314" ht="15" hidden="0" customHeight="1">
      <x:c r="A314" s="11" t="str">
        <x:v>INT29-014</x:v>
      </x:c>
      <x:c r="B314" s="11" t="str">
        <x:v>INTEGRATION_REFINEMENT</x:v>
      </x:c>
      <x:c r="C314" s="11" t="str">
        <x:v>Đóng chín template báo cáo và shared content tree</x:v>
      </x:c>
      <x:c r="D314" s="11" t="str">
        <x:v>Editorial + AI Lead + Report Engineer</x:v>
      </x:c>
      <x:c r="E314" s="11" t="str">
        <x:v>INT29-007; INT29-008; INT29-009; INT29-010</x:v>
      </x:c>
      <x:c r="F314" s="11" t="str">
        <x:v>Q5; Q7; Q27; Q41; G06; G08</x:v>
      </x:c>
      <x:c r="G314" s="11" t="str">
        <x:v>NOT_CHECKED</x:v>
      </x:c>
    </x:row>
    <x:row r="315" ht="15" hidden="0" customHeight="1">
      <x:c r="A315" s="11" t="str">
        <x:v>INT29-015</x:v>
      </x:c>
      <x:c r="B315" s="11" t="str">
        <x:v>INTEGRATION_REFINEMENT</x:v>
      </x:c>
      <x:c r="C315" s="11" t="str">
        <x:v>Thiết kế 69 màn hình và mobile/web/desktop web</x:v>
      </x:c>
      <x:c r="D315" s="11" t="str">
        <x:v>Product UX + Frontend + Accessibility QA</x:v>
      </x:c>
      <x:c r="E315" s="11" t="str">
        <x:v>INT29-009; INT29-010; INT29-011</x:v>
      </x:c>
      <x:c r="F315" s="11" t="str">
        <x:v>Q13; Q28; Q39; Q40; Q41; G03; G05; G08</x:v>
      </x:c>
      <x:c r="G315" s="11" t="str">
        <x:v>NOT_CHECKED</x:v>
      </x:c>
    </x:row>
    <x:row r="316" ht="15" hidden="0" customHeight="1">
      <x:c r="A316" s="11" t="str">
        <x:v>INT29-016</x:v>
      </x:c>
      <x:c r="B316" s="11" t="str">
        <x:v>INTEGRATION_REFINEMENT</x:v>
      </x:c>
      <x:c r="C316" s="11" t="str">
        <x:v>Đóng hợp đồng AI theo claim, quyền và ngân sách</x:v>
      </x:c>
      <x:c r="D316" s="11" t="str">
        <x:v>AI Lead + Security + Editorial</x:v>
      </x:c>
      <x:c r="E316" s="11" t="str">
        <x:v>INT29-011; INT29-014</x:v>
      </x:c>
      <x:c r="F316" s="11" t="str">
        <x:v>Q16; Q34; Q44; G03; G06; G08; G10; G11</x:v>
      </x:c>
      <x:c r="G316" s="11" t="str">
        <x:v>NOT_CHECKED</x:v>
      </x:c>
    </x:row>
    <x:row r="317" ht="24" hidden="0" customHeight="1">
      <x:c r="A317" s="11" t="str">
        <x:v>INT29-017</x:v>
      </x:c>
      <x:c r="B317" s="11" t="str">
        <x:v>INTEGRATION_REFINEMENT</x:v>
      </x:c>
      <x:c r="C317" s="11" t="str">
        <x:v>Đóng thương mại và quyền dùng độc lập</x:v>
      </x:c>
      <x:c r="D317" s="11" t="str">
        <x:v>Commerce Lead + Finance + Backend</x:v>
      </x:c>
      <x:c r="E317" s="11" t="str">
        <x:v>INT29-004; INT29-011; INT29-012</x:v>
      </x:c>
      <x:c r="F317" s="11" t="str">
        <x:v>Q4; Q8; Q13; Q14; Q15; Q20; Q40; G04; G09; G10</x:v>
      </x:c>
      <x:c r="G317" s="11" t="str">
        <x:v>NOT_CHECKED</x:v>
      </x:c>
    </x:row>
    <x:row r="318" ht="24" hidden="0" customHeight="1">
      <x:c r="A318" s="11" t="str">
        <x:v>INT29-018</x:v>
      </x:c>
      <x:c r="B318" s="11" t="str">
        <x:v>INTEGRATION_REFINEMENT</x:v>
      </x:c>
      <x:c r="C318" s="11" t="str">
        <x:v>Lập kế hoạch staging, kiểm thử độc lập và phục hồi</x:v>
      </x:c>
      <x:c r="D318" s="11" t="str">
        <x:v>Release Lead + SRE + Independent Security/QA</x:v>
      </x:c>
      <x:c r="E318" s="11" t="str">
        <x:v>INT29-011; INT29-012; INT29-013; INT29-014; INT29-015; INT29-016</x:v>
      </x:c>
      <x:c r="F318" s="11" t="str">
        <x:v>Q10; Q14; Q15; Q29; Q45; G01; G07; G10; G11; G12</x:v>
      </x:c>
      <x:c r="G318" s="11" t="str">
        <x:v>NOT_CHECKED</x:v>
      </x:c>
    </x:row>
    <x:row r="319" ht="15" hidden="0" customHeight="1">
      <x:c r="A319" s="11" t="str">
        <x:v>INT29-019</x:v>
      </x:c>
      <x:c r="B319" s="11" t="str">
        <x:v>INTEGRATION_REFINEMENT</x:v>
      </x:c>
      <x:c r="C319" s="11" t="str">
        <x:v>Đóng điều kiện lãnh thổ, Academy và đối tác</x:v>
      </x:c>
      <x:c r="D319" s="11" t="str">
        <x:v>Legal/Privacy + Academy + Partnerships</x:v>
      </x:c>
      <x:c r="E319" s="11" t="str">
        <x:v>INT29-004; INT29-005</x:v>
      </x:c>
      <x:c r="F319" s="11" t="str">
        <x:v>Q17; Q19; Q42; Q43; G04; G06; G12</x:v>
      </x:c>
      <x:c r="G319" s="11" t="str">
        <x:v>NOT_CHECKED</x:v>
      </x:c>
    </x:row>
    <x:row r="320" ht="48" hidden="0" customHeight="1">
      <x:c r="A320" s="11" t="str">
        <x:v>INT29-020</x:v>
      </x:c>
      <x:c r="B320" s="11" t="str">
        <x:v>INTEGRATION_REFINEMENT</x:v>
      </x:c>
      <x:c r="C320" s="11" t="str">
        <x:v>Bàn giao trace hai chiều và quyết định pilot</x:v>
      </x:c>
      <x:c r="D320" s="11" t="str">
        <x:v>Program Manager + Product + Independent QA</x:v>
      </x:c>
      <x:c r="E320" s="11" t="str">
        <x:v>INT29-003; INT29-004; INT29-005; INT29-006; INT29-007; INT29-008; INT29-009; INT29-010; INT29-011; INT29-012; INT29-013; INT29-014; INT29-015; INT29-016; INT29-017; INT29-018</x:v>
      </x:c>
      <x:c r="F320" s="11" t="str">
        <x:v>Q1; Q3; Q4; Q9; Q12; Q14; Q15; Q20; Q31; Q40; Q45; G01; G02; G03; G04; G05; G06; G07; G08; G09; G10; G11; G12</x:v>
      </x:c>
      <x:c r="G320" s="11" t="str">
        <x:v>NOT_CHECKED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58" hidden="0" customWidth="1"/>
    <x:col min="3" max="3" width="30" hidden="0" customWidth="1"/>
    <x:col min="4" max="4" width="38" hidden="0" customWidth="1"/>
    <x:col min="5" max="5" width="64" hidden="0" customWidth="1"/>
    <x:col min="6" max="6" width="60" hidden="0" customWidth="1"/>
    <x:col min="7" max="7" width="56" hidden="0" customWidth="1"/>
  </x:cols>
  <x:sheetData>
    <x:row r="1" ht="36" customHeight="1">
      <x:c r="A1" s="2" t="str">
        <x:v>20 phần phân rã tích hợp</x:v>
      </x:c>
      <x:c r="B1" s="2"/>
      <x:c r="C1" s="2"/>
      <x:c r="D1" s="2"/>
      <x:c r="E1" s="2"/>
      <x:c r="F1" s="2"/>
      <x:c r="G1" s="2"/>
    </x:row>
    <x:row r="2" ht="48" customHeight="1">
      <x:c r="A2" s="4" t="str">
        <x:v>Phân rã và đóng acceptance của task nguồn; effort không tự cộng với parent. Tên người và chữ ký chưa được phân công. Chi tiết: execution/INTEGRATION_WORK_ORDERS.json.</x:v>
      </x:c>
      <x:c r="B2" s="4"/>
      <x:c r="C2" s="4"/>
      <x:c r="D2" s="4"/>
      <x:c r="E2" s="4"/>
      <x:c r="F2" s="4"/>
      <x:c r="G2" s="4"/>
    </x:row>
    <x:row r="4" ht="34" customHeight="1">
      <x:c r="A4" s="8" t="str">
        <x:v>ID</x:v>
      </x:c>
      <x:c r="B4" s="8" t="str">
        <x:v>Phạm vi</x:v>
      </x:c>
      <x:c r="C4" s="8" t="str">
        <x:v>Vai trò</x:v>
      </x:c>
      <x:c r="D4" s="8" t="str">
        <x:v>Task nguồn</x:v>
      </x:c>
      <x:c r="E4" s="8" t="str">
        <x:v>Điều kiện nghiệm thu</x:v>
      </x:c>
      <x:c r="F4" s="8" t="str">
        <x:v>Kiểm thử phủ định</x:v>
      </x:c>
      <x:c r="G4" s="8" t="str">
        <x:v>Rollback</x:v>
      </x:c>
    </x:row>
    <x:row r="5" ht="36" hidden="0" customHeight="1">
      <x:c r="A5" s="11" t="str">
        <x:v>INT29-001</x:v>
      </x:c>
      <x:c r="B5" s="11" t="str">
        <x:v>Đối chiếu 827 tệp ZIP, ba tệp V2 rời, 216 tệp kế hoạch hiện có; giữ provenance và SHA từng tệp.</x:v>
      </x:c>
      <x:c r="C5" s="11" t="str">
        <x:v>Governance + Documentation</x:v>
      </x:c>
      <x:c r="D5" s="11" t="str">
        <x:v>V2-GOV-01; V3-INT-09</x:v>
      </x:c>
      <x:c r="E5" s="11" t="str">
        <x:v>Số lượng, SHA và đường dẫn khớp nguồn; không đổi byte cũ; mọi đường dẫn đích ở đúng dự án.; Mọi receipt ghi source/candidate/artifact digest, môi trường, lệnh, exit code, số pass/fail/skip và người review; dữ liệu thật không đưa vào fixture.</x:v>
      </x:c>
      <x:c r="F5" s="11" t="str">
        <x:v>Thử tệp thiếu, tệp đích khác byte, traversal, symlink, ZIP lỗi; phải chặn và ghi receipt.</x:v>
      </x:c>
      <x:c r="G5" s="11" t="str">
        <x:v>Chỉ tạo vùng tài liệu mới, lưu manifest; phục hồi bằng danh sách tệp mới có hash và không xóa dữ liệu người dùng.</x:v>
      </x:c>
    </x:row>
    <x:row r="6" ht="36" hidden="0" customHeight="1">
      <x:c r="A6" s="11" t="str">
        <x:v>INT29-002</x:v>
      </x:c>
      <x:c r="B6" s="11" t="str">
        <x:v>Lập receipt cwd/remote/branch/full HEAD/dirty paths, candidate riêng và deployment mapping nếu sau này có quyền.</x:v>
      </x:c>
      <x:c r="C6" s="11" t="str">
        <x:v>Tech Lead + Release Lead</x:v>
      </x:c>
      <x:c r="D6" s="11" t="str">
        <x:v>P0-01; P0-02; P0-08; V2-OPS-01; V3-INT-10</x:v>
      </x:c>
      <x:c r="E6" s="11" t="str">
        <x:v>Không kế thừa SHA GitHub cũ hoặc demo làm runtime; ghi rõ mọi bằng chứng NOT_CHECKED.; Mọi receipt ghi source/candidate/artifact digest, môi trường, lệnh, exit code, số pass/fail/skip và người review; dữ liệu thật không đưa vào fixture.</x:v>
      </x:c>
      <x:c r="F6" s="11" t="str">
        <x:v>Sai remote, dirty tree, target ngoài scope, deployed SHA thiếu hoặc không khớp phải HOLD.</x:v>
      </x:c>
      <x:c r="G6" s="11" t="str">
        <x:v>Không reset/stash/ghi đè worktree; ứng viên tương lai tạo riêng sau khi chọn baseline có authority.</x:v>
      </x:c>
    </x:row>
    <x:row r="7" ht="36" hidden="0" customHeight="1">
      <x:c r="A7" s="11" t="str">
        <x:v>INT29-003</x:v>
      </x:c>
      <x:c r="B7" s="11" t="str">
        <x:v>296 ID nguồn +20 work order; bảo toàn 16 UPG; tách task/decision/gate deps và parent rollup.</x:v>
      </x:c>
      <x:c r="C7" s="11" t="str">
        <x:v>Program Manager + Data/QA</x:v>
      </x:c>
      <x:c r="D7" s="11" t="str">
        <x:v>UPG-PM-001; UPG-PM-002; V2-GOV-01</x:v>
      </x:c>
      <x:c r="E7" s="11" t="str">
        <x:v>Không duplicate ID; FK đóng; topo không chu kỳ; giữ P0 đã sửa; bản gốc và proposed graph đều truy vết.; Mọi receipt ghi source/candidate/artifact digest, môi trường, lệnh, exit code, số pass/fail/skip và người review; dữ liệu thật không đưa vào fixture.</x:v>
      </x:c>
      <x:c r="F7" s="11" t="str">
        <x:v>Cố tình tạo vòng, dependency lạ, parent tự tham chiếu, unknown estimate thành 0 và cộng parent+child phải thất bại.</x:v>
      </x:c>
      <x:c r="G7" s="11" t="str">
        <x:v>Chỉ sửa overlay mới; graph nguồn bất biến; loại thay đổi mới bằng inverse manifest có hash.</x:v>
      </x:c>
    </x:row>
    <x:row r="8" ht="36" hidden="0" customHeight="1">
      <x:c r="A8" s="11" t="str">
        <x:v>INT29-004</x:v>
      </x:c>
      <x:c r="B8" s="11" t="str">
        <x:v>Giữ nguyên Q1–20; bổ sung Q21–45 với lựa chọn, tác động, chức danh, hạn theo sự kiện và receipt null.</x:v>
      </x:c>
      <x:c r="C8" s="11" t="str">
        <x:v>Founder Office + Functional Leads</x:v>
      </x:c>
      <x:c r="D8" s="11" t="str">
        <x:v>V2-GOV-01; V3-INT-10</x:v>
      </x:c>
      <x:c r="E8" s="11" t="str">
        <x:v>45 packet duy nhất; mỗi lựa chọn có phạm vi; chưa ký vẫn pending; tài liệu không tự tạo production permission.; Mọi receipt ghi source/candidate/artifact digest, môi trường, lệnh, exit code, số pass/fail/skip và người review; dữ liệu thật không đưa vào fixture.</x:v>
      </x:c>
      <x:c r="F8" s="11" t="str">
        <x:v>Từ chối packet không có approver chức năng, source digest, phạm vi/expiry hoặc dùng Founder thay Method/Legal.</x:v>
      </x:c>
      <x:c r="G8" s="11" t="str">
        <x:v>Lưu mọi quyết định thành phiên bản; không sửa lịch sử và không coi đề xuất A là đã được duyệt.</x:v>
      </x:c>
    </x:row>
    <x:row r="9" ht="48" hidden="0" customHeight="1">
      <x:c r="A9" s="11" t="str">
        <x:v>INT29-005</x:v>
      </x:c>
      <x:c r="B9" s="11" t="str">
        <x:v>Lập inventory/passport tối thiểu cho62adapter; hoàn thiện source edition, quyền, input/rules/limits/corpus/review/release cho từng adapter thực sự được chọn vào cohort. Phần còn lại giữ research/unreleased.</x:v>
      </x:c>
      <x:c r="C9" s="11" t="str">
        <x:v>Method Lead + Rights/Legal + Native Reviewer</x:v>
      </x:c>
      <x:c r="D9" s="11" t="str">
        <x:v>V2-GOV-02; V2-BE-14</x:v>
      </x:c>
      <x:c r="E9" s="11" t="str">
        <x:v>62adapter có owner/missing-evidence register; chỉ adapter của cohort được xét dispatch khi passport source/rights/golden/reviewer độc lập đủ. Không đòi nghiên cứu xong62adapter để làm pilot phạm vi hẹp.; Mọi receipt ghi source/candidate/artifact digest, môi trường, lệnh, exit code, số pass/fail/skip và người review; dữ liệu thật không đưa vào fixture.</x:v>
      </x:c>
      <x:c r="F9" s="11" t="str">
        <x:v>Thiếu quyền, nguồn sao chép cùng gốc, reviewer cùng tác giả, nguồn mâu thuẫn hoặc phụ thuộc nhạy cảm phải NEEDS_REVIEW.</x:v>
      </x:c>
      <x:c r="G9" s="11" t="str">
        <x:v>Gỡ capability khỏi catalog phát hành bằng feature/version gate; giữ nguyên archive và bản kết quả lịch sử.</x:v>
      </x:c>
    </x:row>
    <x:row r="10" ht="36" hidden="0" customHeight="1">
      <x:c r="A10" s="11" t="str">
        <x:v>INT29-006</x:v>
      </x:c>
      <x:c r="B10" s="11" t="str">
        <x:v>Đóng schema profile_version/data_hypothesis, raw/normalized name, timezone candidates, calendar/tzdb/config versions, uncertainty.</x:v>
      </x:c>
      <x:c r="C10" s="11" t="str">
        <x:v>Backend Method Engineer + Domain QA</x:v>
      </x:c>
      <x:c r="D10" s="11" t="str">
        <x:v>V2-BE-01; V2-BE-02; V2-BE-03; V2-BE-04; V3-MTH-001; V3-MTH-037; V3-INT-02</x:v>
      </x:c>
      <x:c r="E10" s="11" t="str">
        <x:v>Unicode NFC/NFD, tên thiếu, Y chưa rõ, DST gap/fold, leap day, date-only và unknown đều có output có trạng thái.; Mọi receipt ghi source/candidate/artifact digest, môi trường, lệnh, exit code, số pass/fail/skip và người review; dữ liệu thật không đưa vào fixture.</x:v>
      </x:c>
      <x:c r="F10" s="11" t="str">
        <x:v>Không tự đoán tên riêng/Y/timezone; không chuẩn hóa mất raw; DOB thiếu không thành 0/ngày mặc định.</x:v>
      </x:c>
      <x:c r="G10" s="11" t="str">
        <x:v>Giữ raw và phiên bản normalize cũ; invalidation chỉ các node phụ thuộc, snapshot đã xuất không đổi.</x:v>
      </x:c>
    </x:row>
    <x:row r="11" ht="36" hidden="0" customHeight="1">
      <x:c r="A11" s="11" t="str">
        <x:v>INT29-007</x:v>
      </x:c>
      <x:c r="B11" s="11" t="str">
        <x:v>Bảng công thức/reduction/master-number/Y/full/common/given name và hợp đồng riêng Pinnacle/Challenge/Period.</x:v>
      </x:c>
      <x:c r="C11" s="11" t="str">
        <x:v>Method Engineer + Native Reviewer + Independent QA</x:v>
      </x:c>
      <x:c r="D11" s="11" t="str">
        <x:v>V3-MTH-028; V3-MTH-030; V2-BE-07; V2-BE-11</x:v>
      </x:c>
      <x:c r="E11" s="11" t="str">
        <x:v>23 thành phần có ví dụ tính tay và boundary; variant versioned; trace từng phép tính; không gọi là đo nhân cách khoa học.; Mọi receipt ghi source/candidate/artifact digest, môi trường, lệnh, exit code, số pass/fail/skip và người review; dữ liệu thật không đưa vào fixture.</x:v>
      </x:c>
      <x:c r="F11" s="11" t="str">
        <x:v>Đảo thứ tự reduction, master number, missing vowels/Y và giao mốc B/B+9/B+18 phải được kiểm tra riêng.</x:v>
      </x:c>
      <x:c r="G11" s="11" t="str">
        <x:v>Không thay bản rules đang dùng; tạo method_release mới, dual-run/diff và khả năng khóa release mới.</x:v>
      </x:c>
    </x:row>
    <x:row r="12" ht="36" hidden="0" customHeight="1">
      <x:c r="A12" s="11" t="str">
        <x:v>INT29-008</x:v>
      </x:c>
      <x:c r="B12" s="11" t="str">
        <x:v>64 cặp/512 triplet alphabet có điều kiện, strict 0/5; modulo 0..79 và policy 0; 17 ô/trục raw/count tách working numbers.</x:v>
      </x:c>
      <x:c r="C12" s="11" t="str">
        <x:v>Method Engineer + Source Reviewer + QA</x:v>
      </x:c>
      <x:c r="D12" s="11" t="str">
        <x:v>V2-BE-05; V2-BE-06; V3-MTH-029; V3-MTH-032; V3-MTH-033; V3-MTH-034; V3-MTH-035</x:v>
      </x:c>
      <x:c r="E12" s="11" t="str">
        <x:v>Giữ raw 0/5, chuỗi có 0 đầu, variant trace; nguồn tail80 có quyền; mục mơ hồ bị quarantine; W3 âm theo policy chặn.; Mọi receipt ghi source/candidate/artifact digest, môi trường, lệnh, exit code, số pass/fail/skip và người review; dữ liệu thật không đưa vào fixture.</x:v>
      </x:c>
      <x:c r="F12" s="11" t="str">
        <x:v>Không r+1, không abs(W3), không xóa 0/5 hoặc suy trí nhớ/sức khỏe/đời tư; enumerate 10.000 đuôi với 125 mẫu/bucket.</x:v>
      </x:c>
      <x:c r="G12" s="11" t="str">
        <x:v>Đưa variant chưa đủ nguồn về diagnostic/unreleased; không viết đè bảng nguồn.</x:v>
      </x:c>
    </x:row>
    <x:row r="13" ht="36" hidden="0" customHeight="1">
      <x:c r="A13" s="11" t="str">
        <x:v>INT29-009</x:v>
      </x:c>
      <x:c r="B13" s="11" t="str">
        <x:v>Timeline age intervals, domains, quan sát đời thực, tự suy ngẫm, kế hoạch và forecast tách loại; quyền riêng từng event.</x:v>
      </x:c>
      <x:c r="C13" s="11" t="str">
        <x:v>Product + Method + UX + Privacy</x:v>
      </x:c>
      <x:c r="D13" s="11" t="str">
        <x:v>V3-INT-02; V3-MTH-056; V3-MTH-058</x:v>
      </x:c>
      <x:c r="E13" s="11" t="str">
        <x:v>0–99 là 100 interval nửa mở; &gt;99 giữ; chín giai đoạn là biên tập, không luật tuổi/định mệnh.; Mọi receipt ghi source/candidate/artifact digest, môi trường, lệnh, exit code, số pass/fail/skip và người review; dữ liệu thật không đưa vào fixture.</x:v>
      </x:c>
      <x:c r="F13" s="11" t="str">
        <x:v>Leap birth, boundary, event chồng lĩnh vực, cùng DOB lặp nhiều cách tính và thiếu dữ liệu phải không nhân chứng cứ.</x:v>
      </x:c>
      <x:c r="G13" s="11" t="str">
        <x:v>Giữ event nguồn; chỉ thay view/config/version, không hồi tố sửa lịch sử người dùng.</x:v>
      </x:c>
    </x:row>
    <x:row r="14" ht="36" hidden="0" customHeight="1">
      <x:c r="A14" s="11" t="str">
        <x:v>INT29-010</x:v>
      </x:c>
      <x:c r="B14" s="11" t="str">
        <x:v>Crosswalk 83+16 operations tới request/response/error/principal/purpose/idempotency/schema version và owner.</x:v>
      </x:c>
      <x:c r="C14" s="11" t="str">
        <x:v>Backend Architect + API QA</x:v>
      </x:c>
      <x:c r="D14" s="11" t="str">
        <x:v>UPG-BE-001; UPG-BE-002; V2-BE-10; V2-BE-15; V2-BE-16; V3-INT-04</x:v>
      </x:c>
      <x:c r="E14" s="11" t="str">
        <x:v>99 operation duy nhất là thiết kế; chỉ route có runtime receipt mới gọi implemented; schema FK tenant/subject kín.; Mọi receipt ghi source/candidate/artifact digest, môi trường, lệnh, exit code, số pass/fail/skip và người review; dữ liệu thật không đưa vào fixture.</x:v>
      </x:c>
      <x:c r="F14" s="11" t="str">
        <x:v>Unknown fields/mass assignment, stale revision, null/0 confusion, cross-subject FK, payload lớn hoặc money float phải chặn.</x:v>
      </x:c>
      <x:c r="G14" s="11" t="str">
        <x:v>Migration chỉ lên staging sau review; expand/contract và backup; không chạy SQL với gói tài liệu.</x:v>
      </x:c>
    </x:row>
    <x:row r="15" ht="36" hidden="0" customHeight="1">
      <x:c r="A15" s="11" t="str">
        <x:v>INT29-011</x:v>
      </x:c>
      <x:c r="B15" s="11" t="str">
        <x:v>Object/tenant/subject/purpose grant, consent revision, recovery/revocation/delete/export trong mọi read/write/job/download.</x:v>
      </x:c>
      <x:c r="C15" s="11" t="str">
        <x:v>Security + Backend + Privacy</x:v>
      </x:c>
      <x:c r="D15" s="11" t="str">
        <x:v>V2-SEC-01; V2-SEC-02; V2-SEC-03; V2-SEC-04; V2-SEC-05; V2-SEC-06; V3-MTH-060</x:v>
      </x:c>
      <x:c r="E15" s="11" t="str">
        <x:v>IdP và principal server-derived; payer/owner/practitioner khác quyền; app DB role không owner/BYPASSRLS.; Mọi receipt ghi source/candidate/artifact digest, môi trường, lệnh, exit code, số pass/fail/skip và người review; dữ liệu thật không đưa vào fixture.</x:v>
      </x:c>
      <x:c r="F15" s="11" t="str">
        <x:v>Cross-tenant object access, forged user_id, revoked grant sau enqueue, signed-link replay, stale offline dữ liệu phải bị chặn.</x:v>
      </x:c>
      <x:c r="G15" s="11" t="str">
        <x:v>Kill switch theo capability; revoke token/grant/link, deletion barrier; không hứa thu hồi tệp đã tải.</x:v>
      </x:c>
    </x:row>
    <x:row r="16" ht="36" hidden="0" customHeight="1">
      <x:c r="A16" s="11" t="str">
        <x:v>INT29-012</x:v>
      </x:c>
      <x:c r="B16" s="11" t="str">
        <x:v>Transactional run+outbox+idempotency; lease/heartbeat/retry/DLQ/cancel; scoped cache và invalidation DAG.</x:v>
      </x:c>
      <x:c r="C16" s="11" t="str">
        <x:v>Backend + Platform + Reliability QA</x:v>
      </x:c>
      <x:c r="D16" s="11" t="str">
        <x:v>UPG-BE-005; V2-JOB-01; V2-JOB-02; V2-JOB-03; V2-JOB-08; V2-BE-07; V2-BE-08; V2-BE-13</x:v>
      </x:c>
      <x:c r="E16" s="11" t="str">
        <x:v>Tác dụng nghiệp vụ exactly-once theo receipt trong at-least-once delivery; cache đủ tenant/subject/purpose/revision/version.; Mọi receipt ghi source/candidate/artifact digest, môi trường, lệnh, exit code, số pass/fail/skip và người review; dữ liệu thật không đưa vào fixture.</x:v>
      </x:c>
      <x:c r="F16" s="11" t="str">
        <x:v>Duplicate/reorder/crash, key conflict, revoke/cancel/delete races, restore tombstone và source edition change có chứng cứ.</x:v>
      </x:c>
      <x:c r="G16" s="11" t="str">
        <x:v>Dừng producer/worker bằng switch, drain/quarantine queue; reconcile effects trước replay; restore xong áp deletion.</x:v>
      </x:c>
    </x:row>
    <x:row r="17" ht="36" hidden="0" customHeight="1">
      <x:c r="A17" s="11" t="str">
        <x:v>INT29-013</x:v>
      </x:c>
      <x:c r="B17" s="11" t="str">
        <x:v>Catalog mỗi demo: source package, fixture synthetic, expected trace/output, category normal/missing/boundary/conflict/denied/stale/failure.</x:v>
      </x:c>
      <x:c r="C17" s="11" t="str">
        <x:v>QA Lead + Method + UX</x:v>
      </x:c>
      <x:c r="D17" s="11" t="str">
        <x:v>V2-FE-03; V3-MTH-062</x:v>
      </x:c>
      <x:c r="E17" s="11" t="str">
        <x:v>Không cộng các suite kế thừa trùng thành coverage độc lập; demo offline, node HTTP và browser HTTP có nhãn riêng.; Mọi receipt ghi source/candidate/artifact digest, môi trường, lệnh, exit code, số pass/fail/skip và người review; dữ liệu thật không đưa vào fixture.</x:v>
      </x:c>
      <x:c r="F17" s="11" t="str">
        <x:v>Tắt mock để chứng minh HTTP thật; thử partial/unknown, wrong tenant, malformed/timeouts; recording skips và môi trường.</x:v>
      </x:c>
      <x:c r="G17" s="11" t="str">
        <x:v>Chạy bản sao riêng; không chạy script nguồn trên worktree/app; không đổi receipt gốc.</x:v>
      </x:c>
    </x:row>
    <x:row r="18" ht="36" hidden="0" customHeight="1">
      <x:c r="A18" s="11" t="str">
        <x:v>INT29-014</x:v>
      </x:c>
      <x:c r="B18" s="11" t="str">
        <x:v>Chung snapshot/content tree Web/PDF/Word; bốn khối; 9 level khác dữ liệu và mục đích; missing-data preview có null.</x:v>
      </x:c>
      <x:c r="C18" s="11" t="str">
        <x:v>Editorial + AI Lead + Report Engineer</x:v>
      </x:c>
      <x:c r="D18" s="11" t="str">
        <x:v>UPG-AI-001; UPG-AI-002; V2-AI-03; V2-AI-04; V2-AI-05; V3-INT-05; V3-MTH-061</x:v>
      </x:c>
      <x:c r="E18" s="11" t="str">
        <x:v>L1 ít nhất ba case đủ/thiếu/xung đột; claim gắn source+method+input; không bù trang hoặc bịa life events.; Mọi receipt ghi source/candidate/artifact digest, môi trường, lệnh, exit code, số pass/fail/skip và người review; dữ liệu thật không đưa vào fixture.</x:v>
      </x:c>
      <x:c r="F18" s="11" t="str">
        <x:v>Nguồn hết quyền, snapshot stale, external URL/local file khi render, font/tables/overflow, report bị hủy phải chặn.</x:v>
      </x:c>
      <x:c r="G18" s="11" t="str">
        <x:v>Xuất bản nội dung thành release mới; sandbox renderer; snapshot cũ bất biến, thu hồi quyền tải tương lai.</x:v>
      </x:c>
    </x:row>
    <x:row r="19" ht="36" hidden="0" customHeight="1">
      <x:c r="A19" s="11" t="str">
        <x:v>INT29-015</x:v>
      </x:c>
      <x:c r="B19" s="11" t="str">
        <x:v>Screen crosswalk 45 gốc+V2+V3, flows shared responsive 360/390/768/1440, keyboard, contrast, states và locale.</x:v>
      </x:c>
      <x:c r="C19" s="11" t="str">
        <x:v>Product UX + Frontend + Accessibility QA</x:v>
      </x:c>
      <x:c r="D19" s="11" t="str">
        <x:v>UPG-UX-001; UPG-UX-002; UPG-UX-003; V2-FE-06; V2-FE-07; V2-FE-08; V2-FE-09; V2-FE-10; V2-FE-11; V2-FE-12; V3-INT-01; V3-INT-06</x:v>
      </x:c>
      <x:c r="E19" s="11" t="str">
        <x:v>Đủ loading/partial/needs-input/denied/unreleased/stale/error; desktop web dễ đọc bảng; mobile form nhập từng bước.; Mọi receipt ghi source/candidate/artifact digest, môi trường, lệnh, exit code, số pass/fail/skip và người review; dữ liệu thật không đưa vào fixture.</x:v>
      </x:c>
      <x:c r="F19" s="11" t="str">
        <x:v>Overflow, zoom 200%, keyboard trap, offline revoke conflict, private cache, screenshot leak và screenreader cơ bản.</x:v>
      </x:c>
      <x:c r="G19" s="11" t="str">
        <x:v>Feature switch theo screen/capability; private offline tắt mặc định; native là nhánh sau có budget/owner riêng.</x:v>
      </x:c>
    </x:row>
    <x:row r="20" ht="36" hidden="0" customHeight="1">
      <x:c r="A20" s="11" t="str">
        <x:v>INT29-016</x:v>
      </x:c>
      <x:c r="B20" s="11" t="str">
        <x:v>A0–A3 permission/cost contract; retrieval ACL trước fetch; claim assembler/writer/reviewer và eval corpus versioned.</x:v>
      </x:c>
      <x:c r="C20" s="11" t="str">
        <x:v>AI Lead + Security + Editorial</x:v>
      </x:c>
      <x:c r="D20" s="11" t="str">
        <x:v>V2-SEC-07; V2-AI-01; V2-AI-02; V2-AI-03; V2-AI-06; V2-AI-07; V2-AI-08; V3-INT-03; V3-MTH-059</x:v>
      </x:c>
      <x:c r="E20" s="11" t="str">
        <x:v>Không AI phát hành claim method chưa duyệt; provenance một nguồn không thành nhiều chứng cứ; budget/fallback/exception minh bạch.; Mọi receipt ghi source/candidate/artifact digest, môi trường, lệnh, exit code, số pass/fail/skip và người review; dữ liệu thật không đưa vào fixture.</x:v>
      </x:c>
      <x:c r="F20" s="11" t="str">
        <x:v>Prompt injection nguồn, RAG ACL bypass, fabricated citation, vendor timeout, token cap, fallback sai scope, tool đổi quyền phải chặn.</x:v>
      </x:c>
      <x:c r="G20" s="11" t="str">
        <x:v>Kill switch provider/prompt/tool; human queue; không cho feedback tự phê duyệt quy tắc.</x:v>
      </x:c>
    </x:row>
    <x:row r="21" ht="36" hidden="0" customHeight="1">
      <x:c r="A21" s="11" t="str">
        <x:v>INT29-017</x:v>
      </x:c>
      <x:c r="B21" s="11" t="str">
        <x:v>Order/payment/refund/entitlement/job/report state machines; pháp nhân/country/currency/provider và phí có nguồn trước giá.</x:v>
      </x:c>
      <x:c r="C21" s="11" t="str">
        <x:v>Commerce Lead + Finance + Backend</x:v>
      </x:c>
      <x:c r="D21" s="11" t="str">
        <x:v>V2-GOV-06; V2-JOB-04; V2-JOB-05; V2-JOB-06; V2-JOB-07</x:v>
      </x:c>
      <x:c r="E21" s="11" t="str">
        <x:v>Integer minor units+currency; không tự đổi USD/VND; 23+5 sản phẩm planned, quyền theo capability chứ không mua tuần tự.; Mọi receipt ghi source/candidate/artifact digest, môi trường, lệnh, exit code, số pass/fail/skip và người review; dữ liệu thật không đưa vào fixture.</x:v>
      </x:c>
      <x:c r="F21" s="11" t="str">
        <x:v>Webhook replay/sai amount/currency, paid nhưng no consent, refund sau fulfill, partial cancel, duplicate grant phải có test.</x:v>
      </x:c>
      <x:c r="G21" s="11" t="str">
        <x:v>Sandbox-only đến đủ Finance/Legal/provider receipt; reconcile ledger rồi mới replay; no implicit charge.</x:v>
      </x:c>
    </x:row>
    <x:row r="22" ht="48" hidden="0" customHeight="1">
      <x:c r="A22" s="11" t="str">
        <x:v>INT29-018</x:v>
      </x:c>
      <x:c r="B22" s="11" t="str">
        <x:v>RC digest/source lock; CI allowlist; migration/RLS actual role; load/cost caps; backup restore+tombstone; rollback drill.</x:v>
      </x:c>
      <x:c r="C22" s="11" t="str">
        <x:v>Release Lead + SRE + Independent Security/QA</x:v>
      </x:c>
      <x:c r="D22" s="11" t="str">
        <x:v>V2-SEC-08; V2-SEC-09; V2-SEC-10; V2-OPS-01; V2-OPS-02; V2-OPS-03; V2-OPS-04; V2-OPS-05</x:v>
      </x:c>
      <x:c r="E22" s="11" t="str">
        <x:v>Mỗi receipt đúng candidate/environment; unit/property/contract/browser HTTP/auth/payment/recovery riêng; independent reviewer.; Mọi receipt ghi source/candidate/artifact digest, môi trường, lệnh, exit code, số pass/fail/skip và người review; dữ liệu thật không đưa vào fixture.</x:v>
      </x:c>
      <x:c r="F22" s="11" t="str">
        <x:v>Dirty deploy, ZIP/docs/SQL trong public artifact, bypass RLS, lost queue/entitlement, restore resurrected delete phải HOLD.</x:v>
      </x:c>
      <x:c r="G22" s="11" t="str">
        <x:v>Không chạy deploy trong work order chuẩn bị; staging execution cần scope/operator/window; rollback drill không viết production.</x:v>
      </x:c>
    </x:row>
    <x:row r="23" ht="36" hidden="0" customHeight="1">
      <x:c r="A23" s="11" t="str">
        <x:v>INT29-019</x:v>
      </x:c>
      <x:c r="B23" s="11" t="str">
        <x:v>VN/EU/US/AU/SG bảo toàn; CA/UK research; chín buổi120 phút, certification scope/expiry, grievance và territorial rights.</x:v>
      </x:c>
      <x:c r="C23" s="11" t="str">
        <x:v>Legal/Privacy + Academy + Partnerships</x:v>
      </x:c>
      <x:c r="D23" s="11" t="str">
        <x:v>V2-GOV-05; V2-OPS-07; V2-OPS-08; V3-INT-07; V3-INT-08</x:v>
      </x:c>
      <x:c r="E23" s="11" t="str">
        <x:v>Nguồn luật hiện hành theo từng nước bởi local counsel; license/franchise không cấp quyền hồ sơ toàn cầu.; Mọi receipt ghi source/candidate/artifact digest, môi trường, lệnh, exit code, số pass/fail/skip và người review; dữ liệu thật không đưa vào fixture.</x:v>
      </x:c>
      <x:c r="F23" s="11" t="str">
        <x:v>Ngôn ngữ/IP không tự xác định luật; cross-region unauthorized case; expired certificate và unlicensed instrument phải chặn.</x:v>
      </x:c>
      <x:c r="G23" s="11" t="str">
        <x:v>Giữ thị trường/chuyên gia chưa đủ điều kiện NOT_RELEASED; thu hồi enrollment/access độc lập dữ liệu người dùng.</x:v>
      </x:c>
    </x:row>
    <x:row r="24" ht="36" hidden="0" customHeight="1">
      <x:c r="A24" s="11" t="str">
        <x:v>INT29-020</x:v>
      </x:c>
      <x:c r="B24" s="11" t="str">
        <x:v>Requirement→source→method→API/data→screen/report→work order→test→gate→receipt và uncovered register; pilot adult-self có scope.</x:v>
      </x:c>
      <x:c r="C24" s="11" t="str">
        <x:v>Program Manager + Product + Independent QA</x:v>
      </x:c>
      <x:c r="D24" s="11" t="str">
        <x:v>UPG-PM-001; UPG-PM-002; V2-OPS-06; V3-INT-10</x:v>
      </x:c>
      <x:c r="E24" s="11" t="str">
        <x:v>Không tỷ lệ hoàn thành bằng số tệp/task; đánh giá sản phẩm theo outcome user test, privacy và support; pilot có exit criteria.; Mọi receipt ghi source/candidate/artifact digest, môi trường, lệnh, exit code, số pass/fail/skip và người review; dữ liệu thật không đưa vào fixture.</x:v>
      </x:c>
      <x:c r="F24" s="11" t="str">
        <x:v>Thiếu backward link, orphan task/claim, report green nhưng staging không có, rollback thiếu và thiếu approver phải NO_GO.</x:v>
      </x:c>
      <x:c r="G24" s="11" t="str">
        <x:v>Pilot có kill switch/caps/cohort/incident owner; giữ NOT_RELEASED mọi capability không nằm đúng receipt phê duyệt.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22" hidden="0" customWidth="1"/>
    <x:col min="4" max="4" width="65" hidden="0" customWidth="1"/>
    <x:col min="5" max="5" width="38" hidden="0" customWidth="1"/>
    <x:col min="6" max="6" width="29" hidden="0" customWidth="1"/>
    <x:col min="7" max="7" width="64" hidden="0" customWidth="1"/>
  </x:cols>
  <x:sheetData>
    <x:row r="1" ht="36" customHeight="1">
      <x:c r="A1" s="2" t="str">
        <x:v>45 packet quyết định</x:v>
      </x:c>
      <x:c r="B1" s="2"/>
      <x:c r="C1" s="2"/>
      <x:c r="D1" s="2"/>
      <x:c r="E1" s="2"/>
      <x:c r="F1" s="2"/>
      <x:c r="G1" s="2"/>
    </x:row>
    <x:row r="2" ht="48" customHeight="1">
      <x:c r="A2" s="4" t="str">
        <x:v>Đề xuất chờ người có thẩm quyền. Q1–Q20 giữ nguyên object localr2. Không suy phương án đề xuất là phê duyệt.</x:v>
      </x:c>
      <x:c r="B2" s="4"/>
      <x:c r="C2" s="4"/>
      <x:c r="D2" s="4"/>
      <x:c r="E2" s="4"/>
      <x:c r="F2" s="4"/>
      <x:c r="G2" s="4"/>
    </x:row>
    <x:row r="4" ht="34" customHeight="1">
      <x:c r="A4" s="8" t="str">
        <x:v>ID</x:v>
      </x:c>
      <x:c r="B4" s="8" t="str">
        <x:v>Chủ đề</x:v>
      </x:c>
      <x:c r="C4" s="8" t="str">
        <x:v>Đề xuất</x:v>
      </x:c>
      <x:c r="D4" s="8" t="str">
        <x:v>Lý do</x:v>
      </x:c>
      <x:c r="E4" s="8" t="str">
        <x:v>Vai trò duyệt</x:v>
      </x:c>
      <x:c r="F4" s="8" t="str">
        <x:v>Trạng thái</x:v>
      </x:c>
      <x:c r="G4" s="8" t="str">
        <x:v>Receipt cần có</x:v>
      </x:c>
    </x:row>
    <x:row r="5" ht="36" hidden="0" customHeight="1">
      <x:c r="A5" s="11" t="str">
        <x:v>Q1</x:v>
      </x:c>
      <x:c r="B5" s="11" t="str">
        <x:v>Định vị tự hiểu và thiết kế đời sống</x:v>
      </x:c>
      <x:c r="C5" s="11" t="str">
        <x:v>Q1-A</x:v>
      </x:c>
      <x:c r="D5" s="11" t="str">
        <x:v>It preserves the stated vision while creating a reviewable boundary between reflection and prohibited scientific, medical or deterministic claims.</x:v>
      </x:c>
      <x:c r="E5" s="11" t="str">
        <x:v>Founder; Product Lead; Method Lead; Editorial Lead; Privacy/Legal</x:v>
      </x:c>
      <x:c r="F5" s="11" t="str">
        <x:v>PENDING_FOUNDER</x:v>
      </x:c>
      <x:c r="G5" s="11" t="str">
        <x:v>decision_id; selected_option_id; scope_and_exclusions; conditions; baseline_sha_and_artifact_ids; approver_names_and_roles; decided_at; expiry_or_revisit_event; affected_task_and_gate_updates</x:v>
      </x:c>
    </x:row>
    <x:row r="6" ht="36" hidden="0" customHeight="1">
      <x:c r="A6" s="11" t="str">
        <x:v>Q2</x:v>
      </x:c>
      <x:c r="B6" s="11" t="str">
        <x:v>9 cấp/12 lớp/4 phần/12 trường/K01–20</x:v>
      </x:c>
      <x:c r="C6" s="11" t="str">
        <x:v>Q2-A</x:v>
      </x:c>
      <x:c r="D6" s="11" t="str">
        <x:v>Versioning retains all requested concepts without representing the taxonomy as validated science and gives downstream schemas stable identifiers.</x:v>
      </x:c>
      <x:c r="E6" s="11" t="str">
        <x:v>Founder; Product Lead; Method Lead; Data Architect; AI/Editorial Lead</x:v>
      </x:c>
      <x:c r="F6" s="11" t="str">
        <x:v>PENDING_FOUNDER</x:v>
      </x:c>
      <x:c r="G6" s="11" t="str">
        <x:v>decision_id; selected_option_id; scope_and_exclusions; conditions; baseline_sha_and_artifact_ids; approver_names_and_roles; decided_at; expiry_or_revisit_event; affected_task_and_gate_updates</x:v>
      </x:c>
    </x:row>
    <x:row r="7" ht="36" hidden="0" customHeight="1">
      <x:c r="A7" s="11" t="str">
        <x:v>Q3</x:v>
      </x:c>
      <x:c r="B7" s="11" t="str">
        <x:v>Method độc lập theo nguồn và phiên bản</x:v>
      </x:c>
      <x:c r="C7" s="11" t="str">
        <x:v>Q3-A</x:v>
      </x:c>
      <x:c r="D7" s="11" t="str">
        <x:v>Per-method releases provide the minimum isolation needed for rights, corrections, rollback and level-specific eligibility.</x:v>
      </x:c>
      <x:c r="E7" s="11" t="str">
        <x:v>Founder; Method Council; Data Lead; Legal/Rights Reviewer; QA</x:v>
      </x:c>
      <x:c r="F7" s="11" t="str">
        <x:v>PENDING_FOUNDER</x:v>
      </x:c>
      <x:c r="G7" s="11" t="str">
        <x:v>decision_id; selected_option_id; scope_and_exclusions; conditions; baseline_sha_and_artifact_ids; approver_names_and_roles; decided_at; expiry_or_revisit_event; affected_task_and_gate_updates</x:v>
      </x:c>
    </x:row>
    <x:row r="8" ht="36" hidden="0" customHeight="1">
      <x:c r="A8" s="11" t="str">
        <x:v>Q4</x:v>
      </x:c>
      <x:c r="B8" s="11" t="str">
        <x:v>Entitlement khác quyền và đủ dữ liệu</x:v>
      </x:c>
      <x:c r="C8" s="11" t="str">
        <x:v>Q4-A</x:v>
      </x:c>
      <x:c r="D8" s="11" t="str">
        <x:v>The four-way separation prevents payment or a client flag from becoming authorization and supports precise recovery states.</x:v>
      </x:c>
      <x:c r="E8" s="11" t="str">
        <x:v>Founder; Product Lead; Security Lead; Privacy/Data Owner; Commerce Lead</x:v>
      </x:c>
      <x:c r="F8" s="11" t="str">
        <x:v>PENDING_FOUNDER</x:v>
      </x:c>
      <x:c r="G8" s="11" t="str">
        <x:v>decision_id; selected_option_id; scope_and_exclusions; conditions; baseline_sha_and_artifact_ids; approver_names_and_roles; decided_at; expiry_or_revisit_event; affected_task_and_gate_updates</x:v>
      </x:c>
    </x:row>
    <x:row r="9" ht="36" hidden="0" customHeight="1">
      <x:c r="A9" s="11" t="str">
        <x:v>Q5</x:v>
      </x:c>
      <x:c r="B9" s="11" t="str">
        <x:v>Dừng điểm giả và cho null</x:v>
      </x:c>
      <x:c r="C9" s="11" t="str">
        <x:v>Q5-A</x:v>
      </x:c>
      <x:c r="D9" s="11" t="str">
        <x:v>Typed absence is the only option consistent with the plan's evidence discipline and differentiated report contracts.</x:v>
      </x:c>
      <x:c r="E9" s="11" t="str">
        <x:v>Founder; Data Lead; Method Lead; AI/Editorial Lead; QA</x:v>
      </x:c>
      <x:c r="F9" s="11" t="str">
        <x:v>PENDING_FOUNDER</x:v>
      </x:c>
      <x:c r="G9" s="11" t="str">
        <x:v>decision_id; selected_option_id; scope_and_exclusions; conditions; baseline_sha_and_artifact_ids; approver_names_and_roles; decided_at; expiry_or_revisit_event; affected_task_and_gate_updates</x:v>
      </x:c>
    </x:row>
    <x:row r="10" ht="36" hidden="0" customHeight="1">
      <x:c r="A10" s="11" t="str">
        <x:v>Q6</x:v>
      </x:c>
      <x:c r="B10" s="11" t="str">
        <x:v>Numbers là tham chiếu không đo số phận</x:v>
      </x:c>
      <x:c r="C10" s="11" t="str">
        <x:v>Q6-A</x:v>
      </x:c>
      <x:c r="D10" s="11" t="str">
        <x:v>A bounded reference mode keeps the vision visible without treating symbolic arithmetic as measurement or destiny.</x:v>
      </x:c>
      <x:c r="E10" s="11" t="str">
        <x:v>Founder; Method Lead; Editorial Lead; Privacy/Legal; QA</x:v>
      </x:c>
      <x:c r="F10" s="11" t="str">
        <x:v>PENDING_FOUNDER</x:v>
      </x:c>
      <x:c r="G10" s="11" t="str">
        <x:v>decision_id; selected_option_id; scope_and_exclusions; conditions; baseline_sha_and_artifact_ids; approver_names_and_roles; decided_at; expiry_or_revisit_event; affected_task_and_gate_updates</x:v>
      </x:c>
    </x:row>
    <x:row r="11" ht="36" hidden="0" customHeight="1">
      <x:c r="A11" s="11" t="str">
        <x:v>Q7</x:v>
      </x:c>
      <x:c r="B11" s="11" t="str">
        <x:v>Báo cáo cấu trúc không filler</x:v>
      </x:c>
      <x:c r="C11" s="11" t="str">
        <x:v>Q7-A</x:v>
      </x:c>
      <x:c r="D11" s="11" t="str">
        <x:v>The structured approach is required to avoid filler and to separate deterministic facts, interpretation, uncertainty and action.</x:v>
      </x:c>
      <x:c r="E11" s="11" t="str">
        <x:v>Founder; AI Lead; Editorial Lead; Method Lead; Privacy; QA</x:v>
      </x:c>
      <x:c r="F11" s="11" t="str">
        <x:v>PENDING_FOUNDER</x:v>
      </x:c>
      <x:c r="G11" s="11" t="str">
        <x:v>decision_id; selected_option_id; scope_and_exclusions; conditions; baseline_sha_and_artifact_ids; approver_names_and_roles; decided_at; expiry_or_revisit_event; affected_task_and_gate_updates</x:v>
      </x:c>
    </x:row>
    <x:row r="12" ht="36" hidden="0" customHeight="1">
      <x:c r="A12" s="11" t="str">
        <x:v>Q8</x:v>
      </x:c>
      <x:c r="B12" s="11" t="str">
        <x:v>Dòng sản phẩm mở theo gates</x:v>
      </x:c>
      <x:c r="C12" s="11" t="str">
        <x:v>Q8-A</x:v>
      </x:c>
      <x:c r="D12" s="11" t="str">
        <x:v>Train-by-train release keeps all 23 products without implying that shared platform evidence clears product-specific gates.</x:v>
      </x:c>
      <x:c r="E12" s="11" t="str">
        <x:v>Founder; Product Lead; Release Owner; Privacy/Legal; Security/SRE; QA</x:v>
      </x:c>
      <x:c r="F12" s="11" t="str">
        <x:v>PENDING_FOUNDER</x:v>
      </x:c>
      <x:c r="G12" s="11" t="str">
        <x:v>decision_id; selected_option_id; scope_and_exclusions; conditions; baseline_sha_and_artifact_ids; approver_names_and_roles; decided_at; expiry_or_revisit_event; affected_task_and_gate_updates</x:v>
      </x:c>
    </x:row>
    <x:row r="13" ht="36" hidden="0" customHeight="1">
      <x:c r="A13" s="11" t="str">
        <x:v>Q9</x:v>
      </x:c>
      <x:c r="B13" s="11" t="str">
        <x:v>Privacy, auth, delete từ đầu</x:v>
      </x:c>
      <x:c r="C13" s="11" t="str">
        <x:v>Q9-A</x:v>
      </x:c>
      <x:c r="D13" s="11" t="str">
        <x:v>Personalized life data requires rights and authorization contracts before collection; later retrofit is not a safe migration plan.</x:v>
      </x:c>
      <x:c r="E13" s="11" t="str">
        <x:v>Founder; Privacy/Data Owner; Security Lead; Backend Lead; Legal; QA</x:v>
      </x:c>
      <x:c r="F13" s="11" t="str">
        <x:v>PENDING_FOUNDER</x:v>
      </x:c>
      <x:c r="G13" s="11" t="str">
        <x:v>decision_id; selected_option_id; scope_and_exclusions; conditions; baseline_sha_and_artifact_ids; approver_names_and_roles; decided_at; expiry_or_revisit_event; affected_task_and_gate_updates</x:v>
      </x:c>
    </x:row>
    <x:row r="14" ht="36" hidden="0" customHeight="1">
      <x:c r="A14" s="11" t="str">
        <x:v>Q10</x:v>
      </x:c>
      <x:c r="B14" s="11" t="str">
        <x:v>Tám bộ nền từ source/runtime khóa</x:v>
      </x:c>
      <x:c r="C14" s="11" t="str">
        <x:v>Q10-A</x:v>
      </x:c>
      <x:c r="D14" s="11" t="str">
        <x:v>A pre-transform receipt is necessary to prove all source content was retained and to separate planning artifacts from runtime evidence.</x:v>
      </x:c>
      <x:c r="E14" s="11" t="str">
        <x:v>Founder; Program Lead; Tech Lead; Evidence Reviewer; Release Owner</x:v>
      </x:c>
      <x:c r="F14" s="11" t="str">
        <x:v>PENDING_FOUNDER</x:v>
      </x:c>
      <x:c r="G14" s="11" t="str">
        <x:v>decision_id; selected_option_id; scope_and_exclusions; conditions; baseline_sha_and_artifact_ids; approver_names_and_roles; decided_at; expiry_or_revisit_event; affected_task_and_gate_updates</x:v>
      </x:c>
    </x:row>
    <x:row r="15" ht="36" hidden="0" customHeight="1">
      <x:c r="A15" s="11" t="str">
        <x:v>Q11</x:v>
      </x:c>
      <x:c r="B15" s="11" t="str">
        <x:v>Quarantine experimental_legacy</x:v>
      </x:c>
      <x:c r="C15" s="11" t="str">
        <x:v>Q11-A</x:v>
      </x:c>
      <x:c r="D15" s="11" t="str">
        <x:v>Quarantine balances preservation with containment and makes re-entry depend on a new reviewed release rather than a hidden switch.</x:v>
      </x:c>
      <x:c r="E15" s="11" t="str">
        <x:v>Founder; Tech Lead; Security Lead; Data Owner; Method Lead; QA</x:v>
      </x:c>
      <x:c r="F15" s="11" t="str">
        <x:v>PENDING_FOUNDER</x:v>
      </x:c>
      <x:c r="G15" s="11" t="str">
        <x:v>decision_id; selected_option_id; scope_and_exclusions; conditions; baseline_sha_and_artifact_ids; approver_names_and_roles; decided_at; expiry_or_revisit_event; affected_task_and_gate_updates</x:v>
      </x:c>
    </x:row>
    <x:row r="16" ht="36" hidden="0" customHeight="1">
      <x:c r="A16" s="11" t="str">
        <x:v>Q12</x:v>
      </x:c>
      <x:c r="B16" s="11" t="str">
        <x:v>Passport/rights/tests/limits/approver</x:v>
      </x:c>
      <x:c r="C16" s="11" t="str">
        <x:v>Q12-A</x:v>
      </x:c>
      <x:c r="D16" s="11" t="str">
        <x:v>The hard gate is the only option that supports reproducibility, rights control and precise withdrawal across methods and reports.</x:v>
      </x:c>
      <x:c r="E16" s="11" t="str">
        <x:v>Founder; Method Council; Legal/Rights Reviewer; Data Lead; QA</x:v>
      </x:c>
      <x:c r="F16" s="11" t="str">
        <x:v>PENDING_FOUNDER</x:v>
      </x:c>
      <x:c r="G16" s="11" t="str">
        <x:v>decision_id; selected_option_id; scope_and_exclusions; conditions; baseline_sha_and_artifact_ids; approver_names_and_roles; decided_at; expiry_or_revisit_event; affected_task_and_gate_updates</x:v>
      </x:c>
    </x:row>
    <x:row r="17" ht="36" hidden="0" customHeight="1">
      <x:c r="A17" s="11" t="str">
        <x:v>Q13</x:v>
      </x:c>
      <x:c r="B17" s="11" t="str">
        <x:v>Free Essentials và quota minh bạch</x:v>
      </x:c>
      <x:c r="C17" s="11" t="str">
        <x:v>Q13-A</x:v>
      </x:c>
      <x:c r="D17" s="11" t="str">
        <x:v>A bounded tier preserves free entry while keeping provider and support cost measurable and explaining limits honestly.</x:v>
      </x:c>
      <x:c r="E17" s="11" t="str">
        <x:v>Founder; Product Lead; Commerce/Finance Owner; SRE; Privacy; Support</x:v>
      </x:c>
      <x:c r="F17" s="11" t="str">
        <x:v>PENDING_FOUNDER</x:v>
      </x:c>
      <x:c r="G17" s="11" t="str">
        <x:v>decision_id; selected_option_id; scope_and_exclusions; conditions; baseline_sha_and_artifact_ids; approver_names_and_roles; decided_at; expiry_or_revisit_event; affected_task_and_gate_updates</x:v>
      </x:c>
    </x:row>
    <x:row r="18" ht="36" hidden="0" customHeight="1">
      <x:c r="A18" s="11" t="str">
        <x:v>Q14</x:v>
      </x:c>
      <x:c r="B18" s="11" t="str">
        <x:v>Pháp nhân/merchant/controller</x:v>
      </x:c>
      <x:c r="C18" s="11" t="str">
        <x:v>Q14-C</x:v>
      </x:c>
      <x:c r="D18" s="11" t="str">
        <x:v>No verified entity, merchant or controller decision exists; synthetic planning can continue while commercial and real-data actions remain closed.</x:v>
      </x:c>
      <x:c r="E18" s="11" t="str">
        <x:v>Founder; Legal Counsel; Privacy/Data Owner; Finance/Commerce Owner</x:v>
      </x:c>
      <x:c r="F18" s="11" t="str">
        <x:v>PENDING_FOUNDER</x:v>
      </x:c>
      <x:c r="G18" s="11" t="str">
        <x:v>decision_id; selected_option_id; scope_and_exclusions; conditions; baseline_sha_and_artifact_ids; approver_names_and_roles; decided_at; expiry_or_revisit_event; affected_task_and_gate_updates</x:v>
      </x:c>
    </x:row>
    <x:row r="19" ht="36" hidden="0" customHeight="1">
      <x:c r="A19" s="11" t="str">
        <x:v>Q15</x:v>
      </x:c>
      <x:c r="B19" s="11" t="str">
        <x:v>IdP/PG/payment/AI provider selection</x:v>
      </x:c>
      <x:c r="C19" s="11" t="str">
        <x:v>Q15-A</x:v>
      </x:c>
      <x:c r="D19" s="11" t="str">
        <x:v>Category-specific assessment avoids inventing vendors and makes exit, data location, security and unit cost explicit before commitment.</x:v>
      </x:c>
      <x:c r="E19" s="11" t="str">
        <x:v>Founder; Tech Lead; Security/SRE; Privacy/Legal; Finance/Commerce Owner</x:v>
      </x:c>
      <x:c r="F19" s="11" t="str">
        <x:v>PENDING_FOUNDER</x:v>
      </x:c>
      <x:c r="G19" s="11" t="str">
        <x:v>decision_id; selected_option_id; scope_and_exclusions; conditions; baseline_sha_and_artifact_ids; approver_names_and_roles; decided_at; expiry_or_revisit_event; affected_task_and_gate_updates</x:v>
      </x:c>
    </x:row>
    <x:row r="20" ht="36" hidden="0" customHeight="1">
      <x:c r="A20" s="11" t="str">
        <x:v>Q16</x:v>
      </x:c>
      <x:c r="B20" s="11" t="str">
        <x:v>Autonomy A0–A3 và kill switches</x:v>
      </x:c>
      <x:c r="C20" s="11" t="str">
        <x:v>Q16-A</x:v>
      </x:c>
      <x:c r="D20" s="11" t="str">
        <x:v>Progressive autonomy allows useful low-risk assistance while keeping high-impact or irreversible actions behind explicit evidence and approval.</x:v>
      </x:c>
      <x:c r="E20" s="11" t="str">
        <x:v>Founder; AI Lead; Security/SRE; Privacy; Product Lead; QA</x:v>
      </x:c>
      <x:c r="F20" s="11" t="str">
        <x:v>PENDING_FOUNDER</x:v>
      </x:c>
      <x:c r="G20" s="11" t="str">
        <x:v>decision_id; selected_option_id; scope_and_exclusions; conditions; baseline_sha_and_artifact_ids; approver_names_and_roles; decided_at; expiry_or_revisit_event; affected_task_and_gate_updates</x:v>
      </x:c>
    </x:row>
    <x:row r="21" ht="36" hidden="0" customHeight="1">
      <x:c r="A21" s="11" t="str">
        <x:v>Q17</x:v>
      </x:c>
      <x:c r="B21" s="11" t="str">
        <x:v>Academy/practitioner scope</x:v>
      </x:c>
      <x:c r="C21" s="11" t="str">
        <x:v>Q17-A</x:v>
      </x:c>
      <x:c r="D21" s="11" t="str">
        <x:v>A non-credential pilot preserves the Academy vision while evidence for competence, ethics, supervision and appeals is built.</x:v>
      </x:c>
      <x:c r="E21" s="11" t="str">
        <x:v>Founder; Academic Lead; Method Council; Legal; Privacy; QA</x:v>
      </x:c>
      <x:c r="F21" s="11" t="str">
        <x:v>PENDING_FOUNDER</x:v>
      </x:c>
      <x:c r="G21" s="11" t="str">
        <x:v>decision_id; selected_option_id; scope_and_exclusions; conditions; baseline_sha_and_artifact_ids; approver_names_and_roles; decided_at; expiry_or_revisit_event; affected_task_and_gate_updates</x:v>
      </x:c>
    </x:row>
    <x:row r="22" ht="36" hidden="0" customHeight="1">
      <x:c r="A22" s="11" t="str">
        <x:v>Q18</x:v>
      </x:c>
      <x:c r="B22" s="11" t="str">
        <x:v>Organization privacy boundary</x:v>
      </x:c>
      <x:c r="C22" s="11" t="str">
        <x:v>Q18-A</x:v>
      </x:c>
      <x:c r="D22" s="11" t="str">
        <x:v>Member control, tenant isolation and aggregation thresholds are the minimum viable boundary for an organization offering.</x:v>
      </x:c>
      <x:c r="E22" s="11" t="str">
        <x:v>Founder; Product Lead; Privacy/Data Owner; Security Lead; Legal; Enterprise Support</x:v>
      </x:c>
      <x:c r="F22" s="11" t="str">
        <x:v>PENDING_FOUNDER</x:v>
      </x:c>
      <x:c r="G22" s="11" t="str">
        <x:v>decision_id; selected_option_id; scope_and_exclusions; conditions; baseline_sha_and_artifact_ids; approver_names_and_roles; decided_at; expiry_or_revisit_event; affected_task_and_gate_updates</x:v>
      </x:c>
    </x:row>
    <x:row r="23" ht="36" hidden="0" customHeight="1">
      <x:c r="A23" s="11" t="str">
        <x:v>Q19</x:v>
      </x:c>
      <x:c r="B23" s="11" t="str">
        <x:v>Country pack và license/franchise</x:v>
      </x:c>
      <x:c r="C23" s="11" t="str">
        <x:v>Q19-A</x:v>
      </x:c>
      <x:c r="D23" s="11" t="str">
        <x:v>Sequential country packs keep market-specific evidence and operating capacity reviewable and avoid calling a software license a ready franchise.</x:v>
      </x:c>
      <x:c r="E23" s="11" t="str">
        <x:v>Founder; Global/Partnerships Lead; Legal/Tax; Privacy; Finance; Support/SRE</x:v>
      </x:c>
      <x:c r="F23" s="11" t="str">
        <x:v>PENDING_FOUNDER</x:v>
      </x:c>
      <x:c r="G23" s="11" t="str">
        <x:v>decision_id; selected_option_id; scope_and_exclusions; conditions; baseline_sha_and_artifact_ids; approver_names_and_roles; decided_at; expiry_or_revisit_event; affected_task_and_gate_updates</x:v>
      </x:c>
    </x:row>
    <x:row r="24" ht="36" hidden="0" customHeight="1">
      <x:c r="A24" s="11" t="str">
        <x:v>Q20</x:v>
      </x:c>
      <x:c r="B24" s="11" t="str">
        <x:v>Budget/team/roadmap có điều kiện</x:v>
      </x:c>
      <x:c r="C24" s="11" t="str">
        <x:v>Q20-A</x:v>
      </x:c>
      <x:c r="D24" s="11" t="str">
        <x:v>Stage-gated scenarios match the 452-1,039 person-day range and preserve the longer conditional portfolio horizon without inventing rates or dates.</x:v>
      </x:c>
      <x:c r="E24" s="11" t="str">
        <x:v>Founder; Program Lead; Finance Owner; Product Lead; Tech Lead</x:v>
      </x:c>
      <x:c r="F24" s="11" t="str">
        <x:v>PENDING_FOUNDER</x:v>
      </x:c>
      <x:c r="G24" s="11" t="str">
        <x:v>decision_id; selected_option_id; scope_and_exclusions; conditions; baseline_sha_and_artifact_ids; approver_names_and_roles; decided_at; expiry_or_revisit_event; affected_task_and_gate_updates</x:v>
      </x:c>
    </x:row>
    <x:row r="25" ht="48" hidden="0" customHeight="1">
      <x:c r="A25" s="11" t="str">
        <x:v>Q21</x:v>
      </x:c>
      <x:c r="B25" s="11" t="str">
        <x:v>Bảo toàn 149 tệp gốc bằng overlay và hash</x:v>
      </x:c>
      <x:c r="C25" s="11" t="str">
        <x:v>Q21-A</x:v>
      </x:c>
      <x:c r="D25" s="11" t="str">
        <x:v>Giữ kế hoạch cũ và cập nhật mới trong phạm vi có điều kiện; quyền phát hành phụ thuộc bằng chứng từng capability.</x:v>
      </x:c>
      <x:c r="E25" s="11" t="str">
        <x:v>Founder; Governance; Documentation; Independent QA</x:v>
      </x:c>
      <x:c r="F25" s="11" t="str">
        <x:v>PENDING_FOUNDER_AND_FUNCTIONAL_REVIEW</x:v>
      </x:c>
      <x:c r="G25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26" ht="48" hidden="0" customHeight="1">
      <x:c r="A26" s="11" t="str">
        <x:v>Q22</x:v>
      </x:c>
      <x:c r="B26" s="11" t="str">
        <x:v>16 họ công thức V2 là reference cần admission</x:v>
      </x:c>
      <x:c r="C26" s="11" t="str">
        <x:v>Q22-A</x:v>
      </x:c>
      <x:c r="D26" s="11" t="str">
        <x:v>Giữ kế hoạch cũ và cập nhật mới trong phạm vi có điều kiện; quyền phát hành phụ thuộc bằng chứng từng capability.</x:v>
      </x:c>
      <x:c r="E26" s="11" t="str">
        <x:v>Founder; Method Lead; Rights/Legal; Independent Method QA</x:v>
      </x:c>
      <x:c r="F26" s="11" t="str">
        <x:v>PENDING_FOUNDER_AND_FUNCTIONAL_REVIEW</x:v>
      </x:c>
      <x:c r="G26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27" ht="48" hidden="0" customHeight="1">
      <x:c r="A27" s="11" t="str">
        <x:v>Q23</x:v>
      </x:c>
      <x:c r="B27" s="11" t="str">
        <x:v>Canonical digest và dữ liệu có thể nhận dạng</x:v>
      </x:c>
      <x:c r="C27" s="11" t="str">
        <x:v>Q23-A</x:v>
      </x:c>
      <x:c r="D27" s="11" t="str">
        <x:v>Giữ kế hoạch cũ và cập nhật mới trong phạm vi có điều kiện; quyền phát hành phụ thuộc bằng chứng từng capability.</x:v>
      </x:c>
      <x:c r="E27" s="11" t="str">
        <x:v>Founder; Backend Architect; Privacy; Security</x:v>
      </x:c>
      <x:c r="F27" s="11" t="str">
        <x:v>PENDING_FOUNDER_AND_FUNCTIONAL_REVIEW</x:v>
      </x:c>
      <x:c r="G27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28" ht="48" hidden="0" customHeight="1">
      <x:c r="A28" s="11" t="str">
        <x:v>Q24</x:v>
      </x:c>
      <x:c r="B28" s="11" t="str">
        <x:v>Thời gian, timezone, ngày nhuận và giả thuyết</x:v>
      </x:c>
      <x:c r="C28" s="11" t="str">
        <x:v>Q24-A</x:v>
      </x:c>
      <x:c r="D28" s="11" t="str">
        <x:v>Giữ kế hoạch cũ và cập nhật mới trong phạm vi có điều kiện; quyền phát hành phụ thuộc bằng chứng từng capability.</x:v>
      </x:c>
      <x:c r="E28" s="11" t="str">
        <x:v>Founder; Method Lead; Calendar/Timezone Reviewer; Backend QA</x:v>
      </x:c>
      <x:c r="F28" s="11" t="str">
        <x:v>PENDING_FOUNDER_AND_FUNCTIONAL_REVIEW</x:v>
      </x:c>
      <x:c r="G28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29" ht="48" hidden="0" customHeight="1">
      <x:c r="A29" s="11" t="str">
        <x:v>Q25</x:v>
      </x:c>
      <x:c r="B29" s="11" t="str">
        <x:v>Demo local và API nghiệp vụ đích là hai lớp bằng chứng</x:v>
      </x:c>
      <x:c r="C29" s="11" t="str">
        <x:v>Q25-A</x:v>
      </x:c>
      <x:c r="D29" s="11" t="str">
        <x:v>Giữ kế hoạch cũ và cập nhật mới trong phạm vi có điều kiện; quyền phát hành phụ thuộc bằng chứng từng capability.</x:v>
      </x:c>
      <x:c r="E29" s="11" t="str">
        <x:v>Founder; Tech Lead; API QA; Security</x:v>
      </x:c>
      <x:c r="F29" s="11" t="str">
        <x:v>PENDING_FOUNDER_AND_FUNCTIONAL_REVIEW</x:v>
      </x:c>
      <x:c r="G29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0" ht="48" hidden="0" customHeight="1">
      <x:c r="A30" s="11" t="str">
        <x:v>Q26</x:v>
      </x:c>
      <x:c r="B30" s="11" t="str">
        <x:v>144 câu hỏi đồng nhịp là khung suy ngẫm</x:v>
      </x:c>
      <x:c r="C30" s="11" t="str">
        <x:v>Q26-A</x:v>
      </x:c>
      <x:c r="D30" s="11" t="str">
        <x:v>Giữ kế hoạch cũ và cập nhật mới trong phạm vi có điều kiện; quyền phát hành phụ thuộc bằng chứng từng capability.</x:v>
      </x:c>
      <x:c r="E30" s="11" t="str">
        <x:v>Founder; Product; Editorial; Method; Privacy</x:v>
      </x:c>
      <x:c r="F30" s="11" t="str">
        <x:v>PENDING_FOUNDER_AND_FUNCTIONAL_REVIEW</x:v>
      </x:c>
      <x:c r="G30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1" ht="48" hidden="0" customHeight="1">
      <x:c r="A31" s="11" t="str">
        <x:v>Q27</x:v>
      </x:c>
      <x:c r="B31" s="11" t="str">
        <x:v>Preview thiếu dữ liệu cho chín level</x:v>
      </x:c>
      <x:c r="C31" s="11" t="str">
        <x:v>Q27-A</x:v>
      </x:c>
      <x:c r="D31" s="11" t="str">
        <x:v>Giữ kế hoạch cũ và cập nhật mới trong phạm vi có điều kiện; quyền phát hành phụ thuộc bằng chứng từng capability.</x:v>
      </x:c>
      <x:c r="E31" s="11" t="str">
        <x:v>Founder; Editorial Lead; Product; Method QA</x:v>
      </x:c>
      <x:c r="F31" s="11" t="str">
        <x:v>PENDING_FOUNDER_AND_FUNCTIONAL_REVIEW</x:v>
      </x:c>
      <x:c r="G31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2" ht="48" hidden="0" customHeight="1">
      <x:c r="A32" s="11" t="str">
        <x:v>Q28</x:v>
      </x:c>
      <x:c r="B32" s="11" t="str">
        <x:v>Responsive mobile, PWA và offline trước native</x:v>
      </x:c>
      <x:c r="C32" s="11" t="str">
        <x:v>Q28-A</x:v>
      </x:c>
      <x:c r="D32" s="11" t="str">
        <x:v>Giữ kế hoạch cũ và cập nhật mới trong phạm vi có điều kiện; quyền phát hành phụ thuộc bằng chứng từng capability.</x:v>
      </x:c>
      <x:c r="E32" s="11" t="str">
        <x:v>Founder; Product UX; Frontend; Privacy; Accessibility QA</x:v>
      </x:c>
      <x:c r="F32" s="11" t="str">
        <x:v>PENDING_FOUNDER_AND_FUNCTIONAL_REVIEW</x:v>
      </x:c>
      <x:c r="G32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3" ht="48" hidden="0" customHeight="1">
      <x:c r="A33" s="11" t="str">
        <x:v>Q29</x:v>
      </x:c>
      <x:c r="B33" s="11" t="str">
        <x:v>Contract review, migration và RLS staging thực</x:v>
      </x:c>
      <x:c r="C33" s="11" t="str">
        <x:v>Q29-A</x:v>
      </x:c>
      <x:c r="D33" s="11" t="str">
        <x:v>Giữ kế hoạch cũ và cập nhật mới trong phạm vi có điều kiện; quyền phát hành phụ thuộc bằng chứng từng capability.</x:v>
      </x:c>
      <x:c r="E33" s="11" t="str">
        <x:v>Founder; Backend Architect; Security; Data/Release QA</x:v>
      </x:c>
      <x:c r="F33" s="11" t="str">
        <x:v>PENDING_FOUNDER_AND_FUNCTIONAL_REVIEW</x:v>
      </x:c>
      <x:c r="G33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4" ht="48" hidden="0" customHeight="1">
      <x:c r="A34" s="11" t="str">
        <x:v>Q30</x:v>
      </x:c>
      <x:c r="B34" s="11" t="str">
        <x:v>Nhập add-only trên nhánh review phù hợp</x:v>
      </x:c>
      <x:c r="C34" s="11" t="str">
        <x:v>Q30-A</x:v>
      </x:c>
      <x:c r="D34" s="11" t="str">
        <x:v>Giữ kế hoạch cũ và cập nhật mới trong phạm vi có điều kiện; quyền phát hành phụ thuộc bằng chứng từng capability.</x:v>
      </x:c>
      <x:c r="E34" s="11" t="str">
        <x:v>Founder; Tech Lead; Repository Maintainer; Independent QA</x:v>
      </x:c>
      <x:c r="F34" s="11" t="str">
        <x:v>PENDING_FOUNDER_AND_FUNCTIONAL_REVIEW</x:v>
      </x:c>
      <x:c r="G34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5" ht="48" hidden="0" customHeight="1">
      <x:c r="A35" s="11" t="str">
        <x:v>Q31</x:v>
      </x:c>
      <x:c r="B35" s="11" t="str">
        <x:v>Manifest authority và thứ tự hiệu lực V3</x:v>
      </x:c>
      <x:c r="C35" s="11" t="str">
        <x:v>Q31-A</x:v>
      </x:c>
      <x:c r="D35" s="11" t="str">
        <x:v>Giữ kế hoạch cũ và cập nhật mới trong phạm vi có điều kiện; quyền phát hành phụ thuộc bằng chứng từng capability.</x:v>
      </x:c>
      <x:c r="E35" s="11" t="str">
        <x:v>Founder; Program Manager; Tech Lead; Founder; Independent QA</x:v>
      </x:c>
      <x:c r="F35" s="11" t="str">
        <x:v>PENDING_FOUNDER_AND_FUNCTIONAL_REVIEW</x:v>
      </x:c>
      <x:c r="G35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6" ht="48" hidden="0" customHeight="1">
      <x:c r="A36" s="11" t="str">
        <x:v>Q32</x:v>
      </x:c>
      <x:c r="B36" s="11" t="str">
        <x:v>23 chỉ số và chính sách tên, Y, reduction</x:v>
      </x:c>
      <x:c r="C36" s="11" t="str">
        <x:v>Q32-A</x:v>
      </x:c>
      <x:c r="D36" s="11" t="str">
        <x:v>Giữ kế hoạch cũ và cập nhật mới trong phạm vi có điều kiện; quyền phát hành phụ thuộc bằng chứng từng capability.</x:v>
      </x:c>
      <x:c r="E36" s="11" t="str">
        <x:v>Founder; Method Lead; Native Numerology Reviewer; Independent QA</x:v>
      </x:c>
      <x:c r="F36" s="11" t="str">
        <x:v>PENDING_FOUNDER_AND_FUNCTIONAL_REVIEW</x:v>
      </x:c>
      <x:c r="G36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7" ht="48" hidden="0" customHeight="1">
      <x:c r="A37" s="11" t="str">
        <x:v>Q33</x:v>
      </x:c>
      <x:c r="B37" s="11" t="str">
        <x:v>Bát Cực strict và diagnostic 0/5</x:v>
      </x:c>
      <x:c r="C37" s="11" t="str">
        <x:v>Q33-A</x:v>
      </x:c>
      <x:c r="D37" s="11" t="str">
        <x:v>Giữ kế hoạch cũ và cập nhật mới trong phạm vi có điều kiện; quyền phát hành phụ thuộc bằng chứng từng capability.</x:v>
      </x:c>
      <x:c r="E37" s="11" t="str">
        <x:v>Founder; Method Lead; Native Reviewer; Rights/Legal</x:v>
      </x:c>
      <x:c r="F37" s="11" t="str">
        <x:v>PENDING_FOUNDER_AND_FUNCTIONAL_REVIEW</x:v>
      </x:c>
      <x:c r="G37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8" ht="48" hidden="0" customHeight="1">
      <x:c r="A38" s="11" t="str">
        <x:v>Q34</x:v>
      </x:c>
      <x:c r="B38" s="11" t="str">
        <x:v>Tách symbolic calculation và quan sát đời thực</x:v>
      </x:c>
      <x:c r="C38" s="11" t="str">
        <x:v>Q34-A</x:v>
      </x:c>
      <x:c r="D38" s="11" t="str">
        <x:v>Giữ kế hoạch cũ và cập nhật mới trong phạm vi có điều kiện; quyền phát hành phụ thuộc bằng chứng từng capability.</x:v>
      </x:c>
      <x:c r="E38" s="11" t="str">
        <x:v>Founder; Method Lead; Editorial; Product Research; Privacy</x:v>
      </x:c>
      <x:c r="F38" s="11" t="str">
        <x:v>PENDING_FOUNDER_AND_FUNCTIONAL_REVIEW</x:v>
      </x:c>
      <x:c r="G38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39" ht="48" hidden="0" customHeight="1">
      <x:c r="A39" s="11" t="str">
        <x:v>Q35</x:v>
      </x:c>
      <x:c r="B39" s="11" t="str">
        <x:v>Đuôi 80: quyền bảng nguồn và zero policy</x:v>
      </x:c>
      <x:c r="C39" s="11" t="str">
        <x:v>Q35-A</x:v>
      </x:c>
      <x:c r="D39" s="11" t="str">
        <x:v>Giữ kế hoạch cũ và cập nhật mới trong phạm vi có điều kiện; quyền phát hành phụ thuộc bằng chứng từng capability.</x:v>
      </x:c>
      <x:c r="E39" s="11" t="str">
        <x:v>Founder; Method Lead; Source/Rights Reviewer; QA</x:v>
      </x:c>
      <x:c r="F39" s="11" t="str">
        <x:v>PENDING_FOUNDER_AND_FUNCTIONAL_REVIEW</x:v>
      </x:c>
      <x:c r="G39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0" ht="48" hidden="0" customHeight="1">
      <x:c r="A40" s="11" t="str">
        <x:v>Q36</x:v>
      </x:c>
      <x:c r="B40" s="11" t="str">
        <x:v>Psychomatrix 17 ô/trục chỉ là quy ước đếm</x:v>
      </x:c>
      <x:c r="C40" s="11" t="str">
        <x:v>Q36-A</x:v>
      </x:c>
      <x:c r="D40" s="11" t="str">
        <x:v>Giữ kế hoạch cũ và cập nhật mới trong phạm vi có điều kiện; quyền phát hành phụ thuộc bằng chứng từng capability.</x:v>
      </x:c>
      <x:c r="E40" s="11" t="str">
        <x:v>Founder; Method Lead; Source Reviewer; Privacy</x:v>
      </x:c>
      <x:c r="F40" s="11" t="str">
        <x:v>PENDING_FOUNDER_AND_FUNCTIONAL_REVIEW</x:v>
      </x:c>
      <x:c r="G40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1" ht="48" hidden="0" customHeight="1">
      <x:c r="A41" s="11" t="str">
        <x:v>Q37</x:v>
      </x:c>
      <x:c r="B41" s="11" t="str">
        <x:v>18 lĩnh vực và chín giai đoạn có thể tùy chỉnh</x:v>
      </x:c>
      <x:c r="C41" s="11" t="str">
        <x:v>Q37-A</x:v>
      </x:c>
      <x:c r="D41" s="11" t="str">
        <x:v>Giữ kế hoạch cũ và cập nhật mới trong phạm vi có điều kiện; quyền phát hành phụ thuộc bằng chứng từng capability.</x:v>
      </x:c>
      <x:c r="E41" s="11" t="str">
        <x:v>Founder; Product; Editorial; Privacy; User Research</x:v>
      </x:c>
      <x:c r="F41" s="11" t="str">
        <x:v>PENDING_FOUNDER_AND_FUNCTIONAL_REVIEW</x:v>
      </x:c>
      <x:c r="G41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2" ht="48" hidden="0" customHeight="1">
      <x:c r="A42" s="11" t="str">
        <x:v>Q38</x:v>
      </x:c>
      <x:c r="B42" s="11" t="str">
        <x:v>Pinnacle, Challenge, Period có boundary riêng</x:v>
      </x:c>
      <x:c r="C42" s="11" t="str">
        <x:v>Q38-A</x:v>
      </x:c>
      <x:c r="D42" s="11" t="str">
        <x:v>Giữ kế hoạch cũ và cập nhật mới trong phạm vi có điều kiện; quyền phát hành phụ thuộc bằng chứng từng capability.</x:v>
      </x:c>
      <x:c r="E42" s="11" t="str">
        <x:v>Founder; Method Lead; Independent Method QA</x:v>
      </x:c>
      <x:c r="F42" s="11" t="str">
        <x:v>PENDING_FOUNDER_AND_FUNCTIONAL_REVIEW</x:v>
      </x:c>
      <x:c r="G42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3" ht="48" hidden="0" customHeight="1">
      <x:c r="A43" s="11" t="str">
        <x:v>Q39</x:v>
      </x:c>
      <x:c r="B43" s="11" t="str">
        <x:v>Một profile, nhiều workspace và purpose grant</x:v>
      </x:c>
      <x:c r="C43" s="11" t="str">
        <x:v>Q39-A</x:v>
      </x:c>
      <x:c r="D43" s="11" t="str">
        <x:v>Giữ kế hoạch cũ và cập nhật mới trong phạm vi có điều kiện; quyền phát hành phụ thuộc bằng chứng từng capability.</x:v>
      </x:c>
      <x:c r="E43" s="11" t="str">
        <x:v>Founder; Privacy; Backend Security; Product</x:v>
      </x:c>
      <x:c r="F43" s="11" t="str">
        <x:v>PENDING_FOUNDER_AND_FUNCTIONAL_REVIEW</x:v>
      </x:c>
      <x:c r="G43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4" ht="48" hidden="0" customHeight="1">
      <x:c r="A44" s="11" t="str">
        <x:v>Q40</x:v>
      </x:c>
      <x:c r="B44" s="11" t="str">
        <x:v>23 sản phẩm cũ và năm mới ở trạng thái planned</x:v>
      </x:c>
      <x:c r="C44" s="11" t="str">
        <x:v>Q40-A</x:v>
      </x:c>
      <x:c r="D44" s="11" t="str">
        <x:v>Giữ kế hoạch cũ và cập nhật mới trong phạm vi có điều kiện; quyền phát hành phụ thuộc bằng chứng từng capability.</x:v>
      </x:c>
      <x:c r="E44" s="11" t="str">
        <x:v>Founder; Founder; Product; Finance; Legal</x:v>
      </x:c>
      <x:c r="F44" s="11" t="str">
        <x:v>PENDING_FOUNDER_AND_FUNCTIONAL_REVIEW</x:v>
      </x:c>
      <x:c r="G44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5" ht="48" hidden="0" customHeight="1">
      <x:c r="A45" s="11" t="str">
        <x:v>Q41</x:v>
      </x:c>
      <x:c r="B45" s="11" t="str">
        <x:v>Bốn khối báo cáo, chín level và snapshot bất biến</x:v>
      </x:c>
      <x:c r="C45" s="11" t="str">
        <x:v>Q41-A</x:v>
      </x:c>
      <x:c r="D45" s="11" t="str">
        <x:v>Giữ kế hoạch cũ và cập nhật mới trong phạm vi có điều kiện; quyền phát hành phụ thuộc bằng chứng từng capability.</x:v>
      </x:c>
      <x:c r="E45" s="11" t="str">
        <x:v>Founder; Editorial Lead; Method; Report/Accessibility QA</x:v>
      </x:c>
      <x:c r="F45" s="11" t="str">
        <x:v>PENDING_FOUNDER_AND_FUNCTIONAL_REVIEW</x:v>
      </x:c>
      <x:c r="G45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6" ht="48" hidden="0" customHeight="1">
      <x:c r="A46" s="11" t="str">
        <x:v>Q42</x:v>
      </x:c>
      <x:c r="B46" s="11" t="str">
        <x:v>Academy chín buổi120 phút và certificate có phạm vi</x:v>
      </x:c>
      <x:c r="C46" s="11" t="str">
        <x:v>Q42-A</x:v>
      </x:c>
      <x:c r="D46" s="11" t="str">
        <x:v>Giữ kế hoạch cũ và cập nhật mới trong phạm vi có điều kiện; quyền phát hành phụ thuộc bằng chứng từng capability.</x:v>
      </x:c>
      <x:c r="E46" s="11" t="str">
        <x:v>Founder; Academy Lead; Method; Legal; Independent Assessor</x:v>
      </x:c>
      <x:c r="F46" s="11" t="str">
        <x:v>PENDING_FOUNDER_AND_FUNCTIONAL_REVIEW</x:v>
      </x:c>
      <x:c r="G46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7" ht="48" hidden="0" customHeight="1">
      <x:c r="A47" s="11" t="str">
        <x:v>Q43</x:v>
      </x:c>
      <x:c r="B47" s="11" t="str">
        <x:v>Phát hành và cấp phép theo lãnh thổ</x:v>
      </x:c>
      <x:c r="C47" s="11" t="str">
        <x:v>Q43-A</x:v>
      </x:c>
      <x:c r="D47" s="11" t="str">
        <x:v>Giữ kế hoạch cũ và cập nhật mới trong phạm vi có điều kiện; quyền phát hành phụ thuộc bằng chứng từng capability.</x:v>
      </x:c>
      <x:c r="E47" s="11" t="str">
        <x:v>Founder; Local Legal Counsel; Privacy; Finance; Partnerships</x:v>
      </x:c>
      <x:c r="F47" s="11" t="str">
        <x:v>PENDING_FOUNDER_AND_FUNCTIONAL_REVIEW</x:v>
      </x:c>
      <x:c r="G47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8" ht="48" hidden="0" customHeight="1">
      <x:c r="A48" s="11" t="str">
        <x:v>Q44</x:v>
      </x:c>
      <x:c r="B48" s="11" t="str">
        <x:v>AI A0–A3, chi phí, ngoại lệ và human release</x:v>
      </x:c>
      <x:c r="C48" s="11" t="str">
        <x:v>Q44-A</x:v>
      </x:c>
      <x:c r="D48" s="11" t="str">
        <x:v>Giữ kế hoạch cũ và cập nhật mới trong phạm vi có điều kiện; quyền phát hành phụ thuộc bằng chứng từng capability.</x:v>
      </x:c>
      <x:c r="E48" s="11" t="str">
        <x:v>Founder; AI Lead; Security; Finance; Editorial/Release Authority</x:v>
      </x:c>
      <x:c r="F48" s="11" t="str">
        <x:v>PENDING_FOUNDER_AND_FUNCTIONAL_REVIEW</x:v>
      </x:c>
      <x:c r="G48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  <x:row r="49" ht="48" hidden="0" customHeight="1">
      <x:c r="A49" s="11" t="str">
        <x:v>Q45</x:v>
      </x:c>
      <x:c r="B49" s="11" t="str">
        <x:v>Nhập V3 bổ sung và bàn giao phát hành riêng</x:v>
      </x:c>
      <x:c r="C49" s="11" t="str">
        <x:v>Q45-A</x:v>
      </x:c>
      <x:c r="D49" s="11" t="str">
        <x:v>Giữ kế hoạch cũ và cập nhật mới trong phạm vi có điều kiện; quyền phát hành phụ thuộc bằng chứng từng capability.</x:v>
      </x:c>
      <x:c r="E49" s="11" t="str">
        <x:v>Founder; Tech Lead; Repository Maintainer; Release Authority; Independent QA</x:v>
      </x:c>
      <x:c r="F49" s="11" t="str">
        <x:v>PENDING_FOUNDER_AND_FUNCTIONAL_REVIEW</x:v>
      </x:c>
      <x:c r="G49" s="11" t="str">
        <x:v>decision_id; selected_option_id; scope_and_exclusions; conditions; source_bundle_digest; candidate_full_sha_and_artifact_digest; approver_names_and_roles; decided_at; expiry_or_revisit_event; affected_task_and_gate_updates; rights_schema_cohort_and_budget_constraints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40" hidden="0" customWidth="1"/>
    <x:col min="4" max="4" width="60" hidden="0" customWidth="1"/>
    <x:col min="5" max="5" width="64" hidden="0" customWidth="1"/>
    <x:col min="6" max="6" width="58" hidden="0" customWidth="1"/>
    <x:col min="7" max="7" width="24" hidden="0" customWidth="1"/>
  </x:cols>
  <x:sheetData>
    <x:row r="1" ht="36" customHeight="1">
      <x:c r="A1" s="2" t="str">
        <x:v>62 adapter phương pháp</x:v>
      </x:c>
      <x:c r="B1" s="2"/>
      <x:c r="C1" s="2"/>
      <x:c r="D1" s="2"/>
      <x:c r="E1" s="2"/>
      <x:c r="F1" s="2"/>
      <x:c r="G1" s="2"/>
    </x:row>
    <x:row r="2" ht="48" customHeight="1">
      <x:c r="A2" s="4" t="str">
        <x:v>11 cờ reference trong nguồn chỉ xác nhận phạm vi entrypoint ghi rõ. Production release chưa được chứng minh. Trước code đọc exact source/rules/rights/golden cases.</x:v>
      </x:c>
      <x:c r="B2" s="4"/>
      <x:c r="C2" s="4"/>
      <x:c r="D2" s="4"/>
      <x:c r="E2" s="4"/>
      <x:c r="F2" s="4"/>
      <x:c r="G2" s="4"/>
    </x:row>
    <x:row r="4" ht="34" customHeight="1">
      <x:c r="A4" s="8" t="str">
        <x:v>ID</x:v>
      </x:c>
      <x:c r="B4" s="8" t="str">
        <x:v>Họ</x:v>
      </x:c>
      <x:c r="C4" s="8" t="str">
        <x:v>Tên phương pháp</x:v>
      </x:c>
      <x:c r="D4" s="8" t="str">
        <x:v>Đầu vào / nguồn</x:v>
      </x:c>
      <x:c r="E4" s="8" t="str">
        <x:v>Điều kiện nghiệm thu</x:v>
      </x:c>
      <x:c r="F4" s="8" t="str">
        <x:v>Reference phạm vi</x:v>
      </x:c>
      <x:c r="G4" s="8" t="str">
        <x:v>Release</x:v>
      </x:c>
    </x:row>
    <x:row r="5" ht="15" hidden="0" customHeight="1">
      <x:c r="A5" s="11" t="str">
        <x:v>CAL-CIVIL</x:v>
      </x:c>
      <x:c r="B5" s="11" t="str">
        <x:v>K01</x:v>
      </x:c>
      <x:c r="C5" s="11" t="str">
        <x:v>Lịch và múi giờ</x:v>
      </x:c>
      <x:c r="D5" s="11" t="str">
        <x:v>Ngày gốc, lịch, tọa độ, sai số, tzdb</x:v>
      </x:c>
      <x:c r="E5" s="11" t="str">
        <x:v>Lưu UTC candidates; golden DST gap/fold và biên ngày</x:v>
      </x:c>
      <x:c r="F5" s="11" t="str">
        <x:v>UTC candidate demo and age calendar only; full calendar/ephemeris adapter pending</x:v>
      </x:c>
      <x:c r="G5" s="11" t="str">
        <x:v>NOT_RELEASED</x:v>
      </x:c>
    </x:row>
    <x:row r="6" ht="15" hidden="0" customHeight="1">
      <x:c r="A6" s="11" t="str">
        <x:v>CAL-TERMS</x:v>
      </x:c>
      <x:c r="B6" s="11" t="str">
        <x:v>K01</x:v>
      </x:c>
      <x:c r="C6" s="11" t="str">
        <x:v>24 tiết khí</x:v>
      </x:c>
      <x:c r="D6" s="11" t="str">
        <x:v>Ephemeris có quyền, kinh độ Mặt Trời, timescale</x:v>
      </x:c>
      <x:c r="E6" s="11" t="str">
        <x:v>So ít nhất 3 nguồn lịch tại sát giao tiết; không dùng ngày cố định</x:v>
      </x:c>
      <x:c r="F6" s="11" t="str">
        <x:v>Research/specification inventory; no executable adapter established by this package</x:v>
      </x:c>
      <x:c r="G6" s="11" t="str">
        <x:v>NOT_RELEASED</x:v>
      </x:c>
    </x:row>
    <x:row r="7" ht="15" hidden="0" customHeight="1">
      <x:c r="A7" s="11" t="str">
        <x:v>CAL-LUNAR</x:v>
      </x:c>
      <x:c r="B7" s="11" t="str">
        <x:v>K01</x:v>
      </x:c>
      <x:c r="C7" s="11" t="str">
        <x:v>Âm–dương lịch</x:v>
      </x:c>
      <x:c r="D7" s="11" t="str">
        <x:v>Ngày sóc, múi giờ, tháng nhuận, vùng lịch</x:v>
      </x:c>
      <x:c r="E7" s="11" t="str">
        <x:v>Lunar leap-month roundtrip; giữ lịch gốc</x:v>
      </x:c>
      <x:c r="F7" s="11" t="str">
        <x:v>Research/specification inventory; no executable adapter established by this package</x:v>
      </x:c>
      <x:c r="G7" s="11" t="str">
        <x:v>NOT_RELEASED</x:v>
      </x:c>
    </x:row>
    <x:row r="8" ht="15" hidden="0" customHeight="1">
      <x:c r="A8" s="11" t="str">
        <x:v>BAZI-PILLARS</x:v>
      </x:c>
      <x:c r="B8" s="11" t="str">
        <x:v>K02</x:v>
      </x:c>
      <x:c r="C8" s="11" t="str">
        <x:v>Bốn trụ</x:v>
      </x:c>
      <x:c r="D8" s="11" t="str">
        <x:v>Tiết khí, ranh giới ngày, giờ, true-solar policy</x:v>
      </x:c>
      <x:c r="E8" s="11" t="str">
        <x:v>So nhật trụ, giờ Tý và trước/sau Lập xuân; thiếu giờ trả 3 trụ</x:v>
      </x:c>
      <x:c r="F8" s="11" t="str">
        <x:v>Research/specification inventory; no executable adapter established by this package</x:v>
      </x:c>
      <x:c r="G8" s="11" t="str">
        <x:v>NOT_RELEASED</x:v>
      </x:c>
    </x:row>
    <x:row r="9" ht="15" hidden="0" customHeight="1">
      <x:c r="A9" s="11" t="str">
        <x:v>BAZI-RELATIONS</x:v>
      </x:c>
      <x:c r="B9" s="11" t="str">
        <x:v>K02</x:v>
      </x:c>
      <x:c r="C9" s="11" t="str">
        <x:v>Tàng can, thập thần, quan hệ</x:v>
      </x:c>
      <x:c r="D9" s="11" t="str">
        <x:v>Bảng tàng can/version, nhật chủ, âm dương</x:v>
      </x:c>
      <x:c r="E9" s="11" t="str">
        <x:v>Kiểm đủ tổ hợp; không biến sinh khắc thành bệnh</x:v>
      </x:c>
      <x:c r="F9" s="11" t="str">
        <x:v>Research/specification inventory; no executable adapter established by this package</x:v>
      </x:c>
      <x:c r="G9" s="11" t="str">
        <x:v>NOT_RELEASED</x:v>
      </x:c>
    </x:row>
    <x:row r="10" ht="15" hidden="0" customHeight="1">
      <x:c r="A10" s="11" t="str">
        <x:v>BAZI-LUCK</x:v>
      </x:c>
      <x:c r="B10" s="11" t="str">
        <x:v>K02</x:v>
      </x:c>
      <x:c r="C10" s="11" t="str">
        <x:v>Khởi vận và đại vận</x:v>
      </x:c>
      <x:c r="D10" s="11" t="str">
        <x:v>Trường phái chiều vận, mốc tiết, quy đổi tuổi</x:v>
      </x:c>
      <x:c r="E10" s="11" t="str">
        <x:v>Lưu từng biến thể và sai số; không trộn dụng thần các trường phái</x:v>
      </x:c>
      <x:c r="F10" s="11" t="str">
        <x:v>Research/specification inventory; no executable adapter established by this package</x:v>
      </x:c>
      <x:c r="G10" s="11" t="str">
        <x:v>NOT_RELEASED</x:v>
      </x:c>
    </x:row>
    <x:row r="11" ht="15" hidden="0" customHeight="1">
      <x:c r="A11" s="11" t="str">
        <x:v>ZIWEI-CHART</x:v>
      </x:c>
      <x:c r="B11" s="11" t="str">
        <x:v>K03</x:v>
      </x:c>
      <x:c r="C11" s="11" t="str">
        <x:v>An cung và sao</x:v>
      </x:c>
      <x:c r="D11" s="11" t="str">
        <x:v>Âm lịch, tháng nhuận, giờ, bảng sao</x:v>
      </x:c>
      <x:c r="E11" s="11" t="str">
        <x:v>Golden nhiều giới hạn lịch; không tự gán giới tính từ tên</x:v>
      </x:c>
      <x:c r="F11" s="11" t="str">
        <x:v>Research/specification inventory; no executable adapter established by this package</x:v>
      </x:c>
      <x:c r="G11" s="11" t="str">
        <x:v>NOT_RELEASED</x:v>
      </x:c>
    </x:row>
    <x:row r="12" ht="15" hidden="0" customHeight="1">
      <x:c r="A12" s="11" t="str">
        <x:v>ZIWEI-TRANSFORM</x:v>
      </x:c>
      <x:c r="B12" s="11" t="str">
        <x:v>K03</x:v>
      </x:c>
      <x:c r="C12" s="11" t="str">
        <x:v>Tứ hóa và hạn</x:v>
      </x:c>
      <x:c r="D12" s="11" t="str">
        <x:v>Bảng thiên can/tứ hóa riêng, tuổi mụ/dương</x:v>
      </x:c>
      <x:c r="E12" s="11" t="str">
        <x:v>So phương án tuổi; không dự báo hôn nhân từ cung</x:v>
      </x:c>
      <x:c r="F12" s="11" t="str">
        <x:v>Research/specification inventory; no executable adapter established by this package</x:v>
      </x:c>
      <x:c r="G12" s="11" t="str">
        <x:v>NOT_RELEASED</x:v>
      </x:c>
    </x:row>
    <x:row r="13" ht="15" hidden="0" customHeight="1">
      <x:c r="A13" s="11" t="str">
        <x:v>HELAC-IRON</x:v>
      </x:c>
      <x:c r="B13" s="11" t="str">
        <x:v>K03</x:v>
      </x:c>
      <x:c r="C13" s="11" t="str">
        <x:v>Hà Lạc/Thiết Bản</x:v>
      </x:c>
      <x:c r="D13" s="11" t="str">
        <x:v>Đúng văn bản và cách sinh điều văn</x:v>
      </x:c>
      <x:c r="E13" s="11" t="str">
        <x:v>Tách chỉ mục văn bản khỏi dữ kiện cá nhân</x:v>
      </x:c>
      <x:c r="F13" s="11" t="str">
        <x:v>Research/specification inventory; no executable adapter established by this package</x:v>
      </x:c>
      <x:c r="G13" s="11" t="str">
        <x:v>NOT_RELEASED</x:v>
      </x:c>
    </x:row>
    <x:row r="14" ht="15" hidden="0" customHeight="1">
      <x:c r="A14" s="11" t="str">
        <x:v>ICHING-LINES</x:v>
      </x:c>
      <x:c r="B14" s="11" t="str">
        <x:v>K04</x:v>
      </x:c>
      <x:c r="C14" s="11" t="str">
        <x:v>Sáu hào và quẻ biến</x:v>
      </x:c>
      <x:c r="D14" s="11" t="str">
        <x:v>Sáu bit dưới lên, hào động</x:v>
      </x:c>
      <x:c r="E14" s="11" t="str">
        <x:v>64×64 biến đổi, bảo toàn hướng bit</x:v>
      </x:c>
      <x:c r="F14" s="11" t="str">
        <x:v>Six-bit transform only; binary index is not King Wen numbering</x:v>
      </x:c>
      <x:c r="G14" s="11" t="str">
        <x:v>NOT_RELEASED</x:v>
      </x:c>
    </x:row>
    <x:row r="15" ht="15" hidden="0" customHeight="1">
      <x:c r="A15" s="11" t="str">
        <x:v>ICHING-TEXT</x:v>
      </x:c>
      <x:c r="B15" s="11" t="str">
        <x:v>K04</x:v>
      </x:c>
      <x:c r="C15" s="11" t="str">
        <x:v>Quẻ/hào và văn bản</x:v>
      </x:c>
      <x:c r="D15" s="11" t="str">
        <x:v>Bản dịch có quyền, edition/page</x:v>
      </x:c>
      <x:c r="E15" s="11" t="str">
        <x:v>Tra đoạn được phép; không sao chép toàn sách</x:v>
      </x:c>
      <x:c r="F15" s="11" t="str">
        <x:v>Research/specification inventory; no executable adapter established by this package</x:v>
      </x:c>
      <x:c r="G15" s="11" t="str">
        <x:v>NOT_RELEASED</x:v>
      </x:c>
    </x:row>
    <x:row r="16" ht="15" hidden="0" customHeight="1">
      <x:c r="A16" s="11" t="str">
        <x:v>LIUYAO-MAIHOA</x:v>
      </x:c>
      <x:c r="B16" s="11" t="str">
        <x:v>K04</x:v>
      </x:c>
      <x:c r="C16" s="11" t="str">
        <x:v>Lục Hào/Mai Hoa</x:v>
      </x:c>
      <x:c r="D16" s="11" t="str">
        <x:v>Câu hỏi, cách lấy quẻ, nạp giáp, thể–dụng</x:v>
      </x:c>
      <x:c r="E16" s="11" t="str">
        <x:v>Tách từng module; cùng câu hỏi khác cách lấy không bị ghi đè</x:v>
      </x:c>
      <x:c r="F16" s="11" t="str">
        <x:v>Research/specification inventory; no executable adapter established by this package</x:v>
      </x:c>
      <x:c r="G16" s="11" t="str">
        <x:v>NOT_RELEASED</x:v>
      </x:c>
    </x:row>
    <x:row r="17" ht="15" hidden="0" customHeight="1">
      <x:c r="A17" s="11" t="str">
        <x:v>QIMEN</x:v>
      </x:c>
      <x:c r="B17" s="11" t="str">
        <x:v>K05</x:v>
      </x:c>
      <x:c r="C17" s="11" t="str">
        <x:v>Kỳ Môn</x:v>
      </x:c>
      <x:c r="D17" s="11" t="str">
        <x:v>Lập cục, âm/dương độn, tiết, bản phái</x:v>
      </x:c>
      <x:c r="E17" s="11" t="str">
        <x:v>Mẫu bàn độc lập duyệt trước code</x:v>
      </x:c>
      <x:c r="F17" s="11" t="str">
        <x:v>Research/specification inventory; no executable adapter established by this package</x:v>
      </x:c>
      <x:c r="G17" s="11" t="str">
        <x:v>NOT_RELEASED</x:v>
      </x:c>
    </x:row>
    <x:row r="18" ht="15" hidden="0" customHeight="1">
      <x:c r="A18" s="11" t="str">
        <x:v>LIUREN</x:v>
      </x:c>
      <x:c r="B18" s="11" t="str">
        <x:v>K05</x:v>
      </x:c>
      <x:c r="C18" s="11" t="str">
        <x:v>Đại Lục Nhâm</x:v>
      </x:c>
      <x:c r="D18" s="11" t="str">
        <x:v>Ngày giờ, nguyệt tướng, tứ khóa tam truyền</x:v>
      </x:c>
      <x:c r="E18" s="11" t="str">
        <x:v>Nguồn chính và golden exceptions</x:v>
      </x:c>
      <x:c r="F18" s="11" t="str">
        <x:v>Research/specification inventory; no executable adapter established by this package</x:v>
      </x:c>
      <x:c r="G18" s="11" t="str">
        <x:v>NOT_RELEASED</x:v>
      </x:c>
    </x:row>
    <x:row r="19" ht="15" hidden="0" customHeight="1">
      <x:c r="A19" s="11" t="str">
        <x:v>TAIYI</x:v>
      </x:c>
      <x:c r="B19" s="11" t="str">
        <x:v>K05</x:v>
      </x:c>
      <x:c r="C19" s="11" t="str">
        <x:v>Thái Ất</x:v>
      </x:c>
      <x:c r="D19" s="11" t="str">
        <x:v>Kỷ nguyên, tích niên, trường phái</x:v>
      </x:c>
      <x:c r="E19" s="11" t="str">
        <x:v>Chưa có nguồn đủ: không sinh bàn giả</x:v>
      </x:c>
      <x:c r="F19" s="11" t="str">
        <x:v>Research/specification inventory; no executable adapter established by this package</x:v>
      </x:c>
      <x:c r="G19" s="11" t="str">
        <x:v>NOT_RELEASED</x:v>
      </x:c>
    </x:row>
    <x:row r="20" ht="15" hidden="0" customHeight="1">
      <x:c r="A20" s="11" t="str">
        <x:v>FENGSHUI</x:v>
      </x:c>
      <x:c r="B20" s="11" t="str">
        <x:v>K06</x:v>
      </x:c>
      <x:c r="C20" s="11" t="str">
        <x:v>Phong thủy không gian</x:v>
      </x:c>
      <x:c r="D20" s="11" t="str">
        <x:v>Mặt bằng, độ đo, hướng sai số, thời điểm sửa</x:v>
      </x:c>
      <x:c r="E20" s="11" t="str">
        <x:v>Tách Bát trạch, phi tinh, hình thế; quyền ảnh vị trí</x:v>
      </x:c>
      <x:c r="F20" s="11" t="str">
        <x:v>Research/specification inventory; no executable adapter established by this package</x:v>
      </x:c>
      <x:c r="G20" s="11" t="str">
        <x:v>NOT_RELEASED</x:v>
      </x:c>
    </x:row>
    <x:row r="21" ht="15" hidden="0" customHeight="1">
      <x:c r="A21" s="11" t="str">
        <x:v>VASTU</x:v>
      </x:c>
      <x:c r="B21" s="11" t="str">
        <x:v>K06</x:v>
      </x:c>
      <x:c r="C21" s="11" t="str">
        <x:v>Vastu</x:v>
      </x:c>
      <x:c r="D21" s="11" t="str">
        <x:v>Nguồn, mặt bằng, phương vị</x:v>
      </x:c>
      <x:c r="E21" s="11" t="str">
        <x:v>Nguồn ngôn ngữ gốc; không tuyên bố chữa bệnh</x:v>
      </x:c>
      <x:c r="F21" s="11" t="str">
        <x:v>Research/specification inventory; no executable adapter established by this package</x:v>
      </x:c>
      <x:c r="G21" s="11" t="str">
        <x:v>NOT_RELEASED</x:v>
      </x:c>
    </x:row>
    <x:row r="22" ht="15" hidden="0" customHeight="1">
      <x:c r="A22" s="11" t="str">
        <x:v>PLACE-OBSERVE</x:v>
      </x:c>
      <x:c r="B22" s="11" t="str">
        <x:v>K06</x:v>
      </x:c>
      <x:c r="C22" s="11" t="str">
        <x:v>Không gian thực tế</x:v>
      </x:c>
      <x:c r="D22" s="11" t="str">
        <x:v>Ánh sáng, tiếng ồn, tiện ích, đi lại tự khai</x:v>
      </x:c>
      <x:c r="E22" s="11" t="str">
        <x:v>Đơn vị, nguồn đo, nguy cơ vị trí riêng tư</x:v>
      </x:c>
      <x:c r="F22" s="11" t="str">
        <x:v>Research/specification inventory; no executable adapter established by this package</x:v>
      </x:c>
      <x:c r="G22" s="11" t="str">
        <x:v>NOT_RELEASED</x:v>
      </x:c>
    </x:row>
    <x:row r="23" ht="15" hidden="0" customHeight="1">
      <x:c r="A23" s="11" t="str">
        <x:v>JYOTISH</x:v>
      </x:c>
      <x:c r="B23" s="11" t="str">
        <x:v>K07</x:v>
      </x:c>
      <x:c r="C23" s="11" t="str">
        <x:v>Jyotish lá số</x:v>
      </x:c>
      <x:c r="D23" s="11" t="str">
        <x:v>Ephemeris, ayanamsa, nhà, varga, quyền nguồn</x:v>
      </x:c>
      <x:c r="E23" s="11" t="str">
        <x:v>Ayanamsa có version; không tự trộn tropical/sidereal</x:v>
      </x:c>
      <x:c r="F23" s="11" t="str">
        <x:v>Research/specification inventory; no executable adapter established by this package</x:v>
      </x:c>
      <x:c r="G23" s="11" t="str">
        <x:v>NOT_RELEASED</x:v>
      </x:c>
    </x:row>
    <x:row r="24" ht="15" hidden="0" customHeight="1">
      <x:c r="A24" s="11" t="str">
        <x:v>DASHA</x:v>
      </x:c>
      <x:c r="B24" s="11" t="str">
        <x:v>K07</x:v>
      </x:c>
      <x:c r="C24" s="11" t="str">
        <x:v>Daśā và quá cảnh</x:v>
      </x:c>
      <x:c r="D24" s="11" t="str">
        <x:v>Nakshatra, rule period, lịch</x:v>
      </x:c>
      <x:c r="E24" s="11" t="str">
        <x:v>Biên thời gian, timezone, phép cộng độ dài</x:v>
      </x:c>
      <x:c r="F24" s="11" t="str">
        <x:v>Research/specification inventory; no executable adapter established by this package</x:v>
      </x:c>
      <x:c r="G24" s="11" t="str">
        <x:v>NOT_RELEASED</x:v>
      </x:c>
    </x:row>
    <x:row r="25" ht="15" hidden="0" customHeight="1">
      <x:c r="A25" s="11" t="str">
        <x:v>NADI</x:v>
      </x:c>
      <x:c r="B25" s="11" t="str">
        <x:v>K07</x:v>
      </x:c>
      <x:c r="C25" s="11" t="str">
        <x:v>Nadi văn bản</x:v>
      </x:c>
      <x:c r="D25" s="11" t="str">
        <x:v>Bản thảo hợp pháp, transcription, dịch thuật</x:v>
      </x:c>
      <x:c r="E25" s="11" t="str">
        <x:v>Không tạo lá Nadi giả cho một người; nguồn toàn văn còn thiếu</x:v>
      </x:c>
      <x:c r="F25" s="11" t="str">
        <x:v>Research/specification inventory; no executable adapter established by this package</x:v>
      </x:c>
      <x:c r="G25" s="11" t="str">
        <x:v>NOT_RELEASED</x:v>
      </x:c>
    </x:row>
    <x:row r="26" ht="15" hidden="0" customHeight="1">
      <x:c r="A26" s="11" t="str">
        <x:v>ASTRO-EPHEMERIS</x:v>
      </x:c>
      <x:c r="B26" s="11" t="str">
        <x:v>K08</x:v>
      </x:c>
      <x:c r="C26" s="11" t="str">
        <x:v>Thiên thể và hệ nhà</x:v>
      </x:c>
      <x:c r="D26" s="11" t="str">
        <x:v>Engine có license, timescale, tọa độ</x:v>
      </x:c>
      <x:c r="E26" s="11" t="str">
        <x:v>Polar edge case; bản quyền thương mại riêng</x:v>
      </x:c>
      <x:c r="F26" s="11" t="str">
        <x:v>Research/specification inventory; no executable adapter established by this package</x:v>
      </x:c>
      <x:c r="G26" s="11" t="str">
        <x:v>NOT_RELEASED</x:v>
      </x:c>
    </x:row>
    <x:row r="27" ht="15" hidden="0" customHeight="1">
      <x:c r="A27" s="11" t="str">
        <x:v>ASTRO-CYCLES</x:v>
      </x:c>
      <x:c r="B27" s="11" t="str">
        <x:v>K08</x:v>
      </x:c>
      <x:c r="C27" s="11" t="str">
        <x:v>Quá cảnh/tiến triển</x:v>
      </x:c>
      <x:c r="D27" s="11" t="str">
        <x:v>Reference chart và method</x:v>
      </x:c>
      <x:c r="E27" s="11" t="str">
        <x:v>Giữ kỹ thuật thiên văn và diễn giải riêng</x:v>
      </x:c>
      <x:c r="F27" s="11" t="str">
        <x:v>Research/specification inventory; no executable adapter established by this package</x:v>
      </x:c>
      <x:c r="G27" s="11" t="str">
        <x:v>NOT_RELEASED</x:v>
      </x:c>
    </x:row>
    <x:row r="28" ht="15" hidden="0" customHeight="1">
      <x:c r="A28" s="11" t="str">
        <x:v>ASTRO-HISTORICAL</x:v>
      </x:c>
      <x:c r="B28" s="11" t="str">
        <x:v>K08</x:v>
      </x:c>
      <x:c r="C28" s="11" t="str">
        <x:v>Hy Lạp/Latin/Ả Rập</x:v>
      </x:c>
      <x:c r="D28" s="11" t="str">
        <x:v>Bản văn gốc, bản dịch và chú giải</x:v>
      </x:c>
      <x:c r="E28" s="11" t="str">
        <x:v>Ghi mức đọc, không giả đã đọc mọi ngôn ngữ</x:v>
      </x:c>
      <x:c r="F28" s="11" t="str">
        <x:v>Research/specification inventory; no executable adapter established by this package</x:v>
      </x:c>
      <x:c r="G28" s="11" t="str">
        <x:v>NOT_RELEASED</x:v>
      </x:c>
    </x:row>
    <x:row r="29" ht="15" hidden="0" customHeight="1">
      <x:c r="A29" s="11" t="str">
        <x:v>REGIONAL-ASIAN</x:v>
      </x:c>
      <x:c r="B29" s="11" t="str">
        <x:v>K09</x:v>
      </x:c>
      <x:c r="C29" s="11" t="str">
        <x:v>Saju, Shichū Suimei, Tây Tạng</x:v>
      </x:c>
      <x:c r="D29" s="11" t="str">
        <x:v>Chuyên gia bản địa, lịch và ngôn ngữ</x:v>
      </x:c>
      <x:c r="E29" s="11" t="str">
        <x:v>Không mặc nhiên dùng engine Bazi cho mọi nhánh</x:v>
      </x:c>
      <x:c r="F29" s="11" t="str">
        <x:v>Research/specification inventory; no executable adapter established by this package</x:v>
      </x:c>
      <x:c r="G29" s="11" t="str">
        <x:v>NOT_RELEASED</x:v>
      </x:c>
    </x:row>
    <x:row r="30" ht="15" hidden="0" customHeight="1">
      <x:c r="A30" s="11" t="str">
        <x:v>REGIONAL-SEA</x:v>
      </x:c>
      <x:c r="B30" s="11" t="str">
        <x:v>K09</x:v>
      </x:c>
      <x:c r="C30" s="11" t="str">
        <x:v>Thái, Myanmar, Weton/Pawukon</x:v>
      </x:c>
      <x:c r="D30" s="11" t="str">
        <x:v>Cách tính ngày vùng và truyền thống</x:v>
      </x:c>
      <x:c r="E30" s="11" t="str">
        <x:v>Golden từ người thực hành có nguồn</x:v>
      </x:c>
      <x:c r="F30" s="11" t="str">
        <x:v>Research/specification inventory; no executable adapter established by this package</x:v>
      </x:c>
      <x:c r="G30" s="11" t="str">
        <x:v>NOT_RELEASED</x:v>
      </x:c>
    </x:row>
    <x:row r="31" ht="15" hidden="0" customHeight="1">
      <x:c r="A31" s="11" t="str">
        <x:v>MAYA</x:v>
      </x:c>
      <x:c r="B31" s="11" t="str">
        <x:v>K09</x:v>
      </x:c>
      <x:c r="C31" s="11" t="str">
        <x:v>Lịch Maya</x:v>
      </x:c>
      <x:c r="D31" s="11" t="str">
        <x:v>Hệ lịch và correlation rõ</x:v>
      </x:c>
      <x:c r="E31" s="11" t="str">
        <x:v>Không nhập hệ hiện đại dưới nhãn lịch cổ</x:v>
      </x:c>
      <x:c r="F31" s="11" t="str">
        <x:v>Research/specification inventory; no executable adapter established by this package</x:v>
      </x:c>
      <x:c r="G31" s="11" t="str">
        <x:v>NOT_RELEASED</x:v>
      </x:c>
    </x:row>
    <x:row r="32" ht="15" hidden="0" customHeight="1">
      <x:c r="A32" s="11" t="str">
        <x:v>NUM23</x:v>
      </x:c>
      <x:c r="B32" s="11" t="str">
        <x:v>K10</x:v>
      </x:c>
      <x:c r="C32" s="11" t="str">
        <x:v>23 chỉ số số–tên</x:v>
      </x:c>
      <x:c r="D32" s="11" t="str">
        <x:v>Ngày, tên, chính sách Y, variant</x:v>
      </x:c>
      <x:c r="E32" s="11" t="str">
        <x:v>Reference V3 có code; source+review trước release</x:v>
      </x:c>
      <x:c r="F32" s="11" t="str">
        <x:v>23 configured components; unavailable fields remain null</x:v>
      </x:c>
      <x:c r="G32" s="11" t="str">
        <x:v>NOT_RELEASED</x:v>
      </x:c>
    </x:row>
    <x:row r="33" ht="15" hidden="0" customHeight="1">
      <x:c r="A33" s="11" t="str">
        <x:v>PSYCHO17</x:v>
      </x:c>
      <x:c r="B33" s="11" t="str">
        <x:v>K10</x:v>
      </x:c>
      <x:c r="C33" s="11" t="str">
        <x:v>Psychomatrix 17 vị trí</x:v>
      </x:c>
      <x:c r="D33" s="11" t="str">
        <x:v>Raw hoặc bốn số phụ, leading-zero policy</x:v>
      </x:c>
      <x:c r="E33" s="11" t="str">
        <x:v>Không suy sức khỏe, trí nhớ hoặc thân mật</x:v>
      </x:c>
      <x:c r="F33" s="11" t="str">
        <x:v>Raw and four-working-number variants distinct; no trait inference</x:v>
      </x:c>
      <x:c r="G33" s="11" t="str">
        <x:v>NOT_RELEASED</x:v>
      </x:c>
    </x:row>
    <x:row r="34" ht="15" hidden="0" customHeight="1">
      <x:c r="A34" s="11" t="str">
        <x:v>NUM-LIFE-CYCLES</x:v>
      </x:c>
      <x:c r="B34" s="11" t="str">
        <x:v>K10</x:v>
      </x:c>
      <x:c r="C34" s="11" t="str">
        <x:v>Chu kỳ, đỉnh cao và thử thách</x:v>
      </x:c>
      <x:c r="D34" s="11" t="str">
        <x:v>Boundary và reduction độc lập</x:v>
      </x:c>
      <x:c r="E34" s="11" t="str">
        <x:v>Không dùng cùng band cho mọi phương pháp</x:v>
      </x:c>
      <x:c r="F34" s="11" t="str">
        <x:v>Pinnacles, challenges and periods use independent boundary policies</x:v>
      </x:c>
      <x:c r="G34" s="11" t="str">
        <x:v>NOT_RELEASED</x:v>
      </x:c>
    </x:row>
    <x:row r="35" ht="15" hidden="0" customHeight="1">
      <x:c r="A35" s="11" t="str">
        <x:v>LETTER-NONLATIN</x:v>
      </x:c>
      <x:c r="B35" s="11" t="str">
        <x:v>K10</x:v>
      </x:c>
      <x:c r="C35" s="11" t="str">
        <x:v>Gematria/Abjad/Isopsephy</x:v>
      </x:c>
      <x:c r="D35" s="11" t="str">
        <x:v>Script, bảng chữ, final-form, phiên âm</x:v>
      </x:c>
      <x:c r="E35" s="11" t="str">
        <x:v>Adapter riêng cho từng hệ; quyền nguồn</x:v>
      </x:c>
      <x:c r="F35" s="11" t="str">
        <x:v>Research/specification inventory; no executable adapter established by this package</x:v>
      </x:c>
      <x:c r="G35" s="11" t="str">
        <x:v>NOT_RELEASED</x:v>
      </x:c>
    </x:row>
    <x:row r="36" ht="15" hidden="0" customHeight="1">
      <x:c r="A36" s="11" t="str">
        <x:v>BCLC64</x:v>
      </x:c>
      <x:c r="B36" s="11" t="str">
        <x:v>K11</x:v>
      </x:c>
      <x:c r="C36" s="11" t="str">
        <x:v>Bát Cực 64 cặp</x:v>
      </x:c>
      <x:c r="D36" s="11" t="str">
        <x:v>Chuỗi canonical, context</x:v>
      </x:c>
      <x:c r="E36" s="11" t="str">
        <x:v>Giữ 0/5 unresolved ở strict mode</x:v>
      </x:c>
      <x:c r="F36" s="11" t="str">
        <x:v>64 strict adjacent pairs; unknown 0/5 pairs preserved</x:v>
      </x:c>
      <x:c r="G36" s="11" t="str">
        <x:v>NOT_RELEASED</x:v>
      </x:c>
    </x:row>
    <x:row r="37" ht="15" hidden="0" customHeight="1">
      <x:c r="A37" s="11" t="str">
        <x:v>BCLC-MODIFIERS</x:v>
      </x:c>
      <x:c r="B37" s="11" t="str">
        <x:v>K11</x:v>
      </x:c>
      <x:c r="C37" s="11" t="str">
        <x:v>Số 0 và 5</x:v>
      </x:c>
      <x:c r="D37" s="11" t="str">
        <x:v>Bảng rule có edition/examples</x:v>
      </x:c>
      <x:c r="E37" s="11" t="str">
        <x:v>Diagnostic single bridge có code; intensity không bịa</x:v>
      </x:c>
      <x:c r="F37" s="11" t="str">
        <x:v>Only diagnostic single 0/5 bridge; no full traditional intensity/changing-effects engine</x:v>
      </x:c>
      <x:c r="G37" s="11" t="str">
        <x:v>NOT_RELEASED</x:v>
      </x:c>
    </x:row>
    <x:row r="38" ht="24" hidden="0" customHeight="1">
      <x:c r="A38" s="11" t="str">
        <x:v>BCLC-COMBINATION</x:v>
      </x:c>
      <x:c r="B38" s="11" t="str">
        <x:v>K11</x:v>
      </x:c>
      <x:c r="C38" s="11" t="str">
        <x:v>Tổ hợp và chế hóa</x:v>
      </x:c>
      <x:c r="D38" s="11" t="str">
        <x:v>Chuỗi, thứ bậc, context gốc</x:v>
      </x:c>
      <x:c r="E38" s="11" t="str">
        <x:v>64 câu hỏi HNH mới không thay cổ quy tắc chưa đọc</x:v>
      </x:c>
      <x:c r="F38" s="11" t="str">
        <x:v>Transition counting plus 64 original HNH editorial questions; traditional combinations pending</x:v>
      </x:c>
      <x:c r="G38" s="11" t="str">
        <x:v>NOT_RELEASED</x:v>
      </x:c>
    </x:row>
    <x:row r="39" ht="15" hidden="0" customHeight="1">
      <x:c r="A39" s="11" t="str">
        <x:v>TAIL80</x:v>
      </x:c>
      <x:c r="B39" s="11" t="str">
        <x:v>K11</x:v>
      </x:c>
      <x:c r="C39" s="11" t="str">
        <x:v>Mã đuôi 80</x:v>
      </x:c>
      <x:c r="D39" s="11" t="str">
        <x:v>Bốn chữ số, zero-policy, tableversion</x:v>
      </x:c>
      <x:c r="E39" s="11" t="str">
        <x:v>10.000 cases; labels không thành điểm người</x:v>
      </x:c>
      <x:c r="F39" s="11" t="str">
        <x:v>Exact remainder only; table release/rights and zero policy still require review</x:v>
      </x:c>
      <x:c r="G39" s="11" t="str">
        <x:v>NOT_RELEASED</x:v>
      </x:c>
    </x:row>
    <x:row r="40" ht="15" hidden="0" customHeight="1">
      <x:c r="A40" s="11" t="str">
        <x:v>NUMBER-CONTEXT</x:v>
      </x:c>
      <x:c r="B40" s="11" t="str">
        <x:v>K11</x:v>
      </x:c>
      <x:c r="C40" s="11" t="str">
        <x:v>SIM/serial/biển/địa chỉ</x:v>
      </x:c>
      <x:c r="D40" s="11" t="str">
        <x:v>Quy tắc chuỗi theo loại</x:v>
      </x:c>
      <x:c r="E40" s="11" t="str">
        <x:v>Giữ zero; không nhận mật khẩu; định danh chỉ suffix</x:v>
      </x:c>
      <x:c r="F40" s="11" t="str">
        <x:v>VN phone/generic/identifier_suffix4 contexts; no full identity numbers or passwords</x:v>
      </x:c>
      <x:c r="G40" s="11" t="str">
        <x:v>NOT_RELEASED</x:v>
      </x:c>
    </x:row>
    <x:row r="41" ht="15" hidden="0" customHeight="1">
      <x:c r="A41" s="11" t="str">
        <x:v>NAME-UNICODE</x:v>
      </x:c>
      <x:c r="B41" s="11" t="str">
        <x:v>K12</x:v>
      </x:c>
      <x:c r="C41" s="11" t="str">
        <x:v>Tên và Unicode</x:v>
      </x:c>
      <x:c r="D41" s="11" t="str">
        <x:v>Tên nguyên văn, locale, cách đọc</x:v>
      </x:c>
      <x:c r="E41" s="11" t="str">
        <x:v>NFC+derivative; giữ punctuation policy</x:v>
      </x:c>
      <x:c r="F41" s="11" t="str">
        <x:v>Original NFC/NFD name trace plus derived Latin; unsupported scripts fail closed</x:v>
      </x:c>
      <x:c r="G41" s="11" t="str">
        <x:v>NOT_RELEASED</x:v>
      </x:c>
    </x:row>
    <x:row r="42" ht="15" hidden="0" customHeight="1">
      <x:c r="A42" s="11" t="str">
        <x:v>NAME-SEMANTICS</x:v>
      </x:c>
      <x:c r="B42" s="11" t="str">
        <x:v>K12</x:v>
      </x:c>
      <x:c r="C42" s="11" t="str">
        <x:v>Ngữ nghĩa tên</x:v>
      </x:c>
      <x:c r="D42" s="11" t="str">
        <x:v>Chữ gốc hoặc lời gia đình; từ điển quyền</x:v>
      </x:c>
      <x:c r="E42" s="11" t="str">
        <x:v>Đa nghĩa trả nhiều khả năng, không đoán chữ Hán</x:v>
      </x:c>
      <x:c r="F42" s="11" t="str">
        <x:v>Research/specification inventory; no executable adapter established by this package</x:v>
      </x:c>
      <x:c r="G42" s="11" t="str">
        <x:v>NOT_RELEASED</x:v>
      </x:c>
    </x:row>
    <x:row r="43" ht="15" hidden="0" customHeight="1">
      <x:c r="A43" s="11" t="str">
        <x:v>NAME-BRAND</x:v>
      </x:c>
      <x:c r="B43" s="11" t="str">
        <x:v>K12</x:v>
      </x:c>
      <x:c r="C43" s="11" t="str">
        <x:v>Tên thường dùng/doanh nghiệp</x:v>
      </x:c>
      <x:c r="D43" s="11" t="str">
        <x:v>Tên pháp lý, publicname, lịch sử đổi</x:v>
      </x:c>
      <x:c r="E43" s="11" t="str">
        <x:v>Không tư vấn thương hiệu/pháp lý chỉ dựa số</x:v>
      </x:c>
      <x:c r="F43" s="11" t="str">
        <x:v>Research/specification inventory; no executable adapter established by this package</x:v>
      </x:c>
      <x:c r="G43" s="11" t="str">
        <x:v>NOT_RELEASED</x:v>
      </x:c>
    </x:row>
    <x:row r="44" ht="15" hidden="0" customHeight="1">
      <x:c r="A44" s="11" t="str">
        <x:v>HAND</x:v>
      </x:c>
      <x:c r="B44" s="11" t="str">
        <x:v>K13</x:v>
      </x:c>
      <x:c r="C44" s="11" t="str">
        <x:v>Bàn tay</x:v>
      </x:c>
      <x:c r="D44" s="11" t="str">
        <x:v>Ảnh có quyền, trái/phải, scale</x:v>
      </x:c>
      <x:c r="E44" s="11" t="str">
        <x:v>Mô tả nếp gấp; không tuổi thọ, tài lộc</x:v>
      </x:c>
      <x:c r="F44" s="11" t="str">
        <x:v>Research/specification inventory; no executable adapter established by this package</x:v>
      </x:c>
      <x:c r="G44" s="11" t="str">
        <x:v>NOT_RELEASED</x:v>
      </x:c>
    </x:row>
    <x:row r="45" ht="15" hidden="0" customHeight="1">
      <x:c r="A45" s="11" t="str">
        <x:v>FACE</x:v>
      </x:c>
      <x:c r="B45" s="11" t="str">
        <x:v>K13</x:v>
      </x:c>
      <x:c r="C45" s="11" t="str">
        <x:v>Khuôn mặt</x:v>
      </x:c>
      <x:c r="D45" s="11" t="str">
        <x:v>Ảnh tự cung cấp có quyền, quality</x:v>
      </x:c>
      <x:c r="E45" s="11" t="str">
        <x:v>Không nhận diện hoặc suy tính cách/đạo đức</x:v>
      </x:c>
      <x:c r="F45" s="11" t="str">
        <x:v>Research/specification inventory; no executable adapter established by this package</x:v>
      </x:c>
      <x:c r="G45" s="11" t="str">
        <x:v>NOT_RELEASED</x:v>
      </x:c>
    </x:row>
    <x:row r="46" ht="15" hidden="0" customHeight="1">
      <x:c r="A46" s="11" t="str">
        <x:v>FOOT-VOICE</x:v>
      </x:c>
      <x:c r="B46" s="11" t="str">
        <x:v>K13</x:v>
      </x:c>
      <x:c r="C46" s="11" t="str">
        <x:v>Chân, giọng và dáng</x:v>
      </x:c>
      <x:c r="D46" s="11" t="str">
        <x:v>Đơn vị đo, mục đích, specialist scope</x:v>
      </x:c>
      <x:c r="E46" s="11" t="str">
        <x:v>Không suy nội tạng, di truyền hay hormone</x:v>
      </x:c>
      <x:c r="F46" s="11" t="str">
        <x:v>Research/specification inventory; no executable adapter established by this package</x:v>
      </x:c>
      <x:c r="G46" s="11" t="str">
        <x:v>NOT_RELEASED</x:v>
      </x:c>
    </x:row>
    <x:row r="47" ht="15" hidden="0" customHeight="1">
      <x:c r="A47" s="11" t="str">
        <x:v>TAROT</x:v>
      </x:c>
      <x:c r="B47" s="11" t="str">
        <x:v>K14</x:v>
      </x:c>
      <x:c r="C47" s="11" t="str">
        <x:v>Tarot/Lenormand/Oracle</x:v>
      </x:c>
      <x:c r="D47" s="11" t="str">
        <x:v>Deck license, drawsource, câu hỏi</x:v>
      </x:c>
      <x:c r="E47" s="11" t="str">
        <x:v>Ngẫu nhiên phải ghi ngẫu nhiên; reflection không facts</x:v>
      </x:c>
      <x:c r="F47" s="11" t="str">
        <x:v>Research/specification inventory; no executable adapter established by this package</x:v>
      </x:c>
      <x:c r="G47" s="11" t="str">
        <x:v>NOT_RELEASED</x:v>
      </x:c>
    </x:row>
    <x:row r="48" ht="15" hidden="0" customHeight="1">
      <x:c r="A48" s="11" t="str">
        <x:v>RUNE-GEOMANCY</x:v>
      </x:c>
      <x:c r="B48" s="11" t="str">
        <x:v>K14</x:v>
      </x:c>
      <x:c r="C48" s="11" t="str">
        <x:v>Rune/geomancy</x:v>
      </x:c>
      <x:c r="D48" s="11" t="str">
        <x:v>Nguồn đúng truyền thống</x:v>
      </x:c>
      <x:c r="E48" s="11" t="str">
        <x:v>Đối chiếu hình dấu và dịch thuật</x:v>
      </x:c>
      <x:c r="F48" s="11" t="str">
        <x:v>Research/specification inventory; no executable adapter established by this package</x:v>
      </x:c>
      <x:c r="G48" s="11" t="str">
        <x:v>NOT_RELEASED</x:v>
      </x:c>
    </x:row>
    <x:row r="49" ht="15" hidden="0" customHeight="1">
      <x:c r="A49" s="11" t="str">
        <x:v>IFA-DREAM</x:v>
      </x:c>
      <x:c r="B49" s="11" t="str">
        <x:v>K14</x:v>
      </x:c>
      <x:c r="C49" s="11" t="str">
        <x:v>Ifá và giấc mơ</x:v>
      </x:c>
      <x:c r="D49" s="11" t="str">
        <x:v>Culturalpermission, lời kể chủ thể</x:v>
      </x:c>
      <x:c r="E49" s="11" t="str">
        <x:v>Không gán niềm tin; không copy truyền thống riêng tư</x:v>
      </x:c>
      <x:c r="F49" s="11" t="str">
        <x:v>Research/specification inventory; no executable adapter established by this package</x:v>
      </x:c>
      <x:c r="G49" s="11" t="str">
        <x:v>NOT_RELEASED</x:v>
      </x:c>
    </x:row>
    <x:row r="50" ht="15" hidden="0" customHeight="1">
      <x:c r="A50" s="11" t="str">
        <x:v>HUMAN-DESIGN</x:v>
      </x:c>
      <x:c r="B50" s="11" t="str">
        <x:v>K15</x:v>
      </x:c>
      <x:c r="C50" s="11" t="str">
        <x:v>Human Design</x:v>
      </x:c>
      <x:c r="D50" s="11" t="str">
        <x:v>Quyền công thức/nội dung, birthtime</x:v>
      </x:c>
      <x:c r="E50" s="11" t="str">
        <x:v>Tính toán và licensing chưa giải xong: researchonly</x:v>
      </x:c>
      <x:c r="F50" s="11" t="str">
        <x:v>Research/specification inventory; no executable adapter established by this package</x:v>
      </x:c>
      <x:c r="G50" s="11" t="str">
        <x:v>NOT_RELEASED</x:v>
      </x:c>
    </x:row>
    <x:row r="51" ht="15" hidden="0" customHeight="1">
      <x:c r="A51" s="11" t="str">
        <x:v>GENE-KEYS</x:v>
      </x:c>
      <x:c r="B51" s="11" t="str">
        <x:v>K15</x:v>
      </x:c>
      <x:c r="C51" s="11" t="str">
        <x:v>Gene Keys</x:v>
      </x:c>
      <x:c r="D51" s="11" t="str">
        <x:v>Bản quyền và terminology</x:v>
      </x:c>
      <x:c r="E51" s="11" t="str">
        <x:v>Không gọi là gene xét nghiệm hoặc DNA</x:v>
      </x:c>
      <x:c r="F51" s="11" t="str">
        <x:v>Research/specification inventory; no executable adapter established by this package</x:v>
      </x:c>
      <x:c r="G51" s="11" t="str">
        <x:v>NOT_RELEASED</x:v>
      </x:c>
    </x:row>
    <x:row r="52" ht="15" hidden="0" customHeight="1">
      <x:c r="A52" s="11" t="str">
        <x:v>HNH-REFLECTION</x:v>
      </x:c>
      <x:c r="B52" s="11" t="str">
        <x:v>K16</x:v>
      </x:c>
      <x:c r="C52" s="11" t="str">
        <x:v>Ngữ pháp HNH</x:v>
      </x:c>
      <x:c r="D52" s="11" t="str">
        <x:v>6 quan hệ và câu hỏi nguyên bản</x:v>
      </x:c>
      <x:c r="E52" s="11" t="str">
        <x:v>Counterexample; người dùng có thể không đồng ý</x:v>
      </x:c>
      <x:c r="F52" s="11" t="str">
        <x:v>Research/specification inventory; no executable adapter established by this package</x:v>
      </x:c>
      <x:c r="G52" s="11" t="str">
        <x:v>NOT_RELEASED</x:v>
      </x:c>
    </x:row>
    <x:row r="53" ht="15" hidden="0" customHeight="1">
      <x:c r="A53" s="11" t="str">
        <x:v>CONTEMPLATION</x:v>
      </x:c>
      <x:c r="B53" s="11" t="str">
        <x:v>K16</x:v>
      </x:c>
      <x:c r="C53" s="11" t="str">
        <x:v>Tu tập và thực hành nội tâm</x:v>
      </x:c>
      <x:c r="D53" s="11" t="str">
        <x:v>Sự tự nguyện, truyền thống, phiên bản</x:v>
      </x:c>
      <x:c r="E53" s="11" t="str">
        <x:v>Không ép niềm tin hay thay trị liệu</x:v>
      </x:c>
      <x:c r="F53" s="11" t="str">
        <x:v>Research/specification inventory; no executable adapter established by this package</x:v>
      </x:c>
      <x:c r="G53" s="11" t="str">
        <x:v>NOT_RELEASED</x:v>
      </x:c>
    </x:row>
    <x:row r="54" ht="15" hidden="0" customHeight="1">
      <x:c r="A54" s="11" t="str">
        <x:v>IPIP</x:v>
      </x:c>
      <x:c r="B54" s="11" t="str">
        <x:v>K17</x:v>
      </x:c>
      <x:c r="C54" s="11" t="str">
        <x:v>Nhân cách và bảng hỏi</x:v>
      </x:c>
      <x:c r="D54" s="11" t="str">
        <x:v>Instrument bản gốc, license, dịch thích nghi</x:v>
      </x:c>
      <x:c r="E54" s="11" t="str">
        <x:v>Không gọi câu tự tạo là test chuẩn hóa</x:v>
      </x:c>
      <x:c r="F54" s="11" t="str">
        <x:v>Research/specification inventory; no executable adapter established by this package</x:v>
      </x:c>
      <x:c r="G54" s="11" t="str">
        <x:v>NOT_RELEASED</x:v>
      </x:c>
    </x:row>
    <x:row r="55" ht="15" hidden="0" customHeight="1">
      <x:c r="A55" s="11" t="str">
        <x:v>VALUES-INTEREST</x:v>
      </x:c>
      <x:c r="B55" s="11" t="str">
        <x:v>K17</x:v>
      </x:c>
      <x:c r="C55" s="11" t="str">
        <x:v>Giá trị/hứng thú</x:v>
      </x:c>
      <x:c r="D55" s="11" t="str">
        <x:v>Questionnaire scope, age, context</x:v>
      </x:c>
      <x:c r="E55" s="11" t="str">
        <x:v>Không biến score thành tuyển dụng</x:v>
      </x:c>
      <x:c r="F55" s="11" t="str">
        <x:v>Research/specification inventory; no executable adapter established by this package</x:v>
      </x:c>
      <x:c r="G55" s="11" t="str">
        <x:v>NOT_RELEASED</x:v>
      </x:c>
    </x:row>
    <x:row r="56" ht="15" hidden="0" customHeight="1">
      <x:c r="A56" s="11" t="str">
        <x:v>PSYCHOMETRIC</x:v>
      </x:c>
      <x:c r="B56" s="11" t="str">
        <x:v>K17</x:v>
      </x:c>
      <x:c r="C56" s="11" t="str">
        <x:v>Đánh giá đo lường</x:v>
      </x:c>
      <x:c r="D56" s="11" t="str">
        <x:v>Targetconstruct, itemquality, validation</x:v>
      </x:c>
      <x:c r="E56" s="11" t="str">
        <x:v>Bias, reliability, population; số thiếu không đo thiếu năng lực</x:v>
      </x:c>
      <x:c r="F56" s="11" t="str">
        <x:v>Research/specification inventory; no executable adapter established by this package</x:v>
      </x:c>
      <x:c r="G56" s="11" t="str">
        <x:v>NOT_RELEASED</x:v>
      </x:c>
    </x:row>
    <x:row r="57" ht="15" hidden="0" customHeight="1">
      <x:c r="A57" s="11" t="str">
        <x:v>CAREER</x:v>
      </x:c>
      <x:c r="B57" s="11" t="str">
        <x:v>K18</x:v>
      </x:c>
      <x:c r="C57" s="11" t="str">
        <x:v>Nghề, vai trò và kỹ năng</x:v>
      </x:c>
      <x:c r="D57" s="11" t="str">
        <x:v>Hồ sơ kỹ năng, việc thật, constraints</x:v>
      </x:c>
      <x:c r="E57" s="11" t="str">
        <x:v>Hướng đề xuất dựa dữ liệu thực</x:v>
      </x:c>
      <x:c r="F57" s="11" t="str">
        <x:v>Research/specification inventory; no executable adapter established by this package</x:v>
      </x:c>
      <x:c r="G57" s="11" t="str">
        <x:v>NOT_RELEASED</x:v>
      </x:c>
    </x:row>
    <x:row r="58" ht="15" hidden="0" customHeight="1">
      <x:c r="A58" s="11" t="str">
        <x:v>CASHFLOW</x:v>
      </x:c>
      <x:c r="B58" s="11" t="str">
        <x:v>K18</x:v>
      </x:c>
      <x:c r="C58" s="11" t="str">
        <x:v>Nguồn lực và dòng tiền</x:v>
      </x:c>
      <x:c r="D58" s="11" t="str">
        <x:v>Đơn vị tiền, số nguyên, nguồn giao dịch</x:v>
      </x:c>
      <x:c r="E58" s="11" t="str">
        <x:v>Không cộng ngoại tệ thiếuFX</x:v>
      </x:c>
      <x:c r="F58" s="11" t="str">
        <x:v>BigInt minor-unit arithmetic; no investment advice or currency conversion</x:v>
      </x:c>
      <x:c r="G58" s="11" t="str">
        <x:v>NOT_RELEASED</x:v>
      </x:c>
    </x:row>
    <x:row r="59" ht="15" hidden="0" customHeight="1">
      <x:c r="A59" s="11" t="str">
        <x:v>RELATIONSHIPS</x:v>
      </x:c>
      <x:c r="B59" s="11" t="str">
        <x:v>K18</x:v>
      </x:c>
      <x:c r="C59" s="11" t="str">
        <x:v>Quan hệ nhiều chủ thể</x:v>
      </x:c>
      <x:c r="D59" s="11" t="str">
        <x:v>Consent/grant từng phần, revocation</x:v>
      </x:c>
      <x:c r="E59" s="11" t="str">
        <x:v>Không lộ người thứ hai qua report người thứ nhất</x:v>
      </x:c>
      <x:c r="F59" s="11" t="str">
        <x:v>Research/specification inventory; no executable adapter established by this package</x:v>
      </x:c>
      <x:c r="G59" s="11" t="str">
        <x:v>NOT_RELEASED</x:v>
      </x:c>
    </x:row>
    <x:row r="60" ht="24" hidden="0" customHeight="1">
      <x:c r="A60" s="11" t="str">
        <x:v>RESONANCE</x:v>
      </x:c>
      <x:c r="B60" s="11" t="str">
        <x:v>K19</x:v>
      </x:c>
      <x:c r="C60" s="11" t="str">
        <x:v>12 trường đồng nhịp</x:v>
      </x:c>
      <x:c r="D60" s="11" t="str">
        <x:v>Nhật ký tự khai, bối cảnh</x:v>
      </x:c>
      <x:c r="E60" s="11" t="str">
        <x:v>Không biến correlation thành cause</x:v>
      </x:c>
      <x:c r="F60" s="11" t="str">
        <x:v>Descriptive self-report count/mean/median only; 144 question cells are not measurements</x:v>
      </x:c>
      <x:c r="G60" s="11" t="str">
        <x:v>NOT_RELEASED</x:v>
      </x:c>
    </x:row>
    <x:row r="61" ht="15" hidden="0" customHeight="1">
      <x:c r="A61" s="11" t="str">
        <x:v>NUTRITION-LIFESTYLE</x:v>
      </x:c>
      <x:c r="B61" s="11" t="str">
        <x:v>K19</x:v>
      </x:c>
      <x:c r="C61" s="11" t="str">
        <x:v>Ăn gần nguồn, lịch sinh hoạt</x:v>
      </x:c>
      <x:c r="D61" s="11" t="str">
        <x:v>Dị ứng/bệnh chuyên môn nếu phù hợp</x:v>
      </x:c>
      <x:c r="E61" s="11" t="str">
        <x:v>Không kê chế độ chữa bệnh bằng số</x:v>
      </x:c>
      <x:c r="F61" s="11" t="str">
        <x:v>Research/specification inventory; no executable adapter established by this package</x:v>
      </x:c>
      <x:c r="G61" s="11" t="str">
        <x:v>NOT_RELEASED</x:v>
      </x:c>
    </x:row>
    <x:row r="62" ht="24" hidden="0" customHeight="1">
      <x:c r="A62" s="11" t="str">
        <x:v>LIFE-DESIGN</x:v>
      </x:c>
      <x:c r="B62" s="11" t="str">
        <x:v>K19</x:v>
      </x:c>
      <x:c r="C62" s="11" t="str">
        <x:v>30/90 ngày và chuyển giao</x:v>
      </x:c>
      <x:c r="D62" s="11" t="str">
        <x:v>Mục tiêu, deadline, outcome</x:v>
      </x:c>
      <x:c r="E62" s="11" t="str">
        <x:v>Tự động nhắc theo consent, không tiên đoán</x:v>
      </x:c>
      <x:c r="F62" s="11" t="str">
        <x:v>Calendar/history/planning reference only; full 30/90-day and legacy transfer not implemented</x:v>
      </x:c>
      <x:c r="G62" s="11" t="str">
        <x:v>NOT_RELEASED</x:v>
      </x:c>
    </x:row>
    <x:row r="63" ht="15" hidden="0" customHeight="1">
      <x:c r="A63" s="11" t="str">
        <x:v>LINEAGE</x:v>
      </x:c>
      <x:c r="B63" s="11" t="str">
        <x:v>K20</x:v>
      </x:c>
      <x:c r="C63" s="11" t="str">
        <x:v>Đồ thị nguồn và nhận định</x:v>
      </x:c>
      <x:c r="D63" s="11" t="str">
        <x:v>IDs, versions, digest, purpose</x:v>
      </x:c>
      <x:c r="E63" s="11" t="str">
        <x:v>Không tính nhiều bản từ cùng DOB là độc lập</x:v>
      </x:c>
      <x:c r="F63" s="11" t="str">
        <x:v>DAG/impact/cache context and digests only; claim/source provenance graph pending</x:v>
      </x:c>
      <x:c r="G63" s="11" t="str">
        <x:v>NOT_RELEASED</x:v>
      </x:c>
    </x:row>
    <x:row r="64" ht="15" hidden="0" customHeight="1">
      <x:c r="A64" s="11" t="str">
        <x:v>POLICY</x:v>
      </x:c>
      <x:c r="B64" s="11" t="str">
        <x:v>K20</x:v>
      </x:c>
      <x:c r="C64" s="11" t="str">
        <x:v>Quyền và tự động hóa</x:v>
      </x:c>
      <x:c r="D64" s="11" t="str">
        <x:v>Tenant,subject,grant,purpose,entitlement</x:v>
      </x:c>
      <x:c r="E64" s="11" t="str">
        <x:v>Failclosed; chính sách trước AI</x:v>
      </x:c>
      <x:c r="F64" s="11" t="str">
        <x:v>Single-process policy/idempotency reference only; durable DB enforcement pending</x:v>
      </x:c>
      <x:c r="G64" s="11" t="str">
        <x:v>NOT_RELEASED</x:v>
      </x:c>
    </x:row>
    <x:row r="65" ht="24" hidden="0" customHeight="1">
      <x:c r="A65" s="11" t="str">
        <x:v>REPORT</x:v>
      </x:c>
      <x:c r="B65" s="11" t="str">
        <x:v>K20</x:v>
      </x:c>
      <x:c r="C65" s="11" t="str">
        <x:v>Báo cáo và bản sách</x:v>
      </x:c>
      <x:c r="D65" s="11" t="str">
        <x:v>Claimapproved, structuredsections</x:v>
      </x:c>
      <x:c r="E65" s="11" t="str">
        <x:v>Không bịa nội dung để đủ trang</x:v>
      </x:c>
      <x:c r="F65" s="11" t="str">
        <x:v>Template previews and synthetic orchestration only; approved snapshot/render/publish lifecycle pending</x:v>
      </x:c>
      <x:c r="G65" s="11" t="str">
        <x:v>NOT_RELEASED</x:v>
      </x:c>
    </x:row>
    <x:row r="66" ht="15" hidden="0" customHeight="1">
      <x:c r="A66" s="11" t="str">
        <x:v>EVALUATION</x:v>
      </x:c>
      <x:c r="B66" s="11" t="str">
        <x:v>K20</x:v>
      </x:c>
      <x:c r="C66" s="11" t="str">
        <x:v>Kiểm thử và hiệu chỉnh</x:v>
      </x:c>
      <x:c r="D66" s="11" t="str">
        <x:v>Target/horizon/population</x:v>
      </x:c>
      <x:c r="E66" s="11" t="str">
        <x:v>Tách đúngphéptính và predictivevalidity</x:v>
      </x:c>
      <x:c r="F66" s="11" t="str">
        <x:v>Research/specification inventory; no executable adapter established by this package</x:v>
      </x:c>
      <x:c r="G66" s="11" t="str">
        <x:v>NOT_RELEASED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60" hidden="0" customWidth="1"/>
    <x:col min="4" max="4" width="64" hidden="0" customWidth="1"/>
    <x:col min="5" max="5" width="50" hidden="0" customWidth="1"/>
    <x:col min="6" max="6" width="35" hidden="0" customWidth="1"/>
    <x:col min="7" max="7" width="28" hidden="0" customWidth="1"/>
  </x:cols>
  <x:sheetData>
    <x:row r="1" ht="36" customHeight="1">
      <x:c r="A1" s="2" t="str">
        <x:v>99 thao tác API đích</x:v>
      </x:c>
      <x:c r="B1" s="2"/>
      <x:c r="C1" s="2"/>
      <x:c r="D1" s="2"/>
      <x:c r="E1" s="2"/>
      <x:c r="F1" s="2"/>
      <x:c r="G1" s="2"/>
    </x:row>
    <x:row r="2" ht="48" customHeight="1">
      <x:c r="A2" s="4" t="str">
        <x:v>81 thao tác còn blocker typed code generation. File parse/ref pass không chứng minh API đã triển khai. Chi tiết: backend/API_CONTRACT_RECONCILIATION.json.</x:v>
      </x:c>
      <x:c r="B2" s="4"/>
      <x:c r="C2" s="4"/>
      <x:c r="D2" s="4"/>
      <x:c r="E2" s="4"/>
      <x:c r="F2" s="4"/>
      <x:c r="G2" s="4"/>
    </x:row>
    <x:row r="4" ht="34" customHeight="1">
      <x:c r="A4" s="8" t="str">
        <x:v>Operation ID</x:v>
      </x:c>
      <x:c r="B4" s="8" t="str">
        <x:v>Verb</x:v>
      </x:c>
      <x:c r="C4" s="8" t="str">
        <x:v>Path chuẩn</x:v>
      </x:c>
      <x:c r="D4" s="8" t="str">
        <x:v>Authorization</x:v>
      </x:c>
      <x:c r="E4" s="8" t="str">
        <x:v>Codegen / schema</x:v>
      </x:c>
      <x:c r="F4" s="8" t="str">
        <x:v>Nguồn</x:v>
      </x:c>
      <x:c r="G4" s="8" t="str">
        <x:v>Trạng thái</x:v>
      </x:c>
    </x:row>
    <x:row r="5" ht="15" hidden="0" customHeight="1">
      <x:c r="A5" s="11" t="str">
        <x:v>health</x:v>
      </x:c>
      <x:c r="B5" s="11" t="str">
        <x:v>GET</x:v>
      </x:c>
      <x:c r="C5" s="11" t="str">
        <x:v>/health</x:v>
      </x:c>
      <x:c r="D5" s="11" t="str">
        <x:v>public; PRESERVED_PERMISSION_REQUIRES_SERVER_ENFORCEMENT</x:v>
      </x:c>
      <x:c r="E5" s="11" t="str">
        <x:v>Không có blocker cấu trúc được ghi; vẫn cần runtime review</x:v>
      </x:c>
      <x:c r="F5" s="11" t="str">
        <x:v>LOCAL_R2_64</x:v>
      </x:c>
      <x:c r="G5" s="11" t="str">
        <x:v>TARGET_NOT_DEPLOYED</x:v>
      </x:c>
    </x:row>
    <x:row r="6" ht="15" hidden="0" customHeight="1">
      <x:c r="A6" s="11" t="str">
        <x:v>catalog</x:v>
      </x:c>
      <x:c r="B6" s="11" t="str">
        <x:v>GET</x:v>
      </x:c>
      <x:c r="C6" s="11" t="str">
        <x:v>/catalog</x:v>
      </x:c>
      <x:c r="D6" s="11" t="str">
        <x:v>public; PRESERVED_PERMISSION_REQUIRES_SERVER_ENFORCEMENT</x:v>
      </x:c>
      <x:c r="E6" s="11" t="str">
        <x:v>GENERIC_SUCCESS_SCHEMA</x:v>
      </x:c>
      <x:c r="F6" s="11" t="str">
        <x:v>LOCAL_R2_64</x:v>
      </x:c>
      <x:c r="G6" s="11" t="str">
        <x:v>TARGET_NOT_DEPLOYED</x:v>
      </x:c>
    </x:row>
    <x:row r="7" ht="15" hidden="0" customHeight="1">
      <x:c r="A7" s="11" t="str">
        <x:v>methods</x:v>
      </x:c>
      <x:c r="B7" s="11" t="str">
        <x:v>GET</x:v>
      </x:c>
      <x:c r="C7" s="11" t="str">
        <x:v>/methods</x:v>
      </x:c>
      <x:c r="D7" s="11" t="str">
        <x:v>public; PRESERVED_PERMISSION_REQUIRES_SERVER_ENFORCEMENT</x:v>
      </x:c>
      <x:c r="E7" s="11" t="str">
        <x:v>GENERIC_SUCCESS_SCHEMA</x:v>
      </x:c>
      <x:c r="F7" s="11" t="str">
        <x:v>LOCAL_R2_64</x:v>
      </x:c>
      <x:c r="G7" s="11" t="str">
        <x:v>TARGET_NOT_DEPLOYED</x:v>
      </x:c>
    </x:row>
    <x:row r="8" ht="15" hidden="0" customHeight="1">
      <x:c r="A8" s="11" t="str">
        <x:v>methodDetail</x:v>
      </x:c>
      <x:c r="B8" s="11" t="str">
        <x:v>GET</x:v>
      </x:c>
      <x:c r="C8" s="11" t="str">
        <x:v>/methods/{methodId}</x:v>
      </x:c>
      <x:c r="D8" s="11" t="str">
        <x:v>public; PRESERVED_PERMISSION_REQUIRES_SERVER_ENFORCEMENT</x:v>
      </x:c>
      <x:c r="E8" s="11" t="str">
        <x:v>Không có blocker cấu trúc được ghi; vẫn cần runtime review</x:v>
      </x:c>
      <x:c r="F8" s="11" t="str">
        <x:v>LOCAL_R2_64</x:v>
      </x:c>
      <x:c r="G8" s="11" t="str">
        <x:v>TARGET_NOT_DEPLOYED</x:v>
      </x:c>
    </x:row>
    <x:row r="9" ht="15" hidden="0" customHeight="1">
      <x:c r="A9" s="11" t="str">
        <x:v>login</x:v>
      </x:c>
      <x:c r="B9" s="11" t="str">
        <x:v>GET</x:v>
      </x:c>
      <x:c r="C9" s="11" t="str">
        <x:v>/auth/login</x:v>
      </x:c>
      <x:c r="D9" s="11" t="str">
        <x:v>public; PRESERVED_PERMISSION_REQUIRES_SERVER_ENFORCEMENT</x:v>
      </x:c>
      <x:c r="E9" s="11" t="str">
        <x:v>Không có blocker cấu trúc được ghi; vẫn cần runtime review</x:v>
      </x:c>
      <x:c r="F9" s="11" t="str">
        <x:v>LOCAL_R2_64</x:v>
      </x:c>
      <x:c r="G9" s="11" t="str">
        <x:v>TARGET_NOT_DEPLOYED</x:v>
      </x:c>
    </x:row>
    <x:row r="10" ht="15" hidden="0" customHeight="1">
      <x:c r="A10" s="11" t="str">
        <x:v>authCallback</x:v>
      </x:c>
      <x:c r="B10" s="11" t="str">
        <x:v>GET</x:v>
      </x:c>
      <x:c r="C10" s="11" t="str">
        <x:v>/auth/callback</x:v>
      </x:c>
      <x:c r="D10" s="11" t="str">
        <x:v>public; PRESERVED_PERMISSION_REQUIRES_SERVER_ENFORCEMENT</x:v>
      </x:c>
      <x:c r="E10" s="11" t="str">
        <x:v>Không có blocker cấu trúc được ghi; vẫn cần runtime review</x:v>
      </x:c>
      <x:c r="F10" s="11" t="str">
        <x:v>LOCAL_R2_64</x:v>
      </x:c>
      <x:c r="G10" s="11" t="str">
        <x:v>TARGET_NOT_DEPLOYED</x:v>
      </x:c>
    </x:row>
    <x:row r="11" ht="15" hidden="0" customHeight="1">
      <x:c r="A11" s="11" t="str">
        <x:v>logout</x:v>
      </x:c>
      <x:c r="B11" s="11" t="str">
        <x:v>POST</x:v>
      </x:c>
      <x:c r="C11" s="11" t="str">
        <x:v>/auth/logout</x:v>
      </x:c>
      <x:c r="D11" s="11" t="str">
        <x:v>self; PRESERVED_PERMISSION_REQUIRES_SERVER_ENFORCEMENT</x:v>
      </x:c>
      <x:c r="E11" s="11" t="str">
        <x:v>Không có blocker cấu trúc được ghi; vẫn cần runtime review</x:v>
      </x:c>
      <x:c r="F11" s="11" t="str">
        <x:v>LOCAL_R2_64</x:v>
      </x:c>
      <x:c r="G11" s="11" t="str">
        <x:v>TARGET_NOT_DEPLOYED</x:v>
      </x:c>
    </x:row>
    <x:row r="12" ht="15" hidden="0" customHeight="1">
      <x:c r="A12" s="11" t="str">
        <x:v>subjects</x:v>
      </x:c>
      <x:c r="B12" s="11" t="str">
        <x:v>GET</x:v>
      </x:c>
      <x:c r="C12" s="11" t="str">
        <x:v>/subjects</x:v>
      </x:c>
      <x:c r="D12" s="11" t="str">
        <x:v>self; PRESERVED_PERMISSION_REQUIRES_SERVER_ENFORCEMENT</x:v>
      </x:c>
      <x:c r="E12" s="11" t="str">
        <x:v>GENERIC_SUCCESS_SCHEMA</x:v>
      </x:c>
      <x:c r="F12" s="11" t="str">
        <x:v>LOCAL_R2_64</x:v>
      </x:c>
      <x:c r="G12" s="11" t="str">
        <x:v>TARGET_NOT_DEPLOYED</x:v>
      </x:c>
    </x:row>
    <x:row r="13" ht="15" hidden="0" customHeight="1">
      <x:c r="A13" s="11" t="str">
        <x:v>createSubject</x:v>
      </x:c>
      <x:c r="B13" s="11" t="str">
        <x:v>POST</x:v>
      </x:c>
      <x:c r="C13" s="11" t="str">
        <x:v>/subjects</x:v>
      </x:c>
      <x:c r="D13" s="11" t="str">
        <x:v>self; PRESERVED_PERMISSION_REQUIRES_SERVER_ENFORCEMENT</x:v>
      </x:c>
      <x:c r="E13" s="11" t="str">
        <x:v>GENERIC_SUCCESS_SCHEMA</x:v>
      </x:c>
      <x:c r="F13" s="11" t="str">
        <x:v>LOCAL_R2_64</x:v>
      </x:c>
      <x:c r="G13" s="11" t="str">
        <x:v>TARGET_NOT_DEPLOYED</x:v>
      </x:c>
    </x:row>
    <x:row r="14" ht="15" hidden="0" customHeight="1">
      <x:c r="A14" s="11" t="str">
        <x:v>subject</x:v>
      </x:c>
      <x:c r="B14" s="11" t="str">
        <x:v>GET</x:v>
      </x:c>
      <x:c r="C14" s="11" t="str">
        <x:v>/subjects/{subjectId}</x:v>
      </x:c>
      <x:c r="D14" s="11" t="str">
        <x:v>subject:read; PRESERVED_PERMISSION_REQUIRES_SERVER_ENFORCEMENT</x:v>
      </x:c>
      <x:c r="E14" s="11" t="str">
        <x:v>GENERIC_SUCCESS_SCHEMA</x:v>
      </x:c>
      <x:c r="F14" s="11" t="str">
        <x:v>LOCAL_R2_64</x:v>
      </x:c>
      <x:c r="G14" s="11" t="str">
        <x:v>TARGET_NOT_DEPLOYED</x:v>
      </x:c>
    </x:row>
    <x:row r="15" ht="15" hidden="0" customHeight="1">
      <x:c r="A15" s="11" t="str">
        <x:v>overview</x:v>
      </x:c>
      <x:c r="B15" s="11" t="str">
        <x:v>GET</x:v>
      </x:c>
      <x:c r="C15" s="11" t="str">
        <x:v>/subjects/{subjectId}/overview</x:v>
      </x:c>
      <x:c r="D15" s="11" t="str">
        <x:v>subject:read; PRESERVED_PERMISSION_REQUIRES_SERVER_ENFORCEMENT</x:v>
      </x:c>
      <x:c r="E15" s="11" t="str">
        <x:v>GENERIC_SUCCESS_SCHEMA</x:v>
      </x:c>
      <x:c r="F15" s="11" t="str">
        <x:v>LOCAL_R2_64</x:v>
      </x:c>
      <x:c r="G15" s="11" t="str">
        <x:v>TARGET_NOT_DEPLOYED</x:v>
      </x:c>
    </x:row>
    <x:row r="16" ht="15" hidden="0" customHeight="1">
      <x:c r="A16" s="11" t="str">
        <x:v>newProfileVersion</x:v>
      </x:c>
      <x:c r="B16" s="11" t="str">
        <x:v>POST</x:v>
      </x:c>
      <x:c r="C16" s="11" t="str">
        <x:v>/subjects/{subjectId}/profile-versions</x:v>
      </x:c>
      <x:c r="D16" s="11" t="str">
        <x:v>subject:write; PRESERVED_PERMISSION_REQUIRES_SERVER_ENFORCEMENT</x:v>
      </x:c>
      <x:c r="E16" s="11" t="str">
        <x:v>Không có blocker cấu trúc được ghi; vẫn cần runtime review</x:v>
      </x:c>
      <x:c r="F16" s="11" t="str">
        <x:v>LOCAL_R2_64</x:v>
      </x:c>
      <x:c r="G16" s="11" t="str">
        <x:v>TARGET_NOT_DEPLOYED</x:v>
      </x:c>
    </x:row>
    <x:row r="17" ht="15" hidden="0" customHeight="1">
      <x:c r="A17" s="11" t="str">
        <x:v>profileVersion</x:v>
      </x:c>
      <x:c r="B17" s="11" t="str">
        <x:v>GET</x:v>
      </x:c>
      <x:c r="C17" s="11" t="str">
        <x:v>/subjects/{subjectId}/profile-versions/{versionId}</x:v>
      </x:c>
      <x:c r="D17" s="11" t="str">
        <x:v>subject:read; PRESERVED_PERMISSION_REQUIRES_SERVER_ENFORCEMENT</x:v>
      </x:c>
      <x:c r="E17" s="11" t="str">
        <x:v>Không có blocker cấu trúc được ghi; vẫn cần runtime review</x:v>
      </x:c>
      <x:c r="F17" s="11" t="str">
        <x:v>LOCAL_R2_64</x:v>
      </x:c>
      <x:c r="G17" s="11" t="str">
        <x:v>TARGET_NOT_DEPLOYED</x:v>
      </x:c>
    </x:row>
    <x:row r="18" ht="15" hidden="0" customHeight="1">
      <x:c r="A18" s="11" t="str">
        <x:v>newHypothesis</x:v>
      </x:c>
      <x:c r="B18" s="11" t="str">
        <x:v>POST</x:v>
      </x:c>
      <x:c r="C18" s="11" t="str">
        <x:v>/subjects/{subjectId}/hypotheses</x:v>
      </x:c>
      <x:c r="D18" s="11" t="str">
        <x:v>subject:write; PRESERVED_PERMISSION_REQUIRES_SERVER_ENFORCEMENT</x:v>
      </x:c>
      <x:c r="E18" s="11" t="str">
        <x:v>GENERIC_SUCCESS_SCHEMA</x:v>
      </x:c>
      <x:c r="F18" s="11" t="str">
        <x:v>LOCAL_R2_64</x:v>
      </x:c>
      <x:c r="G18" s="11" t="str">
        <x:v>TARGET_NOT_DEPLOYED</x:v>
      </x:c>
    </x:row>
    <x:row r="19" ht="15" hidden="0" customHeight="1">
      <x:c r="A19" s="11" t="str">
        <x:v>listHypotheses</x:v>
      </x:c>
      <x:c r="B19" s="11" t="str">
        <x:v>GET</x:v>
      </x:c>
      <x:c r="C19" s="11" t="str">
        <x:v>/subjects/{subjectId}/hypotheses</x:v>
      </x:c>
      <x:c r="D19" s="11" t="str">
        <x:v>subject:read; PRESERVED_PERMISSION_REQUIRES_SERVER_ENFORCEMENT</x:v>
      </x:c>
      <x:c r="E19" s="11" t="str">
        <x:v>GENERIC_SUCCESS_SCHEMA</x:v>
      </x:c>
      <x:c r="F19" s="11" t="str">
        <x:v>EXTERNAL_V2_ADDITION_19</x:v>
      </x:c>
      <x:c r="G19" s="11" t="str">
        <x:v>TARGET_NOT_DEPLOYED</x:v>
      </x:c>
    </x:row>
    <x:row r="20" ht="15" hidden="0" customHeight="1">
      <x:c r="A20" s="11" t="str">
        <x:v>consents</x:v>
      </x:c>
      <x:c r="B20" s="11" t="str">
        <x:v>GET</x:v>
      </x:c>
      <x:c r="C20" s="11" t="str">
        <x:v>/subjects/{subjectId}/consents</x:v>
      </x:c>
      <x:c r="D20" s="11" t="str">
        <x:v>subject:read; PRESERVED_PERMISSION_REQUIRES_SERVER_ENFORCEMENT</x:v>
      </x:c>
      <x:c r="E20" s="11" t="str">
        <x:v>GENERIC_SUCCESS_SCHEMA</x:v>
      </x:c>
      <x:c r="F20" s="11" t="str">
        <x:v>LOCAL_R2_64</x:v>
      </x:c>
      <x:c r="G20" s="11" t="str">
        <x:v>TARGET_NOT_DEPLOYED</x:v>
      </x:c>
    </x:row>
    <x:row r="21" ht="15" hidden="0" customHeight="1">
      <x:c r="A21" s="11" t="str">
        <x:v>consentDecision</x:v>
      </x:c>
      <x:c r="B21" s="11" t="str">
        <x:v>POST</x:v>
      </x:c>
      <x:c r="C21" s="11" t="str">
        <x:v>/subjects/{subjectId}/consents</x:v>
      </x:c>
      <x:c r="D21" s="11" t="str">
        <x:v>subject:consent; PRESERVED_PERMISSION_REQUIRES_SERVER_ENFORCEMENT</x:v>
      </x:c>
      <x:c r="E21" s="11" t="str">
        <x:v>GENERIC_SUCCESS_SCHEMA</x:v>
      </x:c>
      <x:c r="F21" s="11" t="str">
        <x:v>LOCAL_R2_64</x:v>
      </x:c>
      <x:c r="G21" s="11" t="str">
        <x:v>TARGET_NOT_DEPLOYED</x:v>
      </x:c>
    </x:row>
    <x:row r="22" ht="15" hidden="0" customHeight="1">
      <x:c r="A22" s="11" t="str">
        <x:v>grants</x:v>
      </x:c>
      <x:c r="B22" s="11" t="str">
        <x:v>GET</x:v>
      </x:c>
      <x:c r="C22" s="11" t="str">
        <x:v>/subjects/{subjectId}/grants</x:v>
      </x:c>
      <x:c r="D22" s="11" t="str">
        <x:v>subject:share; PRESERVED_PERMISSION_REQUIRES_SERVER_ENFORCEMENT</x:v>
      </x:c>
      <x:c r="E22" s="11" t="str">
        <x:v>GENERIC_SUCCESS_SCHEMA</x:v>
      </x:c>
      <x:c r="F22" s="11" t="str">
        <x:v>LOCAL_R2_64</x:v>
      </x:c>
      <x:c r="G22" s="11" t="str">
        <x:v>TARGET_NOT_DEPLOYED</x:v>
      </x:c>
    </x:row>
    <x:row r="23" ht="15" hidden="0" customHeight="1">
      <x:c r="A23" s="11" t="str">
        <x:v>grant</x:v>
      </x:c>
      <x:c r="B23" s="11" t="str">
        <x:v>POST</x:v>
      </x:c>
      <x:c r="C23" s="11" t="str">
        <x:v>/subjects/{subjectId}/grants</x:v>
      </x:c>
      <x:c r="D23" s="11" t="str">
        <x:v>subject:share; PRESERVED_PERMISSION_REQUIRES_SERVER_ENFORCEMENT</x:v>
      </x:c>
      <x:c r="E23" s="11" t="str">
        <x:v>GENERIC_SUCCESS_SCHEMA</x:v>
      </x:c>
      <x:c r="F23" s="11" t="str">
        <x:v>LOCAL_R2_64</x:v>
      </x:c>
      <x:c r="G23" s="11" t="str">
        <x:v>TARGET_NOT_DEPLOYED</x:v>
      </x:c>
    </x:row>
    <x:row r="24" ht="15" hidden="0" customHeight="1">
      <x:c r="A24" s="11" t="str">
        <x:v>revokeGrant</x:v>
      </x:c>
      <x:c r="B24" s="11" t="str">
        <x:v>DELETE</x:v>
      </x:c>
      <x:c r="C24" s="11" t="str">
        <x:v>/grants/{grantId}</x:v>
      </x:c>
      <x:c r="D24" s="11" t="str">
        <x:v>grant:owner; PRESERVED_PERMISSION_REQUIRES_SERVER_ENFORCEMENT</x:v>
      </x:c>
      <x:c r="E24" s="11" t="str">
        <x:v>Không có blocker cấu trúc được ghi; vẫn cần runtime review</x:v>
      </x:c>
      <x:c r="F24" s="11" t="str">
        <x:v>LOCAL_R2_64</x:v>
      </x:c>
      <x:c r="G24" s="11" t="str">
        <x:v>TARGET_NOT_DEPLOYED</x:v>
      </x:c>
    </x:row>
    <x:row r="25" ht="15" hidden="0" customHeight="1">
      <x:c r="A25" s="11" t="str">
        <x:v>observations</x:v>
      </x:c>
      <x:c r="B25" s="11" t="str">
        <x:v>GET</x:v>
      </x:c>
      <x:c r="C25" s="11" t="str">
        <x:v>/subjects/{subjectId}/observations</x:v>
      </x:c>
      <x:c r="D25" s="11" t="str">
        <x:v>subject:read; PRESERVED_PERMISSION_REQUIRES_SERVER_ENFORCEMENT</x:v>
      </x:c>
      <x:c r="E25" s="11" t="str">
        <x:v>GENERIC_SUCCESS_SCHEMA</x:v>
      </x:c>
      <x:c r="F25" s="11" t="str">
        <x:v>LOCAL_R2_64</x:v>
      </x:c>
      <x:c r="G25" s="11" t="str">
        <x:v>TARGET_NOT_DEPLOYED</x:v>
      </x:c>
    </x:row>
    <x:row r="26" ht="15" hidden="0" customHeight="1">
      <x:c r="A26" s="11" t="str">
        <x:v>observation</x:v>
      </x:c>
      <x:c r="B26" s="11" t="str">
        <x:v>POST</x:v>
      </x:c>
      <x:c r="C26" s="11" t="str">
        <x:v>/subjects/{subjectId}/observations</x:v>
      </x:c>
      <x:c r="D26" s="11" t="str">
        <x:v>subject:write; PRESERVED_PERMISSION_REQUIRES_SERVER_ENFORCEMENT</x:v>
      </x:c>
      <x:c r="E26" s="11" t="str">
        <x:v>GENERIC_SUCCESS_SCHEMA</x:v>
      </x:c>
      <x:c r="F26" s="11" t="str">
        <x:v>LOCAL_R2_64</x:v>
      </x:c>
      <x:c r="G26" s="11" t="str">
        <x:v>TARGET_NOT_DEPLOYED</x:v>
      </x:c>
    </x:row>
    <x:row r="27" ht="15" hidden="0" customHeight="1">
      <x:c r="A27" s="11" t="str">
        <x:v>questionnaireResponse</x:v>
      </x:c>
      <x:c r="B27" s="11" t="str">
        <x:v>POST</x:v>
      </x:c>
      <x:c r="C27" s="11" t="str">
        <x:v>/subjects/{subjectId}/questionnaire-responses</x:v>
      </x:c>
      <x:c r="D27" s="11" t="str">
        <x:v>subject:write; PRESERVED_PERMISSION_REQUIRES_SERVER_ENFORCEMENT</x:v>
      </x:c>
      <x:c r="E27" s="11" t="str">
        <x:v>GENERIC_SUCCESS_SCHEMA</x:v>
      </x:c>
      <x:c r="F27" s="11" t="str">
        <x:v>LOCAL_R2_64</x:v>
      </x:c>
      <x:c r="G27" s="11" t="str">
        <x:v>TARGET_NOT_DEPLOYED</x:v>
      </x:c>
    </x:row>
    <x:row r="28" ht="15" hidden="0" customHeight="1">
      <x:c r="A28" s="11" t="str">
        <x:v>createPlan</x:v>
      </x:c>
      <x:c r="B28" s="11" t="str">
        <x:v>POST</x:v>
      </x:c>
      <x:c r="C28" s="11" t="str">
        <x:v>/subjects/{subjectId}/plans</x:v>
      </x:c>
      <x:c r="D28" s="11" t="str">
        <x:v>subject:write; PRESERVED_PERMISSION_REQUIRES_SERVER_ENFORCEMENT</x:v>
      </x:c>
      <x:c r="E28" s="11" t="str">
        <x:v>GENERIC_SUCCESS_SCHEMA</x:v>
      </x:c>
      <x:c r="F28" s="11" t="str">
        <x:v>LOCAL_R2_64</x:v>
      </x:c>
      <x:c r="G28" s="11" t="str">
        <x:v>TARGET_NOT_DEPLOYED</x:v>
      </x:c>
    </x:row>
    <x:row r="29" ht="15" hidden="0" customHeight="1">
      <x:c r="A29" s="11" t="str">
        <x:v>plans</x:v>
      </x:c>
      <x:c r="B29" s="11" t="str">
        <x:v>GET</x:v>
      </x:c>
      <x:c r="C29" s="11" t="str">
        <x:v>/subjects/{subjectId}/plans</x:v>
      </x:c>
      <x:c r="D29" s="11" t="str">
        <x:v>subject:read; PRESERVED_PERMISSION_REQUIRES_SERVER_ENFORCEMENT</x:v>
      </x:c>
      <x:c r="E29" s="11" t="str">
        <x:v>GENERIC_SUCCESS_SCHEMA</x:v>
      </x:c>
      <x:c r="F29" s="11" t="str">
        <x:v>LOCAL_R2_64</x:v>
      </x:c>
      <x:c r="G29" s="11" t="str">
        <x:v>TARGET_NOT_DEPLOYED</x:v>
      </x:c>
    </x:row>
    <x:row r="30" ht="15" hidden="0" customHeight="1">
      <x:c r="A30" s="11" t="str">
        <x:v>checkin</x:v>
      </x:c>
      <x:c r="B30" s="11" t="str">
        <x:v>POST</x:v>
      </x:c>
      <x:c r="C30" s="11" t="str">
        <x:v>/actions/{actionId}/check-ins</x:v>
      </x:c>
      <x:c r="D30" s="11" t="str">
        <x:v>action:write; PRESERVED_PERMISSION_REQUIRES_SERVER_ENFORCEMENT</x:v>
      </x:c>
      <x:c r="E30" s="11" t="str">
        <x:v>GENERIC_SUCCESS_SCHEMA</x:v>
      </x:c>
      <x:c r="F30" s="11" t="str">
        <x:v>LOCAL_R2_64</x:v>
      </x:c>
      <x:c r="G30" s="11" t="str">
        <x:v>TARGET_NOT_DEPLOYED</x:v>
      </x:c>
    </x:row>
    <x:row r="31" ht="15" hidden="0" customHeight="1">
      <x:c r="A31" s="11" t="str">
        <x:v>timeline</x:v>
      </x:c>
      <x:c r="B31" s="11" t="str">
        <x:v>GET</x:v>
      </x:c>
      <x:c r="C31" s="11" t="str">
        <x:v>/subjects/{subjectId}/timeline</x:v>
      </x:c>
      <x:c r="D31" s="11" t="str">
        <x:v>subject:read; PRESERVED_PERMISSION_REQUIRES_SERVER_ENFORCEMENT</x:v>
      </x:c>
      <x:c r="E31" s="11" t="str">
        <x:v>GENERIC_SUCCESS_SCHEMA</x:v>
      </x:c>
      <x:c r="F31" s="11" t="str">
        <x:v>LOCAL_R2_64</x:v>
      </x:c>
      <x:c r="G31" s="11" t="str">
        <x:v>TARGET_NOT_DEPLOYED</x:v>
      </x:c>
    </x:row>
    <x:row r="32" ht="15" hidden="0" customHeight="1">
      <x:c r="A32" s="11" t="str">
        <x:v>analyze</x:v>
      </x:c>
      <x:c r="B32" s="11" t="str">
        <x:v>POST</x:v>
      </x:c>
      <x:c r="C32" s="11" t="str">
        <x:v>/analysis-runs</x:v>
      </x:c>
      <x:c r="D32" s="11" t="str">
        <x:v>subject:analyze; PRESERVED_PERMISSION_REQUIRES_SERVER_ENFORCEMENT</x:v>
      </x:c>
      <x:c r="E32" s="11" t="str">
        <x:v>Không có blocker cấu trúc được ghi; vẫn cần runtime review</x:v>
      </x:c>
      <x:c r="F32" s="11" t="str">
        <x:v>LOCAL_R2_64</x:v>
      </x:c>
      <x:c r="G32" s="11" t="str">
        <x:v>TARGET_NOT_DEPLOYED</x:v>
      </x:c>
    </x:row>
    <x:row r="33" ht="15" hidden="0" customHeight="1">
      <x:c r="A33" s="11" t="str">
        <x:v>analysisStatus</x:v>
      </x:c>
      <x:c r="B33" s="11" t="str">
        <x:v>GET</x:v>
      </x:c>
      <x:c r="C33" s="11" t="str">
        <x:v>/analysis-runs/{runId}</x:v>
      </x:c>
      <x:c r="D33" s="11" t="str">
        <x:v>run:read; PRESERVED_PERMISSION_REQUIRES_SERVER_ENFORCEMENT</x:v>
      </x:c>
      <x:c r="E33" s="11" t="str">
        <x:v>GENERIC_SUCCESS_SCHEMA</x:v>
      </x:c>
      <x:c r="F33" s="11" t="str">
        <x:v>LOCAL_R2_64</x:v>
      </x:c>
      <x:c r="G33" s="11" t="str">
        <x:v>TARGET_NOT_DEPLOYED</x:v>
      </x:c>
    </x:row>
    <x:row r="34" ht="15" hidden="0" customHeight="1">
      <x:c r="A34" s="11" t="str">
        <x:v>cancelAnalysis</x:v>
      </x:c>
      <x:c r="B34" s="11" t="str">
        <x:v>POST</x:v>
      </x:c>
      <x:c r="C34" s="11" t="str">
        <x:v>/analysis-runs/{runId}/cancel</x:v>
      </x:c>
      <x:c r="D34" s="11" t="str">
        <x:v>run:cancel; PRESERVED_PERMISSION_REQUIRES_SERVER_ENFORCEMENT</x:v>
      </x:c>
      <x:c r="E34" s="11" t="str">
        <x:v>GENERIC_SUCCESS_SCHEMA</x:v>
      </x:c>
      <x:c r="F34" s="11" t="str">
        <x:v>LOCAL_R2_64</x:v>
      </x:c>
      <x:c r="G34" s="11" t="str">
        <x:v>TARGET_NOT_DEPLOYED</x:v>
      </x:c>
    </x:row>
    <x:row r="35" ht="15" hidden="0" customHeight="1">
      <x:c r="A35" s="11" t="str">
        <x:v>analysisResults</x:v>
      </x:c>
      <x:c r="B35" s="11" t="str">
        <x:v>GET</x:v>
      </x:c>
      <x:c r="C35" s="11" t="str">
        <x:v>/analysis-runs/{runId}/results</x:v>
      </x:c>
      <x:c r="D35" s="11" t="str">
        <x:v>run:read; PRESERVED_PERMISSION_REQUIRES_SERVER_ENFORCEMENT</x:v>
      </x:c>
      <x:c r="E35" s="11" t="str">
        <x:v>Không có blocker cấu trúc được ghi; vẫn cần runtime review</x:v>
      </x:c>
      <x:c r="F35" s="11" t="str">
        <x:v>LOCAL_R2_64</x:v>
      </x:c>
      <x:c r="G35" s="11" t="str">
        <x:v>TARGET_NOT_DEPLOYED</x:v>
      </x:c>
    </x:row>
    <x:row r="36" ht="15" hidden="0" customHeight="1">
      <x:c r="A36" s="11" t="str">
        <x:v>methodResult</x:v>
      </x:c>
      <x:c r="B36" s="11" t="str">
        <x:v>GET</x:v>
      </x:c>
      <x:c r="C36" s="11" t="str">
        <x:v>/results/{resultId}</x:v>
      </x:c>
      <x:c r="D36" s="11" t="str">
        <x:v>result:read; PRESERVED_PERMISSION_REQUIRES_SERVER_ENFORCEMENT</x:v>
      </x:c>
      <x:c r="E36" s="11" t="str">
        <x:v>Không có blocker cấu trúc được ghi; vẫn cần runtime review</x:v>
      </x:c>
      <x:c r="F36" s="11" t="str">
        <x:v>LOCAL_R2_64</x:v>
      </x:c>
      <x:c r="G36" s="11" t="str">
        <x:v>TARGET_NOT_DEPLOYED</x:v>
      </x:c>
    </x:row>
    <x:row r="37" ht="15" hidden="0" customHeight="1">
      <x:c r="A37" s="11" t="str">
        <x:v>createReport</x:v>
      </x:c>
      <x:c r="B37" s="11" t="str">
        <x:v>POST</x:v>
      </x:c>
      <x:c r="C37" s="11" t="str">
        <x:v>/reports</x:v>
      </x:c>
      <x:c r="D37" s="11" t="str">
        <x:v>subject:report; PRESERVED_PERMISSION_REQUIRES_SERVER_ENFORCEMENT</x:v>
      </x:c>
      <x:c r="E37" s="11" t="str">
        <x:v>Không có blocker cấu trúc được ghi; vẫn cần runtime review</x:v>
      </x:c>
      <x:c r="F37" s="11" t="str">
        <x:v>LOCAL_R2_64</x:v>
      </x:c>
      <x:c r="G37" s="11" t="str">
        <x:v>TARGET_NOT_DEPLOYED</x:v>
      </x:c>
    </x:row>
    <x:row r="38" ht="15" hidden="0" customHeight="1">
      <x:c r="A38" s="11" t="str">
        <x:v>reports</x:v>
      </x:c>
      <x:c r="B38" s="11" t="str">
        <x:v>GET</x:v>
      </x:c>
      <x:c r="C38" s="11" t="str">
        <x:v>/subjects/{subjectId}/reports</x:v>
      </x:c>
      <x:c r="D38" s="11" t="str">
        <x:v>subject:read; PRESERVED_PERMISSION_REQUIRES_SERVER_ENFORCEMENT</x:v>
      </x:c>
      <x:c r="E38" s="11" t="str">
        <x:v>GENERIC_SUCCESS_SCHEMA</x:v>
      </x:c>
      <x:c r="F38" s="11" t="str">
        <x:v>LOCAL_R2_64</x:v>
      </x:c>
      <x:c r="G38" s="11" t="str">
        <x:v>TARGET_NOT_DEPLOYED</x:v>
      </x:c>
    </x:row>
    <x:row r="39" ht="15" hidden="0" customHeight="1">
      <x:c r="A39" s="11" t="str">
        <x:v>report</x:v>
      </x:c>
      <x:c r="B39" s="11" t="str">
        <x:v>GET</x:v>
      </x:c>
      <x:c r="C39" s="11" t="str">
        <x:v>/reports/{reportId}</x:v>
      </x:c>
      <x:c r="D39" s="11" t="str">
        <x:v>report:read; PRESERVED_PERMISSION_REQUIRES_SERVER_ENFORCEMENT</x:v>
      </x:c>
      <x:c r="E39" s="11" t="str">
        <x:v>Không có blocker cấu trúc được ghi; vẫn cần runtime review</x:v>
      </x:c>
      <x:c r="F39" s="11" t="str">
        <x:v>LOCAL_R2_64</x:v>
      </x:c>
      <x:c r="G39" s="11" t="str">
        <x:v>TARGET_NOT_DEPLOYED</x:v>
      </x:c>
    </x:row>
    <x:row r="40" ht="15" hidden="0" customHeight="1">
      <x:c r="A40" s="11" t="str">
        <x:v>reportRevisions</x:v>
      </x:c>
      <x:c r="B40" s="11" t="str">
        <x:v>GET</x:v>
      </x:c>
      <x:c r="C40" s="11" t="str">
        <x:v>/reports/{reportId}/revisions</x:v>
      </x:c>
      <x:c r="D40" s="11" t="str">
        <x:v>report:read; PRESERVED_PERMISSION_REQUIRES_SERVER_ENFORCEMENT</x:v>
      </x:c>
      <x:c r="E40" s="11" t="str">
        <x:v>GENERIC_SUCCESS_SCHEMA</x:v>
      </x:c>
      <x:c r="F40" s="11" t="str">
        <x:v>LOCAL_R2_64</x:v>
      </x:c>
      <x:c r="G40" s="11" t="str">
        <x:v>TARGET_NOT_DEPLOYED</x:v>
      </x:c>
    </x:row>
    <x:row r="41" ht="15" hidden="0" customHeight="1">
      <x:c r="A41" s="11" t="str">
        <x:v>review</x:v>
      </x:c>
      <x:c r="B41" s="11" t="str">
        <x:v>POST</x:v>
      </x:c>
      <x:c r="C41" s="11" t="str">
        <x:v>/reports/{reportId}/reviews</x:v>
      </x:c>
      <x:c r="D41" s="11" t="str">
        <x:v>report:review; PRESERVED_PERMISSION_REQUIRES_SERVER_ENFORCEMENT</x:v>
      </x:c>
      <x:c r="E41" s="11" t="str">
        <x:v>GENERIC_SUCCESS_SCHEMA</x:v>
      </x:c>
      <x:c r="F41" s="11" t="str">
        <x:v>LOCAL_R2_64</x:v>
      </x:c>
      <x:c r="G41" s="11" t="str">
        <x:v>TARGET_NOT_DEPLOYED</x:v>
      </x:c>
    </x:row>
    <x:row r="42" ht="15" hidden="0" customHeight="1">
      <x:c r="A42" s="11" t="str">
        <x:v>publish</x:v>
      </x:c>
      <x:c r="B42" s="11" t="str">
        <x:v>POST</x:v>
      </x:c>
      <x:c r="C42" s="11" t="str">
        <x:v>/reports/{reportId}/publish</x:v>
      </x:c>
      <x:c r="D42" s="11" t="str">
        <x:v>report:publish; PRESERVED_PERMISSION_REQUIRES_SERVER_ENFORCEMENT</x:v>
      </x:c>
      <x:c r="E42" s="11" t="str">
        <x:v>GENERIC_SUCCESS_SCHEMA</x:v>
      </x:c>
      <x:c r="F42" s="11" t="str">
        <x:v>LOCAL_R2_64</x:v>
      </x:c>
      <x:c r="G42" s="11" t="str">
        <x:v>TARGET_NOT_DEPLOYED</x:v>
      </x:c>
    </x:row>
    <x:row r="43" ht="15" hidden="0" customHeight="1">
      <x:c r="A43" s="11" t="str">
        <x:v>exportReport</x:v>
      </x:c>
      <x:c r="B43" s="11" t="str">
        <x:v>POST</x:v>
      </x:c>
      <x:c r="C43" s="11" t="str">
        <x:v>/reports/{reportId}/exports</x:v>
      </x:c>
      <x:c r="D43" s="11" t="str">
        <x:v>report:export; PRESERVED_PERMISSION_REQUIRES_SERVER_ENFORCEMENT</x:v>
      </x:c>
      <x:c r="E43" s="11" t="str">
        <x:v>Không có blocker cấu trúc được ghi; vẫn cần runtime review</x:v>
      </x:c>
      <x:c r="F43" s="11" t="str">
        <x:v>LOCAL_R2_64</x:v>
      </x:c>
      <x:c r="G43" s="11" t="str">
        <x:v>TARGET_NOT_DEPLOYED</x:v>
      </x:c>
    </x:row>
    <x:row r="44" ht="15" hidden="0" customHeight="1">
      <x:c r="A44" s="11" t="str">
        <x:v>downloadArtifact</x:v>
      </x:c>
      <x:c r="B44" s="11" t="str">
        <x:v>GET</x:v>
      </x:c>
      <x:c r="C44" s="11" t="str">
        <x:v>/artifacts/{artifactId}/download</x:v>
      </x:c>
      <x:c r="D44" s="11" t="str">
        <x:v>artifact:download; PRESERVED_PERMISSION_REQUIRES_SERVER_ENFORCEMENT</x:v>
      </x:c>
      <x:c r="E44" s="11" t="str">
        <x:v>Không có blocker cấu trúc được ghi; vẫn cần runtime review</x:v>
      </x:c>
      <x:c r="F44" s="11" t="str">
        <x:v>LOCAL_R2_64</x:v>
      </x:c>
      <x:c r="G44" s="11" t="str">
        <x:v>TARGET_NOT_DEPLOYED</x:v>
      </x:c>
    </x:row>
    <x:row r="45" ht="15" hidden="0" customHeight="1">
      <x:c r="A45" s="11" t="str">
        <x:v>order</x:v>
      </x:c>
      <x:c r="B45" s="11" t="str">
        <x:v>POST</x:v>
      </x:c>
      <x:c r="C45" s="11" t="str">
        <x:v>/orders</x:v>
      </x:c>
      <x:c r="D45" s="11" t="str">
        <x:v>self; PRESERVED_PERMISSION_REQUIRES_SERVER_ENFORCEMENT</x:v>
      </x:c>
      <x:c r="E45" s="11" t="str">
        <x:v>GENERIC_SUCCESS_SCHEMA</x:v>
      </x:c>
      <x:c r="F45" s="11" t="str">
        <x:v>LOCAL_R2_64</x:v>
      </x:c>
      <x:c r="G45" s="11" t="str">
        <x:v>TARGET_NOT_DEPLOYED</x:v>
      </x:c>
    </x:row>
    <x:row r="46" ht="15" hidden="0" customHeight="1">
      <x:c r="A46" s="11" t="str">
        <x:v>orderStatus</x:v>
      </x:c>
      <x:c r="B46" s="11" t="str">
        <x:v>GET</x:v>
      </x:c>
      <x:c r="C46" s="11" t="str">
        <x:v>/orders/{orderId}</x:v>
      </x:c>
      <x:c r="D46" s="11" t="str">
        <x:v>order:owner; PRESERVED_PERMISSION_REQUIRES_SERVER_ENFORCEMENT</x:v>
      </x:c>
      <x:c r="E46" s="11" t="str">
        <x:v>GENERIC_SUCCESS_SCHEMA</x:v>
      </x:c>
      <x:c r="F46" s="11" t="str">
        <x:v>LOCAL_R2_64</x:v>
      </x:c>
      <x:c r="G46" s="11" t="str">
        <x:v>TARGET_NOT_DEPLOYED</x:v>
      </x:c>
    </x:row>
    <x:row r="47" ht="15" hidden="0" customHeight="1">
      <x:c r="A47" s="11" t="str">
        <x:v>checkout</x:v>
      </x:c>
      <x:c r="B47" s="11" t="str">
        <x:v>POST</x:v>
      </x:c>
      <x:c r="C47" s="11" t="str">
        <x:v>/orders/{orderId}/checkout</x:v>
      </x:c>
      <x:c r="D47" s="11" t="str">
        <x:v>order:owner; PRESERVED_PERMISSION_REQUIRES_SERVER_ENFORCEMENT</x:v>
      </x:c>
      <x:c r="E47" s="11" t="str">
        <x:v>GENERIC_SUCCESS_SCHEMA</x:v>
      </x:c>
      <x:c r="F47" s="11" t="str">
        <x:v>LOCAL_R2_64</x:v>
      </x:c>
      <x:c r="G47" s="11" t="str">
        <x:v>TARGET_NOT_DEPLOYED</x:v>
      </x:c>
    </x:row>
    <x:row r="48" ht="15" hidden="0" customHeight="1">
      <x:c r="A48" s="11" t="str">
        <x:v>requestRefund</x:v>
      </x:c>
      <x:c r="B48" s="11" t="str">
        <x:v>POST</x:v>
      </x:c>
      <x:c r="C48" s="11" t="str">
        <x:v>/orders/{orderId}/refund-requests</x:v>
      </x:c>
      <x:c r="D48" s="11" t="str">
        <x:v>order:owner; PRESERVED_PERMISSION_REQUIRES_SERVER_ENFORCEMENT</x:v>
      </x:c>
      <x:c r="E48" s="11" t="str">
        <x:v>GENERIC_SUCCESS_SCHEMA</x:v>
      </x:c>
      <x:c r="F48" s="11" t="str">
        <x:v>LOCAL_R2_64</x:v>
      </x:c>
      <x:c r="G48" s="11" t="str">
        <x:v>TARGET_NOT_DEPLOYED</x:v>
      </x:c>
    </x:row>
    <x:row r="49" ht="15" hidden="0" customHeight="1">
      <x:c r="A49" s="11" t="str">
        <x:v>paymentWebhook</x:v>
      </x:c>
      <x:c r="B49" s="11" t="str">
        <x:v>POST</x:v>
      </x:c>
      <x:c r="C49" s="11" t="str">
        <x:v>/webhooks/payments/{providerId}</x:v>
      </x:c>
      <x:c r="D49" s="11" t="str">
        <x:v>webhook_signature; PRESERVED_PERMISSION_REQUIRES_SERVER_ENFORCEMENT</x:v>
      </x:c>
      <x:c r="E49" s="11" t="str">
        <x:v>GENERIC_SUCCESS_SCHEMA</x:v>
      </x:c>
      <x:c r="F49" s="11" t="str">
        <x:v>LOCAL_R2_64</x:v>
      </x:c>
      <x:c r="G49" s="11" t="str">
        <x:v>TARGET_NOT_DEPLOYED</x:v>
      </x:c>
    </x:row>
    <x:row r="50" ht="15" hidden="0" customHeight="1">
      <x:c r="A50" s="11" t="str">
        <x:v>entitlements</x:v>
      </x:c>
      <x:c r="B50" s="11" t="str">
        <x:v>GET</x:v>
      </x:c>
      <x:c r="C50" s="11" t="str">
        <x:v>/entitlements</x:v>
      </x:c>
      <x:c r="D50" s="11" t="str">
        <x:v>self; PRESERVED_PERMISSION_REQUIRES_SERVER_ENFORCEMENT</x:v>
      </x:c>
      <x:c r="E50" s="11" t="str">
        <x:v>GENERIC_SUCCESS_SCHEMA</x:v>
      </x:c>
      <x:c r="F50" s="11" t="str">
        <x:v>LOCAL_R2_64</x:v>
      </x:c>
      <x:c r="G50" s="11" t="str">
        <x:v>TARGET_NOT_DEPLOYED</x:v>
      </x:c>
    </x:row>
    <x:row r="51" ht="15" hidden="0" customHeight="1">
      <x:c r="A51" s="11" t="str">
        <x:v>ticket</x:v>
      </x:c>
      <x:c r="B51" s="11" t="str">
        <x:v>POST</x:v>
      </x:c>
      <x:c r="C51" s="11" t="str">
        <x:v>/support/tickets</x:v>
      </x:c>
      <x:c r="D51" s="11" t="str">
        <x:v>self; PRESERVED_PERMISSION_REQUIRES_SERVER_ENFORCEMENT</x:v>
      </x:c>
      <x:c r="E51" s="11" t="str">
        <x:v>GENERIC_SUCCESS_SCHEMA</x:v>
      </x:c>
      <x:c r="F51" s="11" t="str">
        <x:v>LOCAL_R2_64</x:v>
      </x:c>
      <x:c r="G51" s="11" t="str">
        <x:v>TARGET_NOT_DEPLOYED</x:v>
      </x:c>
    </x:row>
    <x:row r="52" ht="15" hidden="0" customHeight="1">
      <x:c r="A52" s="11" t="str">
        <x:v>ticketStatus</x:v>
      </x:c>
      <x:c r="B52" s="11" t="str">
        <x:v>GET</x:v>
      </x:c>
      <x:c r="C52" s="11" t="str">
        <x:v>/support/tickets/{ticketId}</x:v>
      </x:c>
      <x:c r="D52" s="11" t="str">
        <x:v>ticket:owner; PRESERVED_PERMISSION_REQUIRES_SERVER_ENFORCEMENT</x:v>
      </x:c>
      <x:c r="E52" s="11" t="str">
        <x:v>GENERIC_SUCCESS_SCHEMA</x:v>
      </x:c>
      <x:c r="F52" s="11" t="str">
        <x:v>LOCAL_R2_64</x:v>
      </x:c>
      <x:c r="G52" s="11" t="str">
        <x:v>TARGET_NOT_DEPLOYED</x:v>
      </x:c>
    </x:row>
    <x:row r="53" ht="15" hidden="0" customHeight="1">
      <x:c r="A53" s="11" t="str">
        <x:v>privacyExport</x:v>
      </x:c>
      <x:c r="B53" s="11" t="str">
        <x:v>POST</x:v>
      </x:c>
      <x:c r="C53" s="11" t="str">
        <x:v>/subjects/{subjectId}/data-exports</x:v>
      </x:c>
      <x:c r="D53" s="11" t="str">
        <x:v>subject:privacy; PRESERVED_PERMISSION_REQUIRES_SERVER_ENFORCEMENT</x:v>
      </x:c>
      <x:c r="E53" s="11" t="str">
        <x:v>Không có blocker cấu trúc được ghi; vẫn cần runtime review</x:v>
      </x:c>
      <x:c r="F53" s="11" t="str">
        <x:v>LOCAL_R2_64</x:v>
      </x:c>
      <x:c r="G53" s="11" t="str">
        <x:v>TARGET_NOT_DEPLOYED</x:v>
      </x:c>
    </x:row>
    <x:row r="54" ht="15" hidden="0" customHeight="1">
      <x:c r="A54" s="11" t="str">
        <x:v>deleteSubject</x:v>
      </x:c>
      <x:c r="B54" s="11" t="str">
        <x:v>POST</x:v>
      </x:c>
      <x:c r="C54" s="11" t="str">
        <x:v>/subjects/{subjectId}/deletion-jobs</x:v>
      </x:c>
      <x:c r="D54" s="11" t="str">
        <x:v>subject:privacy; PRESERVED_PERMISSION_REQUIRES_SERVER_ENFORCEMENT</x:v>
      </x:c>
      <x:c r="E54" s="11" t="str">
        <x:v>Không có blocker cấu trúc được ghi; vẫn cần runtime review</x:v>
      </x:c>
      <x:c r="F54" s="11" t="str">
        <x:v>LOCAL_R2_64</x:v>
      </x:c>
      <x:c r="G54" s="11" t="str">
        <x:v>TARGET_NOT_DEPLOYED</x:v>
      </x:c>
    </x:row>
    <x:row r="55" ht="15" hidden="0" customHeight="1">
      <x:c r="A55" s="11" t="str">
        <x:v>deletionStatus</x:v>
      </x:c>
      <x:c r="B55" s="11" t="str">
        <x:v>GET</x:v>
      </x:c>
      <x:c r="C55" s="11" t="str">
        <x:v>/deletion-jobs/{jobId}</x:v>
      </x:c>
      <x:c r="D55" s="11" t="str">
        <x:v>job:owner; PRESERVED_PERMISSION_REQUIRES_SERVER_ENFORCEMENT</x:v>
      </x:c>
      <x:c r="E55" s="11" t="str">
        <x:v>GENERIC_SUCCESS_SCHEMA</x:v>
      </x:c>
      <x:c r="F55" s="11" t="str">
        <x:v>LOCAL_R2_64</x:v>
      </x:c>
      <x:c r="G55" s="11" t="str">
        <x:v>TARGET_NOT_DEPLOYED</x:v>
      </x:c>
    </x:row>
    <x:row r="56" ht="15" hidden="0" customHeight="1">
      <x:c r="A56" s="11" t="str">
        <x:v>jobStatus</x:v>
      </x:c>
      <x:c r="B56" s="11" t="str">
        <x:v>GET</x:v>
      </x:c>
      <x:c r="C56" s="11" t="str">
        <x:v>/jobs/{jobId}</x:v>
      </x:c>
      <x:c r="D56" s="11" t="str">
        <x:v>job:owner; PRESERVED_PERMISSION_REQUIRES_SERVER_ENFORCEMENT</x:v>
      </x:c>
      <x:c r="E56" s="11" t="str">
        <x:v>GENERIC_SUCCESS_SCHEMA</x:v>
      </x:c>
      <x:c r="F56" s="11" t="str">
        <x:v>LOCAL_R2_64</x:v>
      </x:c>
      <x:c r="G56" s="11" t="str">
        <x:v>TARGET_NOT_DEPLOYED</x:v>
      </x:c>
    </x:row>
    <x:row r="57" ht="15" hidden="0" customHeight="1">
      <x:c r="A57" s="11" t="str">
        <x:v>newAutomation</x:v>
      </x:c>
      <x:c r="B57" s="11" t="str">
        <x:v>POST</x:v>
      </x:c>
      <x:c r="C57" s="11" t="str">
        <x:v>/automations</x:v>
      </x:c>
      <x:c r="D57" s="11" t="str">
        <x:v>subject:automate; PRESERVED_PERMISSION_REQUIRES_SERVER_ENFORCEMENT</x:v>
      </x:c>
      <x:c r="E57" s="11" t="str">
        <x:v>GENERIC_SUCCESS_SCHEMA</x:v>
      </x:c>
      <x:c r="F57" s="11" t="str">
        <x:v>LOCAL_R2_64</x:v>
      </x:c>
      <x:c r="G57" s="11" t="str">
        <x:v>TARGET_NOT_DEPLOYED</x:v>
      </x:c>
    </x:row>
    <x:row r="58" ht="15" hidden="0" customHeight="1">
      <x:c r="A58" s="11" t="str">
        <x:v>stopAutomation</x:v>
      </x:c>
      <x:c r="B58" s="11" t="str">
        <x:v>DELETE</x:v>
      </x:c>
      <x:c r="C58" s="11" t="str">
        <x:v>/automations/{automationId}</x:v>
      </x:c>
      <x:c r="D58" s="11" t="str">
        <x:v>automation:owner; PRESERVED_PERMISSION_REQUIRES_SERVER_ENFORCEMENT</x:v>
      </x:c>
      <x:c r="E58" s="11" t="str">
        <x:v>Không có blocker cấu trúc được ghi; vẫn cần runtime review</x:v>
      </x:c>
      <x:c r="F58" s="11" t="str">
        <x:v>LOCAL_R2_64</x:v>
      </x:c>
      <x:c r="G58" s="11" t="str">
        <x:v>TARGET_NOT_DEPLOYED</x:v>
      </x:c>
    </x:row>
    <x:row r="59" ht="15" hidden="0" customHeight="1">
      <x:c r="A59" s="11" t="str">
        <x:v>cases</x:v>
      </x:c>
      <x:c r="B59" s="11" t="str">
        <x:v>GET</x:v>
      </x:c>
      <x:c r="C59" s="11" t="str">
        <x:v>/practice/cases</x:v>
      </x:c>
      <x:c r="D59" s="11" t="str">
        <x:v>practitioner:assigned; PRESERVED_PERMISSION_REQUIRES_SERVER_ENFORCEMENT</x:v>
      </x:c>
      <x:c r="E59" s="11" t="str">
        <x:v>GENERIC_SUCCESS_SCHEMA</x:v>
      </x:c>
      <x:c r="F59" s="11" t="str">
        <x:v>LOCAL_R2_64</x:v>
      </x:c>
      <x:c r="G59" s="11" t="str">
        <x:v>TARGET_NOT_DEPLOYED</x:v>
      </x:c>
    </x:row>
    <x:row r="60" ht="15" hidden="0" customHeight="1">
      <x:c r="A60" s="11" t="str">
        <x:v>caseDetail</x:v>
      </x:c>
      <x:c r="B60" s="11" t="str">
        <x:v>GET</x:v>
      </x:c>
      <x:c r="C60" s="11" t="str">
        <x:v>/practice/cases/{caseId}</x:v>
      </x:c>
      <x:c r="D60" s="11" t="str">
        <x:v>practitioner:assigned; PRESERVED_PERMISSION_REQUIRES_SERVER_ENFORCEMENT</x:v>
      </x:c>
      <x:c r="E60" s="11" t="str">
        <x:v>GENERIC_SUCCESS_SCHEMA</x:v>
      </x:c>
      <x:c r="F60" s="11" t="str">
        <x:v>LOCAL_R2_64</x:v>
      </x:c>
      <x:c r="G60" s="11" t="str">
        <x:v>TARGET_NOT_DEPLOYED</x:v>
      </x:c>
    </x:row>
    <x:row r="61" ht="15" hidden="0" customHeight="1">
      <x:c r="A61" s="11" t="str">
        <x:v>courses</x:v>
      </x:c>
      <x:c r="B61" s="11" t="str">
        <x:v>GET</x:v>
      </x:c>
      <x:c r="C61" s="11" t="str">
        <x:v>/academy/courses</x:v>
      </x:c>
      <x:c r="D61" s="11" t="str">
        <x:v>public; PRESERVED_PERMISSION_REQUIRES_SERVER_ENFORCEMENT</x:v>
      </x:c>
      <x:c r="E61" s="11" t="str">
        <x:v>GENERIC_SUCCESS_SCHEMA</x:v>
      </x:c>
      <x:c r="F61" s="11" t="str">
        <x:v>LOCAL_R2_64</x:v>
      </x:c>
      <x:c r="G61" s="11" t="str">
        <x:v>TARGET_NOT_DEPLOYED</x:v>
      </x:c>
    </x:row>
    <x:row r="62" ht="15" hidden="0" customHeight="1">
      <x:c r="A62" s="11" t="str">
        <x:v>assignment</x:v>
      </x:c>
      <x:c r="B62" s="11" t="str">
        <x:v>POST</x:v>
      </x:c>
      <x:c r="C62" s="11" t="str">
        <x:v>/academy/assignments</x:v>
      </x:c>
      <x:c r="D62" s="11" t="str">
        <x:v>enrollment:write; PRESERVED_PERMISSION_REQUIRES_SERVER_ENFORCEMENT</x:v>
      </x:c>
      <x:c r="E62" s="11" t="str">
        <x:v>GENERIC_SUCCESS_SCHEMA</x:v>
      </x:c>
      <x:c r="F62" s="11" t="str">
        <x:v>LOCAL_R2_64</x:v>
      </x:c>
      <x:c r="G62" s="11" t="str">
        <x:v>TARGET_NOT_DEPLOYED</x:v>
      </x:c>
    </x:row>
    <x:row r="63" ht="15" hidden="0" customHeight="1">
      <x:c r="A63" s="11" t="str">
        <x:v>verifyCertificate</x:v>
      </x:c>
      <x:c r="B63" s="11" t="str">
        <x:v>GET</x:v>
      </x:c>
      <x:c r="C63" s="11" t="str">
        <x:v>/certificates/{certificateId}</x:v>
      </x:c>
      <x:c r="D63" s="11" t="str">
        <x:v>public_minimal; PRESERVED_PERMISSION_REQUIRES_SERVER_ENFORCEMENT</x:v>
      </x:c>
      <x:c r="E63" s="11" t="str">
        <x:v>GENERIC_SUCCESS_SCHEMA</x:v>
      </x:c>
      <x:c r="F63" s="11" t="str">
        <x:v>LOCAL_R2_64</x:v>
      </x:c>
      <x:c r="G63" s="11" t="str">
        <x:v>TARGET_NOT_DEPLOYED</x:v>
      </x:c>
    </x:row>
    <x:row r="64" ht="15" hidden="0" customHeight="1">
      <x:c r="A64" s="11" t="str">
        <x:v>organizationOverview</x:v>
      </x:c>
      <x:c r="B64" s="11" t="str">
        <x:v>GET</x:v>
      </x:c>
      <x:c r="C64" s="11" t="str">
        <x:v>/organizations/{organizationId}/overview</x:v>
      </x:c>
      <x:c r="D64" s="11" t="str">
        <x:v>organization:member; PRESERVED_PERMISSION_REQUIRES_SERVER_ENFORCEMENT</x:v>
      </x:c>
      <x:c r="E64" s="11" t="str">
        <x:v>GENERIC_SUCCESS_SCHEMA</x:v>
      </x:c>
      <x:c r="F64" s="11" t="str">
        <x:v>LOCAL_R2_64</x:v>
      </x:c>
      <x:c r="G64" s="11" t="str">
        <x:v>TARGET_NOT_DEPLOYED</x:v>
      </x:c>
    </x:row>
    <x:row r="65" ht="15" hidden="0" customHeight="1">
      <x:c r="A65" s="11" t="str">
        <x:v>partner</x:v>
      </x:c>
      <x:c r="B65" s="11" t="str">
        <x:v>GET</x:v>
      </x:c>
      <x:c r="C65" s="11" t="str">
        <x:v>/partners/{partnerId}</x:v>
      </x:c>
      <x:c r="D65" s="11" t="str">
        <x:v>partner:assigned; PRESERVED_PERMISSION_REQUIRES_SERVER_ENFORCEMENT</x:v>
      </x:c>
      <x:c r="E65" s="11" t="str">
        <x:v>GENERIC_SUCCESS_SCHEMA</x:v>
      </x:c>
      <x:c r="F65" s="11" t="str">
        <x:v>LOCAL_R2_64</x:v>
      </x:c>
      <x:c r="G65" s="11" t="str">
        <x:v>TARGET_NOT_DEPLOYED</x:v>
      </x:c>
    </x:row>
    <x:row r="66" ht="15" hidden="0" customHeight="1">
      <x:c r="A66" s="11" t="str">
        <x:v>methodReleaseDraft</x:v>
      </x:c>
      <x:c r="B66" s="11" t="str">
        <x:v>POST</x:v>
      </x:c>
      <x:c r="C66" s="11" t="str">
        <x:v>/admin/method-releases</x:v>
      </x:c>
      <x:c r="D66" s="11" t="str">
        <x:v>method:editor; PRESERVED_PERMISSION_REQUIRES_SERVER_ENFORCEMENT</x:v>
      </x:c>
      <x:c r="E66" s="11" t="str">
        <x:v>GENERIC_SUCCESS_SCHEMA</x:v>
      </x:c>
      <x:c r="F66" s="11" t="str">
        <x:v>LOCAL_R2_64</x:v>
      </x:c>
      <x:c r="G66" s="11" t="str">
        <x:v>TARGET_NOT_DEPLOYED</x:v>
      </x:c>
    </x:row>
    <x:row r="67" ht="15" hidden="0" customHeight="1">
      <x:c r="A67" s="11" t="str">
        <x:v>countryPackReview</x:v>
      </x:c>
      <x:c r="B67" s="11" t="str">
        <x:v>POST</x:v>
      </x:c>
      <x:c r="C67" s="11" t="str">
        <x:v>/admin/country-packs</x:v>
      </x:c>
      <x:c r="D67" s="11" t="str">
        <x:v>legal:reviewer; PRESERVED_PERMISSION_REQUIRES_SERVER_ENFORCEMENT</x:v>
      </x:c>
      <x:c r="E67" s="11" t="str">
        <x:v>GENERIC_SUCCESS_SCHEMA</x:v>
      </x:c>
      <x:c r="F67" s="11" t="str">
        <x:v>LOCAL_R2_64</x:v>
      </x:c>
      <x:c r="G67" s="11" t="str">
        <x:v>TARGET_NOT_DEPLOYED</x:v>
      </x:c>
    </x:row>
    <x:row r="68" ht="15" hidden="0" customHeight="1">
      <x:c r="A68" s="11" t="str">
        <x:v>quality</x:v>
      </x:c>
      <x:c r="B68" s="11" t="str">
        <x:v>GET</x:v>
      </x:c>
      <x:c r="C68" s="11" t="str">
        <x:v>/admin/quality</x:v>
      </x:c>
      <x:c r="D68" s="11" t="str">
        <x:v>quality:reviewer; PRESERVED_PERMISSION_REQUIRES_SERVER_ENFORCEMENT</x:v>
      </x:c>
      <x:c r="E68" s="11" t="str">
        <x:v>GENERIC_SUCCESS_SCHEMA</x:v>
      </x:c>
      <x:c r="F68" s="11" t="str">
        <x:v>LOCAL_R2_64</x:v>
      </x:c>
      <x:c r="G68" s="11" t="str">
        <x:v>TARGET_NOT_DEPLOYED</x:v>
      </x:c>
    </x:row>
    <x:row r="69" ht="15" hidden="0" customHeight="1">
      <x:c r="A69" s="11" t="str">
        <x:v>operations</x:v>
      </x:c>
      <x:c r="B69" s="11" t="str">
        <x:v>GET</x:v>
      </x:c>
      <x:c r="C69" s="11" t="str">
        <x:v>/admin/operations</x:v>
      </x:c>
      <x:c r="D69" s="11" t="str">
        <x:v>ops:reader; PRESERVED_PERMISSION_REQUIRES_SERVER_ENFORCEMENT</x:v>
      </x:c>
      <x:c r="E69" s="11" t="str">
        <x:v>GENERIC_SUCCESS_SCHEMA</x:v>
      </x:c>
      <x:c r="F69" s="11" t="str">
        <x:v>LOCAL_R2_64</x:v>
      </x:c>
      <x:c r="G69" s="11" t="str">
        <x:v>TARGET_NOT_DEPLOYED</x:v>
      </x:c>
    </x:row>
    <x:row r="70" ht="15" hidden="0" customHeight="1">
      <x:c r="A70" s="11" t="str">
        <x:v>compareRuns</x:v>
      </x:c>
      <x:c r="B70" s="11" t="str">
        <x:v>POST</x:v>
      </x:c>
      <x:c r="C70" s="11" t="str">
        <x:v>/analysis-runs/compare</x:v>
      </x:c>
      <x:c r="D70" s="11" t="str">
        <x:v>subject:read; PRESERVED_PERMISSION_REQUIRES_SERVER_ENFORCEMENT</x:v>
      </x:c>
      <x:c r="E70" s="11" t="str">
        <x:v>GENERIC_SUCCESS_SCHEMA</x:v>
      </x:c>
      <x:c r="F70" s="11" t="str">
        <x:v>EXTERNAL_V2_ADDITION_19</x:v>
      </x:c>
      <x:c r="G70" s="11" t="str">
        <x:v>TARGET_NOT_DEPLOYED</x:v>
      </x:c>
    </x:row>
    <x:row r="71" ht="15" hidden="0" customHeight="1">
      <x:c r="A71" s="11" t="str">
        <x:v>previewMethod</x:v>
      </x:c>
      <x:c r="B71" s="11" t="str">
        <x:v>POST</x:v>
      </x:c>
      <x:c r="C71" s="11" t="str">
        <x:v>/methods/{methodId}/preview</x:v>
      </x:c>
      <x:c r="D71" s="11" t="str">
        <x:v>method:preview; PRESERVED_PERMISSION_REQUIRES_SERVER_ENFORCEMENT</x:v>
      </x:c>
      <x:c r="E71" s="11" t="str">
        <x:v>GENERIC_SUCCESS_SCHEMA</x:v>
      </x:c>
      <x:c r="F71" s="11" t="str">
        <x:v>EXTERNAL_V2_ADDITION_19</x:v>
      </x:c>
      <x:c r="G71" s="11" t="str">
        <x:v>TARGET_NOT_DEPLOYED</x:v>
      </x:c>
    </x:row>
    <x:row r="72" ht="15" hidden="0" customHeight="1">
      <x:c r="A72" s="11" t="str">
        <x:v>methodDependencies</x:v>
      </x:c>
      <x:c r="B72" s="11" t="str">
        <x:v>GET</x:v>
      </x:c>
      <x:c r="C72" s="11" t="str">
        <x:v>/methods/{methodId}/dependencies</x:v>
      </x:c>
      <x:c r="D72" s="11" t="str">
        <x:v>method:read; PRESERVED_PERMISSION_REQUIRES_SERVER_ENFORCEMENT</x:v>
      </x:c>
      <x:c r="E72" s="11" t="str">
        <x:v>GENERIC_SUCCESS_SCHEMA</x:v>
      </x:c>
      <x:c r="F72" s="11" t="str">
        <x:v>EXTERNAL_V2_ADDITION_19</x:v>
      </x:c>
      <x:c r="G72" s="11" t="str">
        <x:v>TARGET_NOT_DEPLOYED</x:v>
      </x:c>
    </x:row>
    <x:row r="73" ht="15" hidden="0" customHeight="1">
      <x:c r="A73" s="11" t="str">
        <x:v>methodTestVectors</x:v>
      </x:c>
      <x:c r="B73" s="11" t="str">
        <x:v>GET</x:v>
      </x:c>
      <x:c r="C73" s="11" t="str">
        <x:v>/methods/{methodId}/test-vectors</x:v>
      </x:c>
      <x:c r="D73" s="11" t="str">
        <x:v>method:review; PRESERVED_PERMISSION_REQUIRES_SERVER_ENFORCEMENT</x:v>
      </x:c>
      <x:c r="E73" s="11" t="str">
        <x:v>GENERIC_SUCCESS_SCHEMA</x:v>
      </x:c>
      <x:c r="F73" s="11" t="str">
        <x:v>EXTERNAL_V2_ADDITION_19</x:v>
      </x:c>
      <x:c r="G73" s="11" t="str">
        <x:v>TARGET_NOT_DEPLOYED</x:v>
      </x:c>
    </x:row>
    <x:row r="74" ht="15" hidden="0" customHeight="1">
      <x:c r="A74" s="11" t="str">
        <x:v>resolveHypotheses</x:v>
      </x:c>
      <x:c r="B74" s="11" t="str">
        <x:v>POST</x:v>
      </x:c>
      <x:c r="C74" s="11" t="str">
        <x:v>/subjects/{subjectId}/hypotheses/resolve</x:v>
      </x:c>
      <x:c r="D74" s="11" t="str">
        <x:v>subject:write; PRESERVED_PERMISSION_REQUIRES_SERVER_ENFORCEMENT</x:v>
      </x:c>
      <x:c r="E74" s="11" t="str">
        <x:v>GENERIC_SUCCESS_SCHEMA</x:v>
      </x:c>
      <x:c r="F74" s="11" t="str">
        <x:v>EXTERNAL_V2_ADDITION_19</x:v>
      </x:c>
      <x:c r="G74" s="11" t="str">
        <x:v>TARGET_NOT_DEPLOYED</x:v>
      </x:c>
    </x:row>
    <x:row r="75" ht="15" hidden="0" customHeight="1">
      <x:c r="A75" s="11" t="str">
        <x:v>runTrace</x:v>
      </x:c>
      <x:c r="B75" s="11" t="str">
        <x:v>GET</x:v>
      </x:c>
      <x:c r="C75" s="11" t="str">
        <x:v>/analysis-runs/{runId}/trace</x:v>
      </x:c>
      <x:c r="D75" s="11" t="str">
        <x:v>subject:read; PRESERVED_PERMISSION_REQUIRES_SERVER_ENFORCEMENT</x:v>
      </x:c>
      <x:c r="E75" s="11" t="str">
        <x:v>GENERIC_SUCCESS_SCHEMA</x:v>
      </x:c>
      <x:c r="F75" s="11" t="str">
        <x:v>EXTERNAL_V2_ADDITION_19</x:v>
      </x:c>
      <x:c r="G75" s="11" t="str">
        <x:v>TARGET_NOT_DEPLOYED</x:v>
      </x:c>
    </x:row>
    <x:row r="76" ht="15" hidden="0" customHeight="1">
      <x:c r="A76" s="11" t="str">
        <x:v>runDependencies</x:v>
      </x:c>
      <x:c r="B76" s="11" t="str">
        <x:v>GET</x:v>
      </x:c>
      <x:c r="C76" s="11" t="str">
        <x:v>/analysis-runs/{runId}/dependencies</x:v>
      </x:c>
      <x:c r="D76" s="11" t="str">
        <x:v>subject:read; PRESERVED_PERMISSION_REQUIRES_SERVER_ENFORCEMENT</x:v>
      </x:c>
      <x:c r="E76" s="11" t="str">
        <x:v>GENERIC_SUCCESS_SCHEMA</x:v>
      </x:c>
      <x:c r="F76" s="11" t="str">
        <x:v>EXTERNAL_V2_ADDITION_19</x:v>
      </x:c>
      <x:c r="G76" s="11" t="str">
        <x:v>TARGET_NOT_DEPLOYED</x:v>
      </x:c>
    </x:row>
    <x:row r="77" ht="15" hidden="0" customHeight="1">
      <x:c r="A77" s="11" t="str">
        <x:v>claimProvenance</x:v>
      </x:c>
      <x:c r="B77" s="11" t="str">
        <x:v>GET</x:v>
      </x:c>
      <x:c r="C77" s="11" t="str">
        <x:v>/claims/{claimId}/provenance</x:v>
      </x:c>
      <x:c r="D77" s="11" t="str">
        <x:v>subject:read; PRESERVED_PERMISSION_REQUIRES_SERVER_ENFORCEMENT</x:v>
      </x:c>
      <x:c r="E77" s="11" t="str">
        <x:v>GENERIC_SUCCESS_SCHEMA</x:v>
      </x:c>
      <x:c r="F77" s="11" t="str">
        <x:v>EXTERNAL_V2_ADDITION_19</x:v>
      </x:c>
      <x:c r="G77" s="11" t="str">
        <x:v>TARGET_NOT_DEPLOYED</x:v>
      </x:c>
    </x:row>
    <x:row r="78" ht="15" hidden="0" customHeight="1">
      <x:c r="A78" s="11" t="str">
        <x:v>reviewReportV2</x:v>
      </x:c>
      <x:c r="B78" s="11" t="str">
        <x:v>POST</x:v>
      </x:c>
      <x:c r="C78" s="11" t="str">
        <x:v>/reports/{reportId}/review</x:v>
      </x:c>
      <x:c r="D78" s="11" t="str">
        <x:v>report:review; PRESERVED_PERMISSION_REQUIRES_SERVER_ENFORCEMENT</x:v>
      </x:c>
      <x:c r="E78" s="11" t="str">
        <x:v>GENERIC_SUCCESS_SCHEMA</x:v>
      </x:c>
      <x:c r="F78" s="11" t="str">
        <x:v>EXTERNAL_V2_ADDITION_19</x:v>
      </x:c>
      <x:c r="G78" s="11" t="str">
        <x:v>TARGET_NOT_DEPLOYED</x:v>
      </x:c>
    </x:row>
    <x:row r="79" ht="15" hidden="0" customHeight="1">
      <x:c r="A79" s="11" t="str">
        <x:v>withdrawReportV2</x:v>
      </x:c>
      <x:c r="B79" s="11" t="str">
        <x:v>POST</x:v>
      </x:c>
      <x:c r="C79" s="11" t="str">
        <x:v>/reports/{reportId}/withdraw</x:v>
      </x:c>
      <x:c r="D79" s="11" t="str">
        <x:v>report:withdraw; PRESERVED_PERMISSION_REQUIRES_SERVER_ENFORCEMENT</x:v>
      </x:c>
      <x:c r="E79" s="11" t="str">
        <x:v>GENERIC_SUCCESS_SCHEMA</x:v>
      </x:c>
      <x:c r="F79" s="11" t="str">
        <x:v>EXTERNAL_V2_ADDITION_19</x:v>
      </x:c>
      <x:c r="G79" s="11" t="str">
        <x:v>TARGET_NOT_DEPLOYED</x:v>
      </x:c>
    </x:row>
    <x:row r="80" ht="15" hidden="0" customHeight="1">
      <x:c r="A80" s="11" t="str">
        <x:v>reportDiff</x:v>
      </x:c>
      <x:c r="B80" s="11" t="str">
        <x:v>GET</x:v>
      </x:c>
      <x:c r="C80" s="11" t="str">
        <x:v>/reports/{reportId}/diff/{previousId}</x:v>
      </x:c>
      <x:c r="D80" s="11" t="str">
        <x:v>subject:read; PRESERVED_PERMISSION_REQUIRES_SERVER_ENFORCEMENT</x:v>
      </x:c>
      <x:c r="E80" s="11" t="str">
        <x:v>GENERIC_SUCCESS_SCHEMA</x:v>
      </x:c>
      <x:c r="F80" s="11" t="str">
        <x:v>EXTERNAL_V2_ADDITION_19</x:v>
      </x:c>
      <x:c r="G80" s="11" t="str">
        <x:v>TARGET_NOT_DEPLOYED</x:v>
      </x:c>
    </x:row>
    <x:row r="81" ht="15" hidden="0" customHeight="1">
      <x:c r="A81" s="11" t="str">
        <x:v>newDeletionV2</x:v>
      </x:c>
      <x:c r="B81" s="11" t="str">
        <x:v>POST</x:v>
      </x:c>
      <x:c r="C81" s="11" t="str">
        <x:v>/privacy/deletion-requests</x:v>
      </x:c>
      <x:c r="D81" s="11" t="str">
        <x:v>subject:delete; PRESERVED_PERMISSION_REQUIRES_SERVER_ENFORCEMENT</x:v>
      </x:c>
      <x:c r="E81" s="11" t="str">
        <x:v>GENERIC_SUCCESS_SCHEMA</x:v>
      </x:c>
      <x:c r="F81" s="11" t="str">
        <x:v>EXTERNAL_V2_ADDITION_19</x:v>
      </x:c>
      <x:c r="G81" s="11" t="str">
        <x:v>TARGET_NOT_DEPLOYED</x:v>
      </x:c>
    </x:row>
    <x:row r="82" ht="15" hidden="0" customHeight="1">
      <x:c r="A82" s="11" t="str">
        <x:v>deletionStatusV2</x:v>
      </x:c>
      <x:c r="B82" s="11" t="str">
        <x:v>GET</x:v>
      </x:c>
      <x:c r="C82" s="11" t="str">
        <x:v>/privacy/deletion-requests/{requestId}</x:v>
      </x:c>
      <x:c r="D82" s="11" t="str">
        <x:v>subject:read; PRESERVED_PERMISSION_REQUIRES_SERVER_ENFORCEMENT</x:v>
      </x:c>
      <x:c r="E82" s="11" t="str">
        <x:v>GENERIC_SUCCESS_SCHEMA</x:v>
      </x:c>
      <x:c r="F82" s="11" t="str">
        <x:v>EXTERNAL_V2_ADDITION_19</x:v>
      </x:c>
      <x:c r="G82" s="11" t="str">
        <x:v>TARGET_NOT_DEPLOYED</x:v>
      </x:c>
    </x:row>
    <x:row r="83" ht="15" hidden="0" customHeight="1">
      <x:c r="A83" s="11" t="str">
        <x:v>countryEligibility</x:v>
      </x:c>
      <x:c r="B83" s="11" t="str">
        <x:v>GET</x:v>
      </x:c>
      <x:c r="C83" s="11" t="str">
        <x:v>/country-packs/{countryId}/eligibility</x:v>
      </x:c>
      <x:c r="D83" s="11" t="str">
        <x:v>self; PRESERVED_PERMISSION_REQUIRES_SERVER_ENFORCEMENT</x:v>
      </x:c>
      <x:c r="E83" s="11" t="str">
        <x:v>GENERIC_SUCCESS_SCHEMA</x:v>
      </x:c>
      <x:c r="F83" s="11" t="str">
        <x:v>EXTERNAL_V2_ADDITION_19</x:v>
      </x:c>
      <x:c r="G83" s="11" t="str">
        <x:v>TARGET_NOT_DEPLOYED</x:v>
      </x:c>
    </x:row>
    <x:row r="84" ht="15" hidden="0" customHeight="1">
      <x:c r="A84" s="11" t="str">
        <x:v>releaseImpact</x:v>
      </x:c>
      <x:c r="B84" s="11" t="str">
        <x:v>GET</x:v>
      </x:c>
      <x:c r="C84" s="11" t="str">
        <x:v>/operations/method-releases/{releaseId}/impact</x:v>
      </x:c>
      <x:c r="D84" s="11" t="str">
        <x:v>method:review; PRESERVED_PERMISSION_REQUIRES_SERVER_ENFORCEMENT</x:v>
      </x:c>
      <x:c r="E84" s="11" t="str">
        <x:v>GENERIC_SUCCESS_SCHEMA</x:v>
      </x:c>
      <x:c r="F84" s="11" t="str">
        <x:v>EXTERNAL_V2_ADDITION_19</x:v>
      </x:c>
      <x:c r="G84" s="11" t="str">
        <x:v>TARGET_NOT_DEPLOYED</x:v>
      </x:c>
    </x:row>
    <x:row r="85" ht="15" hidden="0" customHeight="1">
      <x:c r="A85" s="11" t="str">
        <x:v>freezeMethod</x:v>
      </x:c>
      <x:c r="B85" s="11" t="str">
        <x:v>POST</x:v>
      </x:c>
      <x:c r="C85" s="11" t="str">
        <x:v>/operations/method-releases/{releaseId}/freeze</x:v>
      </x:c>
      <x:c r="D85" s="11" t="str">
        <x:v>method:release; PRESERVED_PERMISSION_REQUIRES_SERVER_ENFORCEMENT</x:v>
      </x:c>
      <x:c r="E85" s="11" t="str">
        <x:v>GENERIC_SUCCESS_SCHEMA</x:v>
      </x:c>
      <x:c r="F85" s="11" t="str">
        <x:v>EXTERNAL_V2_ADDITION_19</x:v>
      </x:c>
      <x:c r="G85" s="11" t="str">
        <x:v>TARGET_NOT_DEPLOYED</x:v>
      </x:c>
    </x:row>
    <x:row r="86" ht="15" hidden="0" customHeight="1">
      <x:c r="A86" s="11" t="str">
        <x:v>resonanceSummaryV2</x:v>
      </x:c>
      <x:c r="B86" s="11" t="str">
        <x:v>GET</x:v>
      </x:c>
      <x:c r="C86" s="11" t="str">
        <x:v>/subjects/{subjectId}/resonance/summary</x:v>
      </x:c>
      <x:c r="D86" s="11" t="str">
        <x:v>subject:read; PRESERVED_PERMISSION_REQUIRES_SERVER_ENFORCEMENT</x:v>
      </x:c>
      <x:c r="E86" s="11" t="str">
        <x:v>GENERIC_SUCCESS_SCHEMA</x:v>
      </x:c>
      <x:c r="F86" s="11" t="str">
        <x:v>EXTERNAL_V2_ADDITION_19</x:v>
      </x:c>
      <x:c r="G86" s="11" t="str">
        <x:v>TARGET_NOT_DEPLOYED</x:v>
      </x:c>
    </x:row>
    <x:row r="87" ht="15" hidden="0" customHeight="1">
      <x:c r="A87" s="11" t="str">
        <x:v>syncOfflineBatch</x:v>
      </x:c>
      <x:c r="B87" s="11" t="str">
        <x:v>POST</x:v>
      </x:c>
      <x:c r="C87" s="11" t="str">
        <x:v>/subjects/{subjectId}/offline-batches</x:v>
      </x:c>
      <x:c r="D87" s="11" t="str">
        <x:v>subject:write; PRESERVED_PERMISSION_REQUIRES_SERVER_ENFORCEMENT</x:v>
      </x:c>
      <x:c r="E87" s="11" t="str">
        <x:v>GENERIC_SUCCESS_SCHEMA</x:v>
      </x:c>
      <x:c r="F87" s="11" t="str">
        <x:v>EXTERNAL_V2_ADDITION_19</x:v>
      </x:c>
      <x:c r="G87" s="11" t="str">
        <x:v>TARGET_NOT_DEPLOYED</x:v>
      </x:c>
    </x:row>
    <x:row r="88" ht="48" hidden="0" customHeight="1">
      <x:c r="A88" s="11" t="str">
        <x:v>computeNumerologyFull</x:v>
      </x:c>
      <x:c r="B88" s="11" t="str">
        <x:v>POST</x:v>
      </x:c>
      <x:c r="C88" s="11" t="str">
        <x:v>/numbers/numerology-full</x:v>
      </x:c>
      <x:c r="D88" s="11" t="str">
        <x:v>ACTION/RESOURCE CHƯA CHỐT; account; subject_grant; processing_purpose; released_method; entitlement_if_required; UNRESOLVED_FAIL_CLOSED</x:v>
      </x:c>
      <x:c r="E88" s="11" t="str">
        <x:v>FIELD_LEVEL_AUTHORIZATION_AND_SUBJECT_CONTEXT_UNRESOLVED; PERMISSION_ACTION_AND_RESOURCE_SCOPE_UNRESOLVED; REFERENCE_ONLY_RESPONSE</x:v>
      </x:c>
      <x:c r="F88" s="11" t="str">
        <x:v>EXTERNAL_V3_ADDITION_16</x:v>
      </x:c>
      <x:c r="G88" s="11" t="str">
        <x:v>TARGET_NOT_DEPLOYED</x:v>
      </x:c>
    </x:row>
    <x:row r="89" ht="48" hidden="0" customHeight="1">
      <x:c r="A89" s="11" t="str">
        <x:v>computeBatCuc</x:v>
      </x:c>
      <x:c r="B89" s="11" t="str">
        <x:v>POST</x:v>
      </x:c>
      <x:c r="C89" s="11" t="str">
        <x:v>/numbers/bat-cuc</x:v>
      </x:c>
      <x:c r="D89" s="11" t="str">
        <x:v>ACTION/RESOURCE CHƯA CHỐT; account; subject_grant; processing_purpose; released_method; entitlement_if_required; UNRESOLVED_FAIL_CLOSED</x:v>
      </x:c>
      <x:c r="E89" s="11" t="str">
        <x:v>FIELD_LEVEL_AUTHORIZATION_AND_SUBJECT_CONTEXT_UNRESOLVED; PERMISSION_ACTION_AND_RESOURCE_SCOPE_UNRESOLVED; REFERENCE_ONLY_RESPONSE</x:v>
      </x:c>
      <x:c r="F89" s="11" t="str">
        <x:v>EXTERNAL_V3_ADDITION_16</x:v>
      </x:c>
      <x:c r="G89" s="11" t="str">
        <x:v>TARGET_NOT_DEPLOYED</x:v>
      </x:c>
    </x:row>
    <x:row r="90" ht="48" hidden="0" customHeight="1">
      <x:c r="A90" s="11" t="str">
        <x:v>computePsychomatrix</x:v>
      </x:c>
      <x:c r="B90" s="11" t="str">
        <x:v>POST</x:v>
      </x:c>
      <x:c r="C90" s="11" t="str">
        <x:v>/numbers/psychomatrix</x:v>
      </x:c>
      <x:c r="D90" s="11" t="str">
        <x:v>ACTION/RESOURCE CHƯA CHỐT; account; subject_grant; processing_purpose; released_method; entitlement_if_required; UNRESOLVED_FAIL_CLOSED</x:v>
      </x:c>
      <x:c r="E90" s="11" t="str">
        <x:v>FIELD_LEVEL_AUTHORIZATION_AND_SUBJECT_CONTEXT_UNRESOLVED; PERMISSION_ACTION_AND_RESOURCE_SCOPE_UNRESOLVED; REFERENCE_ONLY_RESPONSE</x:v>
      </x:c>
      <x:c r="F90" s="11" t="str">
        <x:v>EXTERNAL_V3_ADDITION_16</x:v>
      </x:c>
      <x:c r="G90" s="11" t="str">
        <x:v>TARGET_NOT_DEPLOYED</x:v>
      </x:c>
    </x:row>
    <x:row r="91" ht="48" hidden="0" customHeight="1">
      <x:c r="A91" s="11" t="str">
        <x:v>compareNumberAssets</x:v>
      </x:c>
      <x:c r="B91" s="11" t="str">
        <x:v>POST</x:v>
      </x:c>
      <x:c r="C91" s="11" t="str">
        <x:v>/numbers/compare</x:v>
      </x:c>
      <x:c r="D91" s="11" t="str">
        <x:v>ACTION/RESOURCE CHƯA CHỐT; account; subject_grant; processing_purpose; released_method; entitlement_if_required; UNRESOLVED_FAIL_CLOSED</x:v>
      </x:c>
      <x:c r="E91" s="11" t="str">
        <x:v>FIELD_LEVEL_AUTHORIZATION_AND_SUBJECT_CONTEXT_UNRESOLVED; PERMISSION_ACTION_AND_RESOURCE_SCOPE_UNRESOLVED; REFERENCE_ONLY_RESPONSE</x:v>
      </x:c>
      <x:c r="F91" s="11" t="str">
        <x:v>EXTERNAL_V3_ADDITION_16</x:v>
      </x:c>
      <x:c r="G91" s="11" t="str">
        <x:v>TARGET_NOT_DEPLOYED</x:v>
      </x:c>
    </x:row>
    <x:row r="92" ht="48" hidden="0" customHeight="1">
      <x:c r="A92" s="11" t="str">
        <x:v>compareNameVariants</x:v>
      </x:c>
      <x:c r="B92" s="11" t="str">
        <x:v>POST</x:v>
      </x:c>
      <x:c r="C92" s="11" t="str">
        <x:v>/names/compare</x:v>
      </x:c>
      <x:c r="D92" s="11" t="str">
        <x:v>ACTION/RESOURCE CHƯA CHỐT; account; subject_grant; processing_purpose; released_method; entitlement_if_required; UNRESOLVED_FAIL_CLOSED</x:v>
      </x:c>
      <x:c r="E92" s="11" t="str">
        <x:v>FIELD_LEVEL_AUTHORIZATION_AND_SUBJECT_CONTEXT_UNRESOLVED; PERMISSION_ACTION_AND_RESOURCE_SCOPE_UNRESOLVED; REFERENCE_ONLY_RESPONSE</x:v>
      </x:c>
      <x:c r="F92" s="11" t="str">
        <x:v>EXTERNAL_V3_ADDITION_16</x:v>
      </x:c>
      <x:c r="G92" s="11" t="str">
        <x:v>TARGET_NOT_DEPLOYED</x:v>
      </x:c>
    </x:row>
    <x:row r="93" ht="48" hidden="0" customHeight="1">
      <x:c r="A93" s="11" t="str">
        <x:v>composeLifetime</x:v>
      </x:c>
      <x:c r="B93" s="11" t="str">
        <x:v>POST</x:v>
      </x:c>
      <x:c r="C93" s="11" t="str">
        <x:v>/lifetime/compose</x:v>
      </x:c>
      <x:c r="D93" s="11" t="str">
        <x:v>ACTION/RESOURCE CHƯA CHỐT; account; subject_grant; processing_purpose; released_method; entitlement_if_required; UNRESOLVED_FAIL_CLOSED</x:v>
      </x:c>
      <x:c r="E93" s="11" t="str">
        <x:v>FIELD_LEVEL_AUTHORIZATION_AND_SUBJECT_CONTEXT_UNRESOLVED; PERMISSION_ACTION_AND_RESOURCE_SCOPE_UNRESOLVED; REFERENCE_ONLY_RESPONSE</x:v>
      </x:c>
      <x:c r="F93" s="11" t="str">
        <x:v>EXTERNAL_V3_ADDITION_16</x:v>
      </x:c>
      <x:c r="G93" s="11" t="str">
        <x:v>TARGET_NOT_DEPLOYED</x:v>
      </x:c>
    </x:row>
    <x:row r="94" ht="36" hidden="0" customHeight="1">
      <x:c r="A94" s="11" t="str">
        <x:v>createAnalysisBundle</x:v>
      </x:c>
      <x:c r="B94" s="11" t="str">
        <x:v>POST</x:v>
      </x:c>
      <x:c r="C94" s="11" t="str">
        <x:v>/analysis-bundles</x:v>
      </x:c>
      <x:c r="D94" s="11" t="str">
        <x:v>ACTION/RESOURCE CHƯA CHỐT; account; subject_grant; processing_purpose; released_method; entitlement_if_required; UNRESOLVED_FAIL_CLOSED</x:v>
      </x:c>
      <x:c r="E94" s="11" t="str">
        <x:v>FIELD_LEVEL_AUTHORIZATION_AND_SUBJECT_CONTEXT_UNRESOLVED; MISSING_SUCCESS_SCHEMA; PERMISSION_ACTION_AND_RESOURCE_SCOPE_UNRESOLVED</x:v>
      </x:c>
      <x:c r="F94" s="11" t="str">
        <x:v>EXTERNAL_V3_ADDITION_16</x:v>
      </x:c>
      <x:c r="G94" s="11" t="str">
        <x:v>TARGET_NOT_DEPLOYED</x:v>
      </x:c>
    </x:row>
    <x:row r="95" ht="36" hidden="0" customHeight="1">
      <x:c r="A95" s="11" t="str">
        <x:v>getAnalysisBundle</x:v>
      </x:c>
      <x:c r="B95" s="11" t="str">
        <x:v>GET</x:v>
      </x:c>
      <x:c r="C95" s="11" t="str">
        <x:v>/analysis-bundles/{bundle_id}</x:v>
      </x:c>
      <x:c r="D95" s="11" t="str">
        <x:v>ACTION/RESOURCE CHƯA CHỐT; account; subject_grant; processing_purpose; released_method; entitlement_if_required; UNRESOLVED_FAIL_CLOSED</x:v>
      </x:c>
      <x:c r="E95" s="11" t="str">
        <x:v>FIELD_LEVEL_AUTHORIZATION_AND_SUBJECT_CONTEXT_UNRESOLVED; MISSING_SUCCESS_SCHEMA; PERMISSION_ACTION_AND_RESOURCE_SCOPE_UNRESOLVED</x:v>
      </x:c>
      <x:c r="F95" s="11" t="str">
        <x:v>EXTERNAL_V3_ADDITION_16</x:v>
      </x:c>
      <x:c r="G95" s="11" t="str">
        <x:v>TARGET_NOT_DEPLOYED</x:v>
      </x:c>
    </x:row>
    <x:row r="96" ht="36" hidden="0" customHeight="1">
      <x:c r="A96" s="11" t="str">
        <x:v>cancelAnalysisBundle</x:v>
      </x:c>
      <x:c r="B96" s="11" t="str">
        <x:v>POST</x:v>
      </x:c>
      <x:c r="C96" s="11" t="str">
        <x:v>/analysis-bundles/{bundle_id}/cancel</x:v>
      </x:c>
      <x:c r="D96" s="11" t="str">
        <x:v>ACTION/RESOURCE CHƯA CHỐT; account; subject_grant; processing_purpose; released_method; entitlement_if_required; UNRESOLVED_FAIL_CLOSED</x:v>
      </x:c>
      <x:c r="E96" s="11" t="str">
        <x:v>FIELD_LEVEL_AUTHORIZATION_AND_SUBJECT_CONTEXT_UNRESOLVED; MISSING_SUCCESS_SCHEMA; PERMISSION_ACTION_AND_RESOURCE_SCOPE_UNRESOLVED</x:v>
      </x:c>
      <x:c r="F96" s="11" t="str">
        <x:v>EXTERNAL_V3_ADDITION_16</x:v>
      </x:c>
      <x:c r="G96" s="11" t="str">
        <x:v>TARGET_NOT_DEPLOYED</x:v>
      </x:c>
    </x:row>
    <x:row r="97" ht="36" hidden="0" customHeight="1">
      <x:c r="A97" s="11" t="str">
        <x:v>getMethodSourceConflicts</x:v>
      </x:c>
      <x:c r="B97" s="11" t="str">
        <x:v>GET</x:v>
      </x:c>
      <x:c r="C97" s="11" t="str">
        <x:v>/methods/{method_id}/source-conflicts</x:v>
      </x:c>
      <x:c r="D97" s="11" t="str">
        <x:v>ACTION/RESOURCE CHƯA CHỐT; account; subject_grant; processing_purpose; released_method; entitlement_if_required; UNRESOLVED_FAIL_CLOSED</x:v>
      </x:c>
      <x:c r="E97" s="11" t="str">
        <x:v>FIELD_LEVEL_AUTHORIZATION_AND_SUBJECT_CONTEXT_UNRESOLVED; MISSING_SUCCESS_SCHEMA; PERMISSION_ACTION_AND_RESOURCE_SCOPE_UNRESOLVED</x:v>
      </x:c>
      <x:c r="F97" s="11" t="str">
        <x:v>EXTERNAL_V3_ADDITION_16</x:v>
      </x:c>
      <x:c r="G97" s="11" t="str">
        <x:v>TARGET_NOT_DEPLOYED</x:v>
      </x:c>
    </x:row>
    <x:row r="98" ht="36" hidden="0" customHeight="1">
      <x:c r="A98" s="11" t="str">
        <x:v>getBatCucTable</x:v>
      </x:c>
      <x:c r="B98" s="11" t="str">
        <x:v>GET</x:v>
      </x:c>
      <x:c r="C98" s="11" t="str">
        <x:v>/numbers/bat-cuc/table</x:v>
      </x:c>
      <x:c r="D98" s="11" t="str">
        <x:v>ACTION/RESOURCE CHƯA CHỐT; account; subject_grant; processing_purpose; released_method; entitlement_if_required; UNRESOLVED_FAIL_CLOSED</x:v>
      </x:c>
      <x:c r="E98" s="11" t="str">
        <x:v>FIELD_LEVEL_AUTHORIZATION_AND_SUBJECT_CONTEXT_UNRESOLVED; MISSING_SUCCESS_SCHEMA; PERMISSION_ACTION_AND_RESOURCE_SCOPE_UNRESOLVED</x:v>
      </x:c>
      <x:c r="F98" s="11" t="str">
        <x:v>EXTERNAL_V3_ADDITION_16</x:v>
      </x:c>
      <x:c r="G98" s="11" t="str">
        <x:v>TARGET_NOT_DEPLOYED</x:v>
      </x:c>
    </x:row>
    <x:row r="99" ht="36" hidden="0" customHeight="1">
      <x:c r="A99" s="11" t="str">
        <x:v>getLifeDomains</x:v>
      </x:c>
      <x:c r="B99" s="11" t="str">
        <x:v>GET</x:v>
      </x:c>
      <x:c r="C99" s="11" t="str">
        <x:v>/lifetime/domains</x:v>
      </x:c>
      <x:c r="D99" s="11" t="str">
        <x:v>ACTION/RESOURCE CHƯA CHỐT; account; subject_grant; processing_purpose; released_method; entitlement_if_required; UNRESOLVED_FAIL_CLOSED</x:v>
      </x:c>
      <x:c r="E99" s="11" t="str">
        <x:v>FIELD_LEVEL_AUTHORIZATION_AND_SUBJECT_CONTEXT_UNRESOLVED; MISSING_SUCCESS_SCHEMA; PERMISSION_ACTION_AND_RESOURCE_SCOPE_UNRESOLVED</x:v>
      </x:c>
      <x:c r="F99" s="11" t="str">
        <x:v>EXTERNAL_V3_ADDITION_16</x:v>
      </x:c>
      <x:c r="G99" s="11" t="str">
        <x:v>TARGET_NOT_DEPLOYED</x:v>
      </x:c>
    </x:row>
    <x:row r="100" ht="36" hidden="0" customHeight="1">
      <x:c r="A100" s="11" t="str">
        <x:v>getScopedProductEligibility</x:v>
      </x:c>
      <x:c r="B100" s="11" t="str">
        <x:v>GET</x:v>
      </x:c>
      <x:c r="C100" s="11" t="str">
        <x:v>/products/{product_id}/eligibility</x:v>
      </x:c>
      <x:c r="D100" s="11" t="str">
        <x:v>ACTION/RESOURCE CHƯA CHỐT; account; subject_grant; processing_purpose; released_method; entitlement_if_required; UNRESOLVED_FAIL_CLOSED</x:v>
      </x:c>
      <x:c r="E100" s="11" t="str">
        <x:v>FIELD_LEVEL_AUTHORIZATION_AND_SUBJECT_CONTEXT_UNRESOLVED; MISSING_SUCCESS_SCHEMA; PERMISSION_ACTION_AND_RESOURCE_SCOPE_UNRESOLVED</x:v>
      </x:c>
      <x:c r="F100" s="11" t="str">
        <x:v>EXTERNAL_V3_ADDITION_16</x:v>
      </x:c>
      <x:c r="G100" s="11" t="str">
        <x:v>TARGET_NOT_DEPLOYED</x:v>
      </x:c>
    </x:row>
    <x:row r="101" ht="36" hidden="0" customHeight="1">
      <x:c r="A101" s="11" t="str">
        <x:v>createKnowledgeLegacyTransfer</x:v>
      </x:c>
      <x:c r="B101" s="11" t="str">
        <x:v>POST</x:v>
      </x:c>
      <x:c r="C101" s="11" t="str">
        <x:v>/legacy-transfers</x:v>
      </x:c>
      <x:c r="D101" s="11" t="str">
        <x:v>ACTION/RESOURCE CHƯA CHỐT; account; subject_grant; processing_purpose; released_method; entitlement_if_required; UNRESOLVED_FAIL_CLOSED</x:v>
      </x:c>
      <x:c r="E101" s="11" t="str">
        <x:v>FIELD_LEVEL_AUTHORIZATION_AND_SUBJECT_CONTEXT_UNRESOLVED; MISSING_SUCCESS_SCHEMA; PERMISSION_ACTION_AND_RESOURCE_SCOPE_UNRESOLVED</x:v>
      </x:c>
      <x:c r="F101" s="11" t="str">
        <x:v>EXTERNAL_V3_ADDITION_16</x:v>
      </x:c>
      <x:c r="G101" s="11" t="str">
        <x:v>TARGET_NOT_DEPLOYED</x:v>
      </x:c>
    </x:row>
    <x:row r="102" ht="36" hidden="0" customHeight="1">
      <x:c r="A102" s="11" t="str">
        <x:v>getTerritoryReleaseGates</x:v>
      </x:c>
      <x:c r="B102" s="11" t="str">
        <x:v>GET</x:v>
      </x:c>
      <x:c r="C102" s="11" t="str">
        <x:v>/territories/{territory_id}/release-gates</x:v>
      </x:c>
      <x:c r="D102" s="11" t="str">
        <x:v>ACTION/RESOURCE CHƯA CHỐT; account; subject_grant; processing_purpose; released_method; entitlement_if_required; UNRESOLVED_FAIL_CLOSED</x:v>
      </x:c>
      <x:c r="E102" s="11" t="str">
        <x:v>FIELD_LEVEL_AUTHORIZATION_AND_SUBJECT_CONTEXT_UNRESOLVED; MISSING_SUCCESS_SCHEMA; PERMISSION_ACTION_AND_RESOURCE_SCOPE_UNRESOLVED</x:v>
      </x:c>
      <x:c r="F102" s="11" t="str">
        <x:v>EXTERNAL_V3_ADDITION_16</x:v>
      </x:c>
      <x:c r="G102" s="11" t="str">
        <x:v>TARGET_NOT_DEPLOYED</x:v>
      </x:c>
    </x:row>
    <x:row r="103" ht="36" hidden="0" customHeight="1">
      <x:c r="A103" s="11" t="str">
        <x:v>getMethodVersionHistory</x:v>
      </x:c>
      <x:c r="B103" s="11" t="str">
        <x:v>GET</x:v>
      </x:c>
      <x:c r="C103" s="11" t="str">
        <x:v>/methods/{method_id}/versions</x:v>
      </x:c>
      <x:c r="D103" s="11" t="str">
        <x:v>ACTION/RESOURCE CHƯA CHỐT; account; subject_grant; processing_purpose; released_method; entitlement_if_required; UNRESOLVED_FAIL_CLOSED</x:v>
      </x:c>
      <x:c r="E103" s="11" t="str">
        <x:v>FIELD_LEVEL_AUTHORIZATION_AND_SUBJECT_CONTEXT_UNRESOLVED; MISSING_SUCCESS_SCHEMA; PERMISSION_ACTION_AND_RESOURCE_SCOPE_UNRESOLVED</x:v>
      </x:c>
      <x:c r="F103" s="11" t="str">
        <x:v>EXTERNAL_V3_ADDITION_16</x:v>
      </x:c>
      <x:c r="G103" s="11" t="str">
        <x:v>TARGET_NOT_DEPLOYED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44" hidden="0" customWidth="1"/>
    <x:col min="4" max="4" width="44" hidden="0" customWidth="1"/>
    <x:col min="5" max="5" width="40" hidden="0" customWidth="1"/>
    <x:col min="6" max="6" width="64" hidden="0" customWidth="1"/>
    <x:col min="7" max="7" width="64" hidden="0" customWidth="1"/>
  </x:cols>
  <x:sheetData>
    <x:row r="1" ht="36" customHeight="1">
      <x:c r="A1" s="2" t="str">
        <x:v>28 sản phẩm và 69 màn hình</x:v>
      </x:c>
      <x:c r="B1" s="2"/>
      <x:c r="C1" s="2"/>
      <x:c r="D1" s="2"/>
      <x:c r="E1" s="2"/>
      <x:c r="F1" s="2"/>
      <x:c r="G1" s="2"/>
    </x:row>
    <x:row r="2" ht="48" customHeight="1">
      <x:c r="A2" s="4" t="str">
        <x:v>Một core/API; mobile và desktop có parity về dữ liệu, quyền, hành động và xử lý lỗi. Route đích chưa là route đang chạy. JSON chứa đủ contract chi tiết.</x:v>
      </x:c>
      <x:c r="B2" s="4"/>
      <x:c r="C2" s="4"/>
      <x:c r="D2" s="4"/>
      <x:c r="E2" s="4"/>
      <x:c r="F2" s="4"/>
      <x:c r="G2" s="4"/>
    </x:row>
    <x:row r="4" ht="34" customHeight="1">
      <x:c r="A4" s="8" t="str">
        <x:v>Loại</x:v>
      </x:c>
      <x:c r="B4" s="8" t="str">
        <x:v>ID</x:v>
      </x:c>
      <x:c r="C4" s="8" t="str">
        <x:v>Tên</x:v>
      </x:c>
      <x:c r="D4" s="8" t="str">
        <x:v>Phase / Route</x:v>
      </x:c>
      <x:c r="E4" s="8" t="str">
        <x:v>Trạng thái thiết kế</x:v>
      </x:c>
      <x:c r="F4" s="8" t="str">
        <x:v>Đầu vào / API</x:v>
      </x:c>
      <x:c r="G4" s="8" t="str">
        <x:v>Đầu ra / Quyền</x:v>
      </x:c>
    </x:row>
    <x:row r="5" ht="15" hidden="0" customHeight="1">
      <x:c r="A5" s="11" t="str">
        <x:v>PRODUCT</x:v>
      </x:c>
      <x:c r="B5" s="11" t="str">
        <x:v>LC-L1</x:v>
      </x:c>
      <x:c r="C5" s="11" t="str">
        <x:v>Tín hiệu nền</x:v>
      </x:c>
      <x:c r="D5" s="11" t="str">
        <x:v>C</x:v>
      </x:c>
      <x:c r="E5" s="11" t="str">
        <x:v>DESIGN_ONLY_NOT_IMPLEMENTED_OR_RELEASED</x:v>
      </x:c>
      <x:c r="F5" s="11" t="str">
        <x:v>Mục tiêu, tên/ngày sinh theo phương pháp chọn</x:v>
      </x:c>
      <x:c r="G5" s="11" t="str">
        <x:v>Kiểm tra nguồn, tính minh bạch, chủ đề tự quan sát</x:v>
      </x:c>
    </x:row>
    <x:row r="6" ht="15" hidden="0" customHeight="1">
      <x:c r="A6" s="11" t="str">
        <x:v>PRODUCT</x:v>
      </x:c>
      <x:c r="B6" s="11" t="str">
        <x:v>LC-L2</x:v>
      </x:c>
      <x:c r="C6" s="11" t="str">
        <x:v>Cấu trúc nội tâm</x:v>
      </x:c>
      <x:c r="D6" s="11" t="str">
        <x:v>E</x:v>
      </x:c>
      <x:c r="E6" s="11" t="str">
        <x:v>DESIGN_ONLY_NOT_IMPLEMENTED_OR_RELEASED</x:v>
      </x:c>
      <x:c r="F6" s="11" t="str">
        <x:v>Vai trò, giá trị, áp lực, tình huống tự thuật</x:v>
      </x:c>
      <x:c r="G6" s="11" t="str">
        <x:v>Mâu thuẫn nhu cầu và lựa chọn được xác nhận</x:v>
      </x:c>
    </x:row>
    <x:row r="7" ht="15" hidden="0" customHeight="1">
      <x:c r="A7" s="11" t="str">
        <x:v>PRODUCT</x:v>
      </x:c>
      <x:c r="B7" s="11" t="str">
        <x:v>LC-L3</x:v>
      </x:c>
      <x:c r="C7" s="11" t="str">
        <x:v>Cách hành động</x:v>
      </x:c>
      <x:c r="D7" s="11" t="str">
        <x:v>E</x:v>
      </x:c>
      <x:c r="E7" s="11" t="str">
        <x:v>DESIGN_ONLY_NOT_IMPLEMENTED_OR_RELEASED</x:v>
      </x:c>
      <x:c r="F7" s="11" t="str">
        <x:v>Nhật ký, bảng hỏi phù hợp, các lần thực hiện</x:v>
      </x:c>
      <x:c r="G7" s="11" t="str">
        <x:v>Mô thức trong bối cảnh, không chẩn đoán</x:v>
      </x:c>
    </x:row>
    <x:row r="8" ht="15" hidden="0" customHeight="1">
      <x:c r="A8" s="11" t="str">
        <x:v>PRODUCT</x:v>
      </x:c>
      <x:c r="B8" s="11" t="str">
        <x:v>LC-L4</x:v>
      </x:c>
      <x:c r="C8" s="11" t="str">
        <x:v>Công việc và nguồn lực</x:v>
      </x:c>
      <x:c r="D8" s="11" t="str">
        <x:v>E</x:v>
      </x:c>
      <x:c r="E8" s="11" t="str">
        <x:v>DESIGN_ONLY_NOT_IMPLEMENTED_OR_RELEASED</x:v>
      </x:c>
      <x:c r="F8" s="11" t="str">
        <x:v>Nghề, kỹ năng, nguồn lực, thu–chi tự nguyện</x:v>
      </x:c>
      <x:c r="G8" s="11" t="str">
        <x:v>Phương án vai trò, nguồn lực, kịch bản</x:v>
      </x:c>
    </x:row>
    <x:row r="9" ht="15" hidden="0" customHeight="1">
      <x:c r="A9" s="11" t="str">
        <x:v>PRODUCT</x:v>
      </x:c>
      <x:c r="B9" s="11" t="str">
        <x:v>LC-L5</x:v>
      </x:c>
      <x:c r="C9" s="11" t="str">
        <x:v>Quan hệ và ranh giới</x:v>
      </x:c>
      <x:c r="D9" s="11" t="str">
        <x:v>E</x:v>
      </x:c>
      <x:c r="E9" s="11" t="str">
        <x:v>DESIGN_ONLY_NOT_IMPLEMENTED_OR_RELEASED</x:v>
      </x:c>
      <x:c r="F9" s="11" t="str">
        <x:v>Nhu cầu, tự thuật và grant từng bên</x:v>
      </x:c>
      <x:c r="G9" s="11" t="str">
        <x:v>Bản đồ giao tiếp, trách nhiệm, khác biệt</x:v>
      </x:c>
    </x:row>
    <x:row r="10" ht="15" hidden="0" customHeight="1">
      <x:c r="A10" s="11" t="str">
        <x:v>PRODUCT</x:v>
      </x:c>
      <x:c r="B10" s="11" t="str">
        <x:v>LC-L6</x:v>
      </x:c>
      <x:c r="C10" s="11" t="str">
        <x:v>Dòng thời gian</x:v>
      </x:c>
      <x:c r="D10" s="11" t="str">
        <x:v>F</x:v>
      </x:c>
      <x:c r="E10" s="11" t="str">
        <x:v>DESIGN_ONLY_NOT_IMPLEMENTED_OR_RELEASED</x:v>
      </x:c>
      <x:c r="F10" s="11" t="str">
        <x:v>Sự kiện có ngày/nguồn, giả thuyết, mục tiêu</x:v>
      </x:c>
      <x:c r="G10" s="11" t="str">
        <x:v>Lịch sử, chu kỳ biểu tượng, kế hoạch, dự báo tách biệt</x:v>
      </x:c>
    </x:row>
    <x:row r="11" ht="15" hidden="0" customHeight="1">
      <x:c r="A11" s="11" t="str">
        <x:v>PRODUCT</x:v>
      </x:c>
      <x:c r="B11" s="11" t="str">
        <x:v>LC-L7</x:v>
      </x:c>
      <x:c r="C11" s="11" t="str">
        <x:v>Cơ thể và môi trường</x:v>
      </x:c>
      <x:c r="D11" s="11" t="str">
        <x:v>F_REVIEW</x:v>
      </x:c>
      <x:c r="E11" s="11" t="str">
        <x:v>DESIGN_ONLY_NOT_IMPLEMENTED_OR_RELEASED</x:v>
      </x:c>
      <x:c r="F11" s="11" t="str">
        <x:v>Ảnh/quan sát hợp lệ theo scope riêng</x:v>
      </x:c>
      <x:c r="G11" s="11" t="str">
        <x:v>Mô tả hình thức, nhật ký sinh hoạt, giới hạn</x:v>
      </x:c>
    </x:row>
    <x:row r="12" ht="15" hidden="0" customHeight="1">
      <x:c r="A12" s="11" t="str">
        <x:v>PRODUCT</x:v>
      </x:c>
      <x:c r="B12" s="11" t="str">
        <x:v>LC-L8</x:v>
      </x:c>
      <x:c r="C12" s="11" t="str">
        <x:v>Hướng sống và phụng sự</x:v>
      </x:c>
      <x:c r="D12" s="11" t="str">
        <x:v>F</x:v>
      </x:c>
      <x:c r="E12" s="11" t="str">
        <x:v>DESIGN_ONLY_NOT_IMPLEMENTED_OR_RELEASED</x:v>
      </x:c>
      <x:c r="F12" s="11" t="str">
        <x:v>Giá trị, năng lực có minh chứng, lựa chọn</x:v>
      </x:c>
      <x:c r="G12" s="11" t="str">
        <x:v>Hướng sống tự chọn, không nhiệm vụ linh hồn bắt buộc</x:v>
      </x:c>
    </x:row>
    <x:row r="13" ht="15" hidden="0" customHeight="1">
      <x:c r="A13" s="11" t="str">
        <x:v>PRODUCT</x:v>
      </x:c>
      <x:c r="B13" s="11" t="str">
        <x:v>LC-L9</x:v>
      </x:c>
      <x:c r="C13" s="11" t="str">
        <x:v>Hồ sơ đời sống hợp nhất</x:v>
      </x:c>
      <x:c r="D13" s="11" t="str">
        <x:v>F</x:v>
      </x:c>
      <x:c r="E13" s="11" t="str">
        <x:v>DESIGN_ONLY_NOT_IMPLEMENTED_OR_RELEASED</x:v>
      </x:c>
      <x:c r="F13" s="11" t="str">
        <x:v>Chỉ các module được phép và đủ dữ liệu cần thiết</x:v>
      </x:c>
      <x:c r="G13" s="11" t="str">
        <x:v>Sách không lặp, lineage, điều chưa biết, revisions</x:v>
      </x:c>
    </x:row>
    <x:row r="14" ht="15" hidden="0" customHeight="1">
      <x:c r="A14" s="11" t="str">
        <x:v>PRODUCT</x:v>
      </x:c>
      <x:c r="B14" s="11" t="str">
        <x:v>LC-GUEST</x:v>
      </x:c>
      <x:c r="C14" s="11" t="str">
        <x:v>Công cụ không tài khoản</x:v>
      </x:c>
      <x:c r="D14" s="11" t="str">
        <x:v>C</x:v>
      </x:c>
      <x:c r="E14" s="11" t="str">
        <x:v>DESIGN_ONLY_NOT_IMPLEMENTED_OR_RELEASED</x:v>
      </x:c>
      <x:c r="F14" s="11" t="str">
        <x:v>Theo mục đích và phương pháp; không thu thừa</x:v>
      </x:c>
      <x:c r="G14" s="11" t="str">
        <x:v>Công cụ deterministic tại thiết bị; không gửi tên/đuôi số vào analytics</x:v>
      </x:c>
    </x:row>
    <x:row r="15" ht="15" hidden="0" customHeight="1">
      <x:c r="A15" s="11" t="str">
        <x:v>PRODUCT</x:v>
      </x:c>
      <x:c r="B15" s="11" t="str">
        <x:v>LC-FREE</x:v>
      </x:c>
      <x:c r="C15" s="11" t="str">
        <x:v>Hồ sơ căn bản miễn phí</x:v>
      </x:c>
      <x:c r="D15" s="11" t="str">
        <x:v>C</x:v>
      </x:c>
      <x:c r="E15" s="11" t="str">
        <x:v>DESIGN_ONLY_NOT_IMPLEMENTED_OR_RELEASED</x:v>
      </x:c>
      <x:c r="F15" s="11" t="str">
        <x:v>Theo mục đích và phương pháp; không thu thừa</x:v>
      </x:c>
      <x:c r="G15" s="11" t="str">
        <x:v>Một subject tự quản, một mục tiêu, nhật ký, Snapshot và quyền dữ liệu</x:v>
      </x:c>
    </x:row>
    <x:row r="16" ht="15" hidden="0" customHeight="1">
      <x:c r="A16" s="11" t="str">
        <x:v>PRODUCT</x:v>
      </x:c>
      <x:c r="B16" s="11" t="str">
        <x:v>LC-COMPANION</x:v>
      </x:c>
      <x:c r="C16" s="11" t="str">
        <x:v>AI đồng hành</x:v>
      </x:c>
      <x:c r="D16" s="11" t="str">
        <x:v>D</x:v>
      </x:c>
      <x:c r="E16" s="11" t="str">
        <x:v>DESIGN_ONLY_NOT_IMPLEMENTED_OR_RELEASED</x:v>
      </x:c>
      <x:c r="F16" s="11" t="str">
        <x:v>Theo mục đích và phương pháp; không thu thừa</x:v>
      </x:c>
      <x:c r="G16" s="11" t="str">
        <x:v>Hỏi báo cáo, kế hoạch, nhắc việc được phép, review mục tiêu</x:v>
      </x:c>
    </x:row>
    <x:row r="17" ht="15" hidden="0" customHeight="1">
      <x:c r="A17" s="11" t="str">
        <x:v>PRODUCT</x:v>
      </x:c>
      <x:c r="B17" s="11" t="str">
        <x:v>LC-NUMBERS</x:v>
      </x:c>
      <x:c r="C17" s="11" t="str">
        <x:v>Bộ số và tên</x:v>
      </x:c>
      <x:c r="D17" s="11" t="str">
        <x:v>C</x:v>
      </x:c>
      <x:c r="E17" s="11" t="str">
        <x:v>DESIGN_ONLY_NOT_IMPLEMENTED_OR_RELEASED</x:v>
      </x:c>
      <x:c r="F17" s="11" t="str">
        <x:v>Theo mục đích và phương pháp; không thu thừa</x:v>
      </x:c>
      <x:c r="G17" s="11" t="str">
        <x:v>Thẻ kết quả từng phương pháp; so sánh cấu trúc</x:v>
      </x:c>
    </x:row>
    <x:row r="18" ht="15" hidden="0" customHeight="1">
      <x:c r="A18" s="11" t="str">
        <x:v>PRODUCT</x:v>
      </x:c>
      <x:c r="B18" s="11" t="str">
        <x:v>LC-EXPERT</x:v>
      </x:c>
      <x:c r="C18" s="11" t="str">
        <x:v>Phiên chuyên gia</x:v>
      </x:c>
      <x:c r="D18" s="11" t="str">
        <x:v>D</x:v>
      </x:c>
      <x:c r="E18" s="11" t="str">
        <x:v>DESIGN_ONLY_NOT_IMPLEMENTED_OR_RELEASED</x:v>
      </x:c>
      <x:c r="F18" s="11" t="str">
        <x:v>Theo mục đích và phương pháp; không thu thừa</x:v>
      </x:c>
      <x:c r="G18" s="11" t="str">
        <x:v>Thời lượng/scope/revision xác định; practitioner grant</x:v>
      </x:c>
    </x:row>
    <x:row r="19" ht="15" hidden="0" customHeight="1">
      <x:c r="A19" s="11" t="str">
        <x:v>PRODUCT</x:v>
      </x:c>
      <x:c r="B19" s="11" t="str">
        <x:v>LC-PRACTICE</x:v>
      </x:c>
      <x:c r="C19" s="11" t="str">
        <x:v>Không gian chuyên gia</x:v>
      </x:c>
      <x:c r="D19" s="11" t="str">
        <x:v>E</x:v>
      </x:c>
      <x:c r="E19" s="11" t="str">
        <x:v>DESIGN_ONLY_NOT_IMPLEMENTED_OR_RELEASED</x:v>
      </x:c>
      <x:c r="F19" s="11" t="str">
        <x:v>Theo mục đích và phương pháp; không thu thừa</x:v>
      </x:c>
      <x:c r="G19" s="11" t="str">
        <x:v>Case, lịch, ghi chú, review, report</x:v>
      </x:c>
    </x:row>
    <x:row r="20" ht="15" hidden="0" customHeight="1">
      <x:c r="A20" s="11" t="str">
        <x:v>PRODUCT</x:v>
      </x:c>
      <x:c r="B20" s="11" t="str">
        <x:v>LC-ACADEMY-FOUNDATION</x:v>
      </x:c>
      <x:c r="C20" s="11" t="str">
        <x:v>Khóa nền HNH chín buổi</x:v>
      </x:c>
      <x:c r="D20" s="11" t="str">
        <x:v>E</x:v>
      </x:c>
      <x:c r="E20" s="11" t="str">
        <x:v>DESIGN_ONLY_NOT_IMPLEMENTED_OR_RELEASED</x:v>
      </x:c>
      <x:c r="F20" s="11" t="str">
        <x:v>Theo mục đích và phương pháp; không thu thừa</x:v>
      </x:c>
      <x:c r="G20" s="11" t="str">
        <x:v>9×120 phút, bài tập và đánh giá</x:v>
      </x:c>
    </x:row>
    <x:row r="21" ht="15" hidden="0" customHeight="1">
      <x:c r="A21" s="11" t="str">
        <x:v>PRODUCT</x:v>
      </x:c>
      <x:c r="B21" s="11" t="str">
        <x:v>LC-ACADEMY-PRO</x:v>
      </x:c>
      <x:c r="C21" s="11" t="str">
        <x:v>Đào tạo thực hành có giám sát</x:v>
      </x:c>
      <x:c r="D21" s="11" t="str">
        <x:v>F</x:v>
      </x:c>
      <x:c r="E21" s="11" t="str">
        <x:v>DESIGN_ONLY_NOT_IMPLEMENTED_OR_RELEASED</x:v>
      </x:c>
      <x:c r="F21" s="11" t="str">
        <x:v>Theo mục đích và phương pháp; không thu thừa</x:v>
      </x:c>
      <x:c r="G21" s="11" t="str">
        <x:v>Supervised cases và ethics assessment</x:v>
      </x:c>
    </x:row>
    <x:row r="22" ht="15" hidden="0" customHeight="1">
      <x:c r="A22" s="11" t="str">
        <x:v>PRODUCT</x:v>
      </x:c>
      <x:c r="B22" s="11" t="str">
        <x:v>LC-ACADEMY-TRAINER</x:v>
      </x:c>
      <x:c r="C22" s="11" t="str">
        <x:v>Đào tạo giảng viên</x:v>
      </x:c>
      <x:c r="D22" s="11" t="str">
        <x:v>F</x:v>
      </x:c>
      <x:c r="E22" s="11" t="str">
        <x:v>DESIGN_ONLY_NOT_IMPLEMENTED_OR_RELEASED</x:v>
      </x:c>
      <x:c r="F22" s="11" t="str">
        <x:v>Theo mục đích và phương pháp; không thu thừa</x:v>
      </x:c>
      <x:c r="G22" s="11" t="str">
        <x:v>Học liệu/version, dạy thử, quality review</x:v>
      </x:c>
    </x:row>
    <x:row r="23" ht="15" hidden="0" customHeight="1">
      <x:c r="A23" s="11" t="str">
        <x:v>PRODUCT</x:v>
      </x:c>
      <x:c r="B23" s="11" t="str">
        <x:v>LC-FAMILY</x:v>
      </x:c>
      <x:c r="C23" s="11" t="str">
        <x:v>Gia đình có quyền riêng</x:v>
      </x:c>
      <x:c r="D23" s="11" t="str">
        <x:v>E_F_REVIEW</x:v>
      </x:c>
      <x:c r="E23" s="11" t="str">
        <x:v>DESIGN_ONLY_NOT_IMPLEMENTED_OR_RELEASED</x:v>
      </x:c>
      <x:c r="F23" s="11" t="str">
        <x:v>Theo mục đích và phương pháp; không thu thừa</x:v>
      </x:c>
      <x:c r="G23" s="11" t="str">
        <x:v>Mục tiêu chung, chia sẻ người lớn; minor flow chưa mở</x:v>
      </x:c>
    </x:row>
    <x:row r="24" ht="15" hidden="0" customHeight="1">
      <x:c r="A24" s="11" t="str">
        <x:v>PRODUCT</x:v>
      </x:c>
      <x:c r="B24" s="11" t="str">
        <x:v>LC-ORG</x:v>
      </x:c>
      <x:c r="C24" s="11" t="str">
        <x:v>Tổ chức và doanh nghiệp</x:v>
      </x:c>
      <x:c r="D24" s="11" t="str">
        <x:v>F</x:v>
      </x:c>
      <x:c r="E24" s="11" t="str">
        <x:v>DESIGN_ONLY_NOT_IMPLEMENTED_OR_RELEASED</x:v>
      </x:c>
      <x:c r="F24" s="11" t="str">
        <x:v>Theo mục đích và phương pháp; không thu thừa</x:v>
      </x:c>
      <x:c r="G24" s="11" t="str">
        <x:v>Vai trò, học tập, mục tiêu, projects, aggregates phù hợp</x:v>
      </x:c>
    </x:row>
    <x:row r="25" ht="15" hidden="0" customHeight="1">
      <x:c r="A25" s="11" t="str">
        <x:v>PRODUCT</x:v>
      </x:c>
      <x:c r="B25" s="11" t="str">
        <x:v>LC-API</x:v>
      </x:c>
      <x:c r="C25" s="11" t="str">
        <x:v>API cấp phép</x:v>
      </x:c>
      <x:c r="D25" s="11" t="str">
        <x:v>F</x:v>
      </x:c>
      <x:c r="E25" s="11" t="str">
        <x:v>DESIGN_ONLY_NOT_IMPLEMENTED_OR_RELEASED</x:v>
      </x:c>
      <x:c r="F25" s="11" t="str">
        <x:v>Theo mục đích và phương pháp; không thu thừa</x:v>
      </x:c>
      <x:c r="G25" s="11" t="str">
        <x:v>Tenant/purpose scoped API, quota, method versions</x:v>
      </x:c>
    </x:row>
    <x:row r="26" ht="15" hidden="0" customHeight="1">
      <x:c r="A26" s="11" t="str">
        <x:v>PRODUCT</x:v>
      </x:c>
      <x:c r="B26" s="11" t="str">
        <x:v>LC-PUBLISH</x:v>
      </x:c>
      <x:c r="C26" s="11" t="str">
        <x:v>Xuất bản và bộ sách</x:v>
      </x:c>
      <x:c r="D26" s="11" t="str">
        <x:v>D</x:v>
      </x:c>
      <x:c r="E26" s="11" t="str">
        <x:v>DESIGN_ONLY_NOT_IMPLEMENTED_OR_RELEASED</x:v>
      </x:c>
      <x:c r="F26" s="11" t="str">
        <x:v>Theo mục đích và phương pháp; không thu thừa</x:v>
      </x:c>
      <x:c r="G26" s="11" t="str">
        <x:v>Snapshot và exports theo scope</x:v>
      </x:c>
    </x:row>
    <x:row r="27" ht="15" hidden="0" customHeight="1">
      <x:c r="A27" s="11" t="str">
        <x:v>PRODUCT</x:v>
      </x:c>
      <x:c r="B27" s="11" t="str">
        <x:v>LC-REGIONAL</x:v>
      </x:c>
      <x:c r="C27" s="11" t="str">
        <x:v>Cấp phép quốc gia/nhượng quyền</x:v>
      </x:c>
      <x:c r="D27" s="11" t="str">
        <x:v>F_LEGAL</x:v>
      </x:c>
      <x:c r="E27" s="11" t="str">
        <x:v>DESIGN_ONLY_NOT_IMPLEMENTED_OR_RELEASED</x:v>
      </x:c>
      <x:c r="F27" s="11" t="str">
        <x:v>Theo mục đích và phương pháp; không thu thừa</x:v>
      </x:c>
      <x:c r="G27" s="11" t="str">
        <x:v>Brand/curriculum/software scope và continuity</x:v>
      </x:c>
    </x:row>
    <x:row r="28" ht="24" hidden="0" customHeight="1">
      <x:c r="A28" s="11" t="str">
        <x:v>PRODUCT</x:v>
      </x:c>
      <x:c r="B28" s="11" t="str">
        <x:v>LC-NUM-ATLAS</x:v>
      </x:c>
      <x:c r="C28" s="11" t="str">
        <x:v>Bộ số–tên hoàn chỉnh</x:v>
      </x:c>
      <x:c r="D28" s="11" t="str">
        <x:v>E/F</x:v>
      </x:c>
      <x:c r="E28" s="11" t="str">
        <x:v>DESIGN_ONLY_NOT_IMPLEMENTED_OR_RELEASED</x:v>
      </x:c>
      <x:c r="F28" s="11" t="str">
        <x:v>Xem product contract</x:v>
      </x:c>
      <x:c r="G28" s="11" t="str">
        <x:v>server checks account, subject, tenant, purpose, active grant, method release and entitlement where applicable; payer is not data owner</x:v>
      </x:c>
    </x:row>
    <x:row r="29" ht="24" hidden="0" customHeight="1">
      <x:c r="A29" s="11" t="str">
        <x:v>PRODUCT</x:v>
      </x:c>
      <x:c r="B29" s="11" t="str">
        <x:v>LC-LIFE-MAP</x:v>
      </x:c>
      <x:c r="C29" s="11" t="str">
        <x:v>Bản đồ một đời sống</x:v>
      </x:c>
      <x:c r="D29" s="11" t="str">
        <x:v>E/F</x:v>
      </x:c>
      <x:c r="E29" s="11" t="str">
        <x:v>DESIGN_ONLY_NOT_IMPLEMENTED_OR_RELEASED</x:v>
      </x:c>
      <x:c r="F29" s="11" t="str">
        <x:v>Xem product contract</x:v>
      </x:c>
      <x:c r="G29" s="11" t="str">
        <x:v>server checks account, subject, tenant, purpose, active grant, method release and entitlement where applicable; payer is not data owner</x:v>
      </x:c>
    </x:row>
    <x:row r="30" ht="24" hidden="0" customHeight="1">
      <x:c r="A30" s="11" t="str">
        <x:v>PRODUCT</x:v>
      </x:c>
      <x:c r="B30" s="11" t="str">
        <x:v>LC-LEGACY</x:v>
      </x:c>
      <x:c r="C30" s="11" t="str">
        <x:v>Di sản tri thức</x:v>
      </x:c>
      <x:c r="D30" s="11" t="str">
        <x:v>E/F</x:v>
      </x:c>
      <x:c r="E30" s="11" t="str">
        <x:v>DESIGN_ONLY_NOT_IMPLEMENTED_OR_RELEASED</x:v>
      </x:c>
      <x:c r="F30" s="11" t="str">
        <x:v>Xem product contract</x:v>
      </x:c>
      <x:c r="G30" s="11" t="str">
        <x:v>server checks account, subject, tenant, purpose, active grant, method release and entitlement where applicable; payer is not data owner</x:v>
      </x:c>
    </x:row>
    <x:row r="31" ht="24" hidden="0" customHeight="1">
      <x:c r="A31" s="11" t="str">
        <x:v>PRODUCT</x:v>
      </x:c>
      <x:c r="B31" s="11" t="str">
        <x:v>LC-REGION-KIT</x:v>
      </x:c>
      <x:c r="C31" s="11" t="str">
        <x:v>Bộ triển khai lãnh thổ</x:v>
      </x:c>
      <x:c r="D31" s="11" t="str">
        <x:v>E/F</x:v>
      </x:c>
      <x:c r="E31" s="11" t="str">
        <x:v>DESIGN_ONLY_NOT_IMPLEMENTED_OR_RELEASED</x:v>
      </x:c>
      <x:c r="F31" s="11" t="str">
        <x:v>Xem product contract</x:v>
      </x:c>
      <x:c r="G31" s="11" t="str">
        <x:v>server checks account, subject, tenant, purpose, active grant, method release and entitlement where applicable; payer is not data owner</x:v>
      </x:c>
    </x:row>
    <x:row r="32" ht="24" hidden="0" customHeight="1">
      <x:c r="A32" s="11" t="str">
        <x:v>PRODUCT</x:v>
      </x:c>
      <x:c r="B32" s="11" t="str">
        <x:v>LC-RESEARCH-STUDIO</x:v>
      </x:c>
      <x:c r="C32" s="11" t="str">
        <x:v>Xưởng phương pháp</x:v>
      </x:c>
      <x:c r="D32" s="11" t="str">
        <x:v>E/F</x:v>
      </x:c>
      <x:c r="E32" s="11" t="str">
        <x:v>DESIGN_ONLY_NOT_IMPLEMENTED_OR_RELEASED</x:v>
      </x:c>
      <x:c r="F32" s="11" t="str">
        <x:v>Xem product contract</x:v>
      </x:c>
      <x:c r="G32" s="11" t="str">
        <x:v>server checks account, subject, tenant, purpose, active grant, method release and entitlement where applicable; payer is not data owner</x:v>
      </x:c>
    </x:row>
    <x:row r="33" ht="24" hidden="0" customHeight="1">
      <x:c r="A33" s="11" t="str">
        <x:v>SCREEN</x:v>
      </x:c>
      <x:c r="B33" s="11" t="str">
        <x:v>UI-01</x:v>
      </x:c>
      <x:c r="C33" s="11" t="str">
        <x:v>Trang chủ</x:v>
      </x:c>
      <x:c r="D33" s="11" t="str">
        <x:v>/</x:v>
      </x:c>
      <x:c r="E33" s="11" t="str">
        <x:v>PRESERVED_DESIGN_REQUIREMENT</x:v>
      </x:c>
      <x:c r="F33" s="11" t="str">
        <x:v>catalog</x:v>
      </x:c>
      <x:c r="G33" s="11" t="str">
        <x:v>server-scoped account + subject + tenant + purpose + active grant; context switch clears prior sensitive view</x:v>
      </x:c>
    </x:row>
    <x:row r="34" ht="24" hidden="0" customHeight="1">
      <x:c r="A34" s="11" t="str">
        <x:v>SCREEN</x:v>
      </x:c>
      <x:c r="B34" s="11" t="str">
        <x:v>UI-02</x:v>
      </x:c>
      <x:c r="C34" s="11" t="str">
        <x:v>Giới thiệu HNH</x:v>
      </x:c>
      <x:c r="D34" s="11" t="str">
        <x:v>/gioi-thieu</x:v>
      </x:c>
      <x:c r="E34" s="11" t="str">
        <x:v>PRESERVED_DESIGN_REQUIREMENT</x:v>
      </x:c>
      <x:c r="F34" s="11" t="str">
        <x:v>static</x:v>
      </x:c>
      <x:c r="G34" s="11" t="str">
        <x:v>server-scoped account + subject + tenant + purpose + active grant; context switch clears prior sensitive view</x:v>
      </x:c>
    </x:row>
    <x:row r="35" ht="24" hidden="0" customHeight="1">
      <x:c r="A35" s="11" t="str">
        <x:v>SCREEN</x:v>
      </x:c>
      <x:c r="B35" s="11" t="str">
        <x:v>UI-03</x:v>
      </x:c>
      <x:c r="C35" s="11" t="str">
        <x:v>Danh mục9cấp</x:v>
      </x:c>
      <x:c r="D35" s="11" t="str">
        <x:v>/9-levels-life-code</x:v>
      </x:c>
      <x:c r="E35" s="11" t="str">
        <x:v>PRESERVED_DESIGN_REQUIREMENT</x:v>
      </x:c>
      <x:c r="F35" s="11" t="str">
        <x:v>catalog</x:v>
      </x:c>
      <x:c r="G35" s="11" t="str">
        <x:v>server-scoped account + subject + tenant + purpose + active grant; context switch clears prior sensitive view</x:v>
      </x:c>
    </x:row>
    <x:row r="36" ht="24" hidden="0" customHeight="1">
      <x:c r="A36" s="11" t="str">
        <x:v>SCREEN</x:v>
      </x:c>
      <x:c r="B36" s="11" t="str">
        <x:v>UI-04</x:v>
      </x:c>
      <x:c r="C36" s="11" t="str">
        <x:v>Thư viện phương pháp</x:v>
      </x:c>
      <x:c r="D36" s="11" t="str">
        <x:v>/research/methods</x:v>
      </x:c>
      <x:c r="E36" s="11" t="str">
        <x:v>PRESERVED_DESIGN_REQUIREMENT</x:v>
      </x:c>
      <x:c r="F36" s="11" t="str">
        <x:v>methods</x:v>
      </x:c>
      <x:c r="G36" s="11" t="str">
        <x:v>server-scoped account + subject + tenant + purpose + active grant; context switch clears prior sensitive view</x:v>
      </x:c>
    </x:row>
    <x:row r="37" ht="24" hidden="0" customHeight="1">
      <x:c r="A37" s="11" t="str">
        <x:v>SCREEN</x:v>
      </x:c>
      <x:c r="B37" s="11" t="str">
        <x:v>UI-05</x:v>
      </x:c>
      <x:c r="C37" s="11" t="str">
        <x:v>Tra bộ số miễn phí</x:v>
      </x:c>
      <x:c r="D37" s="11" t="str">
        <x:v>/numbers</x:v>
      </x:c>
      <x:c r="E37" s="11" t="str">
        <x:v>PRESERVED_DESIGN_REQUIREMENT</x:v>
      </x:c>
      <x:c r="F37" s="11" t="str">
        <x:v>local deterministic</x:v>
      </x:c>
      <x:c r="G37" s="11" t="str">
        <x:v>server-scoped account + subject + tenant + purpose + active grant; context switch clears prior sensitive view</x:v>
      </x:c>
    </x:row>
    <x:row r="38" ht="24" hidden="0" customHeight="1">
      <x:c r="A38" s="11" t="str">
        <x:v>SCREEN</x:v>
      </x:c>
      <x:c r="B38" s="11" t="str">
        <x:v>UI-06</x:v>
      </x:c>
      <x:c r="C38" s="11" t="str">
        <x:v>Giá và phạm vi</x:v>
      </x:c>
      <x:c r="D38" s="11" t="str">
        <x:v>/pricing</x:v>
      </x:c>
      <x:c r="E38" s="11" t="str">
        <x:v>PRESERVED_DESIGN_REQUIREMENT</x:v>
      </x:c>
      <x:c r="F38" s="11" t="str">
        <x:v>catalog</x:v>
      </x:c>
      <x:c r="G38" s="11" t="str">
        <x:v>server-scoped account + subject + tenant + purpose + active grant; context switch clears prior sensitive view</x:v>
      </x:c>
    </x:row>
    <x:row r="39" ht="24" hidden="0" customHeight="1">
      <x:c r="A39" s="11" t="str">
        <x:v>SCREEN</x:v>
      </x:c>
      <x:c r="B39" s="11" t="str">
        <x:v>UI-07</x:v>
      </x:c>
      <x:c r="C39" s="11" t="str">
        <x:v>Bắt đầu theo nhu cầu</x:v>
      </x:c>
      <x:c r="D39" s="11" t="str">
        <x:v>/app/start</x:v>
      </x:c>
      <x:c r="E39" s="11" t="str">
        <x:v>PRESERVED_DESIGN_REQUIREMENT</x:v>
      </x:c>
      <x:c r="F39" s="11" t="str">
        <x:v>createSubject</x:v>
      </x:c>
      <x:c r="G39" s="11" t="str">
        <x:v>server-scoped account + subject + tenant + purpose + active grant; context switch clears prior sensitive view</x:v>
      </x:c>
    </x:row>
    <x:row r="40" ht="24" hidden="0" customHeight="1">
      <x:c r="A40" s="11" t="str">
        <x:v>SCREEN</x:v>
      </x:c>
      <x:c r="B40" s="11" t="str">
        <x:v>UI-08</x:v>
      </x:c>
      <x:c r="C40" s="11" t="str">
        <x:v>Đăng nhập</x:v>
      </x:c>
      <x:c r="D40" s="11" t="str">
        <x:v>/app/login</x:v>
      </x:c>
      <x:c r="E40" s="11" t="str">
        <x:v>PRESERVED_DESIGN_REQUIREMENT</x:v>
      </x:c>
      <x:c r="F40" s="11" t="str">
        <x:v>login</x:v>
      </x:c>
      <x:c r="G40" s="11" t="str">
        <x:v>server-scoped account + subject + tenant + purpose + active grant; context switch clears prior sensitive view</x:v>
      </x:c>
    </x:row>
    <x:row r="41" ht="24" hidden="0" customHeight="1">
      <x:c r="A41" s="11" t="str">
        <x:v>SCREEN</x:v>
      </x:c>
      <x:c r="B41" s="11" t="str">
        <x:v>UI-09</x:v>
      </x:c>
      <x:c r="C41" s="11" t="str">
        <x:v>Tổng quan</x:v>
      </x:c>
      <x:c r="D41" s="11" t="str">
        <x:v>/app/dashboard</x:v>
      </x:c>
      <x:c r="E41" s="11" t="str">
        <x:v>PRESERVED_DESIGN_REQUIREMENT</x:v>
      </x:c>
      <x:c r="F41" s="11" t="str">
        <x:v>overview</x:v>
      </x:c>
      <x:c r="G41" s="11" t="str">
        <x:v>server-scoped account + subject + tenant + purpose + active grant; context switch clears prior sensitive view</x:v>
      </x:c>
    </x:row>
    <x:row r="42" ht="24" hidden="0" customHeight="1">
      <x:c r="A42" s="11" t="str">
        <x:v>SCREEN</x:v>
      </x:c>
      <x:c r="B42" s="11" t="str">
        <x:v>UI-10</x:v>
      </x:c>
      <x:c r="C42" s="11" t="str">
        <x:v>Hồ sơ</x:v>
      </x:c>
      <x:c r="D42" s="11" t="str">
        <x:v>/app/profiles</x:v>
      </x:c>
      <x:c r="E42" s="11" t="str">
        <x:v>PRESERVED_DESIGN_REQUIREMENT</x:v>
      </x:c>
      <x:c r="F42" s="11" t="str">
        <x:v>subjects</x:v>
      </x:c>
      <x:c r="G42" s="11" t="str">
        <x:v>server-scoped account + subject + tenant + purpose + active grant; context switch clears prior sensitive view</x:v>
      </x:c>
    </x:row>
    <x:row r="43" ht="24" hidden="0" customHeight="1">
      <x:c r="A43" s="11" t="str">
        <x:v>SCREEN</x:v>
      </x:c>
      <x:c r="B43" s="11" t="str">
        <x:v>UI-11</x:v>
      </x:c>
      <x:c r="C43" s="11" t="str">
        <x:v>Chỉnh hồ sơ</x:v>
      </x:c>
      <x:c r="D43" s="11" t="str">
        <x:v>/app/profiles/:id</x:v>
      </x:c>
      <x:c r="E43" s="11" t="str">
        <x:v>PRESERVED_DESIGN_REQUIREMENT</x:v>
      </x:c>
      <x:c r="F43" s="11" t="str">
        <x:v>newProfileVersion</x:v>
      </x:c>
      <x:c r="G43" s="11" t="str">
        <x:v>server-scoped account + subject + tenant + purpose + active grant; context switch clears prior sensitive view</x:v>
      </x:c>
    </x:row>
    <x:row r="44" ht="24" hidden="0" customHeight="1">
      <x:c r="A44" s="11" t="str">
        <x:v>SCREEN</x:v>
      </x:c>
      <x:c r="B44" s="11" t="str">
        <x:v>UI-12</x:v>
      </x:c>
      <x:c r="C44" s="11" t="str">
        <x:v>Giả thuyết dữ liệu</x:v>
      </x:c>
      <x:c r="D44" s="11" t="str">
        <x:v>/app/profiles/:id/hypotheses</x:v>
      </x:c>
      <x:c r="E44" s="11" t="str">
        <x:v>PRESERVED_DESIGN_REQUIREMENT</x:v>
      </x:c>
      <x:c r="F44" s="11" t="str">
        <x:v>newHypothesis</x:v>
      </x:c>
      <x:c r="G44" s="11" t="str">
        <x:v>server-scoped account + subject + tenant + purpose + active grant; context switch clears prior sensitive view</x:v>
      </x:c>
    </x:row>
    <x:row r="45" ht="24" hidden="0" customHeight="1">
      <x:c r="A45" s="11" t="str">
        <x:v>SCREEN</x:v>
      </x:c>
      <x:c r="B45" s="11" t="str">
        <x:v>UI-13</x:v>
      </x:c>
      <x:c r="C45" s="11" t="str">
        <x:v>Sự đồng ý</x:v>
      </x:c>
      <x:c r="D45" s="11" t="str">
        <x:v>/app/privacy</x:v>
      </x:c>
      <x:c r="E45" s="11" t="str">
        <x:v>PRESERVED_DESIGN_REQUIREMENT</x:v>
      </x:c>
      <x:c r="F45" s="11" t="str">
        <x:v>consentDecision</x:v>
      </x:c>
      <x:c r="G45" s="11" t="str">
        <x:v>server-scoped account + subject + tenant + purpose + active grant; context switch clears prior sensitive view</x:v>
      </x:c>
    </x:row>
    <x:row r="46" ht="24" hidden="0" customHeight="1">
      <x:c r="A46" s="11" t="str">
        <x:v>SCREEN</x:v>
      </x:c>
      <x:c r="B46" s="11" t="str">
        <x:v>UI-14</x:v>
      </x:c>
      <x:c r="C46" s="11" t="str">
        <x:v>Chia sẻ</x:v>
      </x:c>
      <x:c r="D46" s="11" t="str">
        <x:v>/app/sharing</x:v>
      </x:c>
      <x:c r="E46" s="11" t="str">
        <x:v>PRESERVED_DESIGN_REQUIREMENT</x:v>
      </x:c>
      <x:c r="F46" s="11" t="str">
        <x:v>grant</x:v>
      </x:c>
      <x:c r="G46" s="11" t="str">
        <x:v>server-scoped account + subject + tenant + purpose + active grant; context switch clears prior sensitive view</x:v>
      </x:c>
    </x:row>
    <x:row r="47" ht="24" hidden="0" customHeight="1">
      <x:c r="A47" s="11" t="str">
        <x:v>SCREEN</x:v>
      </x:c>
      <x:c r="B47" s="11" t="str">
        <x:v>UI-15</x:v>
      </x:c>
      <x:c r="C47" s="11" t="str">
        <x:v>Nhật ký</x:v>
      </x:c>
      <x:c r="D47" s="11" t="str">
        <x:v>/app/journal</x:v>
      </x:c>
      <x:c r="E47" s="11" t="str">
        <x:v>PRESERVED_DESIGN_REQUIREMENT</x:v>
      </x:c>
      <x:c r="F47" s="11" t="str">
        <x:v>observation</x:v>
      </x:c>
      <x:c r="G47" s="11" t="str">
        <x:v>server-scoped account + subject + tenant + purpose + active grant; context switch clears prior sensitive view</x:v>
      </x:c>
    </x:row>
    <x:row r="48" ht="24" hidden="0" customHeight="1">
      <x:c r="A48" s="11" t="str">
        <x:v>SCREEN</x:v>
      </x:c>
      <x:c r="B48" s="11" t="str">
        <x:v>UI-16</x:v>
      </x:c>
      <x:c r="C48" s="11" t="str">
        <x:v>Đồng nhịp</x:v>
      </x:c>
      <x:c r="D48" s="11" t="str">
        <x:v>/app/resonance</x:v>
      </x:c>
      <x:c r="E48" s="11" t="str">
        <x:v>PRESERVED_DESIGN_REQUIREMENT</x:v>
      </x:c>
      <x:c r="F48" s="11" t="str">
        <x:v>observations</x:v>
      </x:c>
      <x:c r="G48" s="11" t="str">
        <x:v>server-scoped account + subject + tenant + purpose + active grant; context switch clears prior sensitive view</x:v>
      </x:c>
    </x:row>
    <x:row r="49" ht="24" hidden="0" customHeight="1">
      <x:c r="A49" s="11" t="str">
        <x:v>SCREEN</x:v>
      </x:c>
      <x:c r="B49" s="11" t="str">
        <x:v>UI-17</x:v>
      </x:c>
      <x:c r="C49" s="11" t="str">
        <x:v>Mục tiêu</x:v>
      </x:c>
      <x:c r="D49" s="11" t="str">
        <x:v>/app/goals</x:v>
      </x:c>
      <x:c r="E49" s="11" t="str">
        <x:v>PRESERVED_DESIGN_REQUIREMENT</x:v>
      </x:c>
      <x:c r="F49" s="11" t="str">
        <x:v>createPlan</x:v>
      </x:c>
      <x:c r="G49" s="11" t="str">
        <x:v>server-scoped account + subject + tenant + purpose + active grant; context switch clears prior sensitive view</x:v>
      </x:c>
    </x:row>
    <x:row r="50" ht="24" hidden="0" customHeight="1">
      <x:c r="A50" s="11" t="str">
        <x:v>SCREEN</x:v>
      </x:c>
      <x:c r="B50" s="11" t="str">
        <x:v>UI-18</x:v>
      </x:c>
      <x:c r="C50" s="11" t="str">
        <x:v>Check-in</x:v>
      </x:c>
      <x:c r="D50" s="11" t="str">
        <x:v>/app/actions/:id</x:v>
      </x:c>
      <x:c r="E50" s="11" t="str">
        <x:v>PRESERVED_DESIGN_REQUIREMENT</x:v>
      </x:c>
      <x:c r="F50" s="11" t="str">
        <x:v>checkin</x:v>
      </x:c>
      <x:c r="G50" s="11" t="str">
        <x:v>server-scoped account + subject + tenant + purpose + active grant; context switch clears prior sensitive view</x:v>
      </x:c>
    </x:row>
    <x:row r="51" ht="24" hidden="0" customHeight="1">
      <x:c r="A51" s="11" t="str">
        <x:v>SCREEN</x:v>
      </x:c>
      <x:c r="B51" s="11" t="str">
        <x:v>UI-19</x:v>
      </x:c>
      <x:c r="C51" s="11" t="str">
        <x:v>Dòng thời gian</x:v>
      </x:c>
      <x:c r="D51" s="11" t="str">
        <x:v>/app/timeline</x:v>
      </x:c>
      <x:c r="E51" s="11" t="str">
        <x:v>PRESERVED_DESIGN_REQUIREMENT</x:v>
      </x:c>
      <x:c r="F51" s="11" t="str">
        <x:v>timeline</x:v>
      </x:c>
      <x:c r="G51" s="11" t="str">
        <x:v>server-scoped account + subject + tenant + purpose + active grant; context switch clears prior sensitive view</x:v>
      </x:c>
    </x:row>
    <x:row r="52" ht="24" hidden="0" customHeight="1">
      <x:c r="A52" s="11" t="str">
        <x:v>SCREEN</x:v>
      </x:c>
      <x:c r="B52" s="11" t="str">
        <x:v>UI-20</x:v>
      </x:c>
      <x:c r="C52" s="11" t="str">
        <x:v>Khảo sát</x:v>
      </x:c>
      <x:c r="D52" s="11" t="str">
        <x:v>/app/questionnaires/:code</x:v>
      </x:c>
      <x:c r="E52" s="11" t="str">
        <x:v>PRESERVED_DESIGN_REQUIREMENT</x:v>
      </x:c>
      <x:c r="F52" s="11" t="str">
        <x:v>questionnaireResponse</x:v>
      </x:c>
      <x:c r="G52" s="11" t="str">
        <x:v>server-scoped account + subject + tenant + purpose + active grant; context switch clears prior sensitive view</x:v>
      </x:c>
    </x:row>
    <x:row r="53" ht="24" hidden="0" customHeight="1">
      <x:c r="A53" s="11" t="str">
        <x:v>SCREEN</x:v>
      </x:c>
      <x:c r="B53" s="11" t="str">
        <x:v>UI-21</x:v>
      </x:c>
      <x:c r="C53" s="11" t="str">
        <x:v>Tính phân tích</x:v>
      </x:c>
      <x:c r="D53" s="11" t="str">
        <x:v>/app/analysis/new</x:v>
      </x:c>
      <x:c r="E53" s="11" t="str">
        <x:v>PRESERVED_DESIGN_REQUIREMENT</x:v>
      </x:c>
      <x:c r="F53" s="11" t="str">
        <x:v>analyze</x:v>
      </x:c>
      <x:c r="G53" s="11" t="str">
        <x:v>server-scoped account + subject + tenant + purpose + active grant; context switch clears prior sensitive view</x:v>
      </x:c>
    </x:row>
    <x:row r="54" ht="24" hidden="0" customHeight="1">
      <x:c r="A54" s="11" t="str">
        <x:v>SCREEN</x:v>
      </x:c>
      <x:c r="B54" s="11" t="str">
        <x:v>UI-22</x:v>
      </x:c>
      <x:c r="C54" s="11" t="str">
        <x:v>Tiến độ</x:v>
      </x:c>
      <x:c r="D54" s="11" t="str">
        <x:v>/app/analysis/:id</x:v>
      </x:c>
      <x:c r="E54" s="11" t="str">
        <x:v>PRESERVED_DESIGN_REQUIREMENT</x:v>
      </x:c>
      <x:c r="F54" s="11" t="str">
        <x:v>analysisStatus</x:v>
      </x:c>
      <x:c r="G54" s="11" t="str">
        <x:v>server-scoped account + subject + tenant + purpose + active grant; context switch clears prior sensitive view</x:v>
      </x:c>
    </x:row>
    <x:row r="55" ht="24" hidden="0" customHeight="1">
      <x:c r="A55" s="11" t="str">
        <x:v>SCREEN</x:v>
      </x:c>
      <x:c r="B55" s="11" t="str">
        <x:v>UI-23</x:v>
      </x:c>
      <x:c r="C55" s="11" t="str">
        <x:v>Thư viện báo cáo</x:v>
      </x:c>
      <x:c r="D55" s="11" t="str">
        <x:v>/app/reports</x:v>
      </x:c>
      <x:c r="E55" s="11" t="str">
        <x:v>PRESERVED_DESIGN_REQUIREMENT</x:v>
      </x:c>
      <x:c r="F55" s="11" t="str">
        <x:v>reports</x:v>
      </x:c>
      <x:c r="G55" s="11" t="str">
        <x:v>server-scoped account + subject + tenant + purpose + active grant; context switch clears prior sensitive view</x:v>
      </x:c>
    </x:row>
    <x:row r="56" ht="24" hidden="0" customHeight="1">
      <x:c r="A56" s="11" t="str">
        <x:v>SCREEN</x:v>
      </x:c>
      <x:c r="B56" s="11" t="str">
        <x:v>UI-24</x:v>
      </x:c>
      <x:c r="C56" s="11" t="str">
        <x:v>Đọc báo cáo</x:v>
      </x:c>
      <x:c r="D56" s="11" t="str">
        <x:v>/app/reports/:id</x:v>
      </x:c>
      <x:c r="E56" s="11" t="str">
        <x:v>PRESERVED_DESIGN_REQUIREMENT</x:v>
      </x:c>
      <x:c r="F56" s="11" t="str">
        <x:v>report</x:v>
      </x:c>
      <x:c r="G56" s="11" t="str">
        <x:v>server-scoped account + subject + tenant + purpose + active grant; context switch clears prior sensitive view</x:v>
      </x:c>
    </x:row>
    <x:row r="57" ht="24" hidden="0" customHeight="1">
      <x:c r="A57" s="11" t="str">
        <x:v>SCREEN</x:v>
      </x:c>
      <x:c r="B57" s="11" t="str">
        <x:v>UI-25</x:v>
      </x:c>
      <x:c r="C57" s="11" t="str">
        <x:v>So sánh revisions</x:v>
      </x:c>
      <x:c r="D57" s="11" t="str">
        <x:v>/app/reports/:id/versions</x:v>
      </x:c>
      <x:c r="E57" s="11" t="str">
        <x:v>PRESERVED_DESIGN_REQUIREMENT</x:v>
      </x:c>
      <x:c r="F57" s="11" t="str">
        <x:v>reportRevisions</x:v>
      </x:c>
      <x:c r="G57" s="11" t="str">
        <x:v>server-scoped account + subject + tenant + purpose + active grant; context switch clears prior sensitive view</x:v>
      </x:c>
    </x:row>
    <x:row r="58" ht="24" hidden="0" customHeight="1">
      <x:c r="A58" s="11" t="str">
        <x:v>SCREEN</x:v>
      </x:c>
      <x:c r="B58" s="11" t="str">
        <x:v>UI-26</x:v>
      </x:c>
      <x:c r="C58" s="11" t="str">
        <x:v>Xuất/tải</x:v>
      </x:c>
      <x:c r="D58" s="11" t="str">
        <x:v>/app/reports/:id/export</x:v>
      </x:c>
      <x:c r="E58" s="11" t="str">
        <x:v>PRESERVED_DESIGN_REQUIREMENT</x:v>
      </x:c>
      <x:c r="F58" s="11" t="str">
        <x:v>exportReport</x:v>
      </x:c>
      <x:c r="G58" s="11" t="str">
        <x:v>server-scoped account + subject + tenant + purpose + active grant; context switch clears prior sensitive view</x:v>
      </x:c>
    </x:row>
    <x:row r="59" ht="24" hidden="0" customHeight="1">
      <x:c r="A59" s="11" t="str">
        <x:v>SCREEN</x:v>
      </x:c>
      <x:c r="B59" s="11" t="str">
        <x:v>UI-27</x:v>
      </x:c>
      <x:c r="C59" s="11" t="str">
        <x:v>Đơn hàng</x:v>
      </x:c>
      <x:c r="D59" s="11" t="str">
        <x:v>/app/orders</x:v>
      </x:c>
      <x:c r="E59" s="11" t="str">
        <x:v>PRESERVED_DESIGN_REQUIREMENT</x:v>
      </x:c>
      <x:c r="F59" s="11" t="str">
        <x:v>order</x:v>
      </x:c>
      <x:c r="G59" s="11" t="str">
        <x:v>server-scoped account + subject + tenant + purpose + active grant; context switch clears prior sensitive view</x:v>
      </x:c>
    </x:row>
    <x:row r="60" ht="24" hidden="0" customHeight="1">
      <x:c r="A60" s="11" t="str">
        <x:v>SCREEN</x:v>
      </x:c>
      <x:c r="B60" s="11" t="str">
        <x:v>UI-28</x:v>
      </x:c>
      <x:c r="C60" s="11" t="str">
        <x:v>Thanh toán</x:v>
      </x:c>
      <x:c r="D60" s="11" t="str">
        <x:v>/app/checkout/:id</x:v>
      </x:c>
      <x:c r="E60" s="11" t="str">
        <x:v>PRESERVED_DESIGN_REQUIREMENT</x:v>
      </x:c>
      <x:c r="F60" s="11" t="str">
        <x:v>checkout</x:v>
      </x:c>
      <x:c r="G60" s="11" t="str">
        <x:v>server-scoped account + subject + tenant + purpose + active grant; context switch clears prior sensitive view</x:v>
      </x:c>
    </x:row>
    <x:row r="61" ht="24" hidden="0" customHeight="1">
      <x:c r="A61" s="11" t="str">
        <x:v>SCREEN</x:v>
      </x:c>
      <x:c r="B61" s="11" t="str">
        <x:v>UI-29</x:v>
      </x:c>
      <x:c r="C61" s="11" t="str">
        <x:v>Quyền dịch vụ</x:v>
      </x:c>
      <x:c r="D61" s="11" t="str">
        <x:v>/app/subscription</x:v>
      </x:c>
      <x:c r="E61" s="11" t="str">
        <x:v>PRESERVED_DESIGN_REQUIREMENT</x:v>
      </x:c>
      <x:c r="F61" s="11" t="str">
        <x:v>entitlements</x:v>
      </x:c>
      <x:c r="G61" s="11" t="str">
        <x:v>server-scoped account + subject + tenant + purpose + active grant; context switch clears prior sensitive view</x:v>
      </x:c>
    </x:row>
    <x:row r="62" ht="24" hidden="0" customHeight="1">
      <x:c r="A62" s="11" t="str">
        <x:v>SCREEN</x:v>
      </x:c>
      <x:c r="B62" s="11" t="str">
        <x:v>UI-30</x:v>
      </x:c>
      <x:c r="C62" s="11" t="str">
        <x:v>Hỗ trợ</x:v>
      </x:c>
      <x:c r="D62" s="11" t="str">
        <x:v>/app/support</x:v>
      </x:c>
      <x:c r="E62" s="11" t="str">
        <x:v>PRESERVED_DESIGN_REQUIREMENT</x:v>
      </x:c>
      <x:c r="F62" s="11" t="str">
        <x:v>ticket</x:v>
      </x:c>
      <x:c r="G62" s="11" t="str">
        <x:v>server-scoped account + subject + tenant + purpose + active grant; context switch clears prior sensitive view</x:v>
      </x:c>
    </x:row>
    <x:row r="63" ht="24" hidden="0" customHeight="1">
      <x:c r="A63" s="11" t="str">
        <x:v>SCREEN</x:v>
      </x:c>
      <x:c r="B63" s="11" t="str">
        <x:v>UI-31</x:v>
      </x:c>
      <x:c r="C63" s="11" t="str">
        <x:v>Xuất dữ liệu</x:v>
      </x:c>
      <x:c r="D63" s="11" t="str">
        <x:v>/app/privacy/export</x:v>
      </x:c>
      <x:c r="E63" s="11" t="str">
        <x:v>PRESERVED_DESIGN_REQUIREMENT</x:v>
      </x:c>
      <x:c r="F63" s="11" t="str">
        <x:v>privacyExport</x:v>
      </x:c>
      <x:c r="G63" s="11" t="str">
        <x:v>server-scoped account + subject + tenant + purpose + active grant; context switch clears prior sensitive view</x:v>
      </x:c>
    </x:row>
    <x:row r="64" ht="24" hidden="0" customHeight="1">
      <x:c r="A64" s="11" t="str">
        <x:v>SCREEN</x:v>
      </x:c>
      <x:c r="B64" s="11" t="str">
        <x:v>UI-32</x:v>
      </x:c>
      <x:c r="C64" s="11" t="str">
        <x:v>Yêu cầu xóa</x:v>
      </x:c>
      <x:c r="D64" s="11" t="str">
        <x:v>/app/privacy/delete</x:v>
      </x:c>
      <x:c r="E64" s="11" t="str">
        <x:v>PRESERVED_DESIGN_REQUIREMENT</x:v>
      </x:c>
      <x:c r="F64" s="11" t="str">
        <x:v>deleteSubject</x:v>
      </x:c>
      <x:c r="G64" s="11" t="str">
        <x:v>server-scoped account + subject + tenant + purpose + active grant; context switch clears prior sensitive view</x:v>
      </x:c>
    </x:row>
    <x:row r="65" ht="24" hidden="0" customHeight="1">
      <x:c r="A65" s="11" t="str">
        <x:v>SCREEN</x:v>
      </x:c>
      <x:c r="B65" s="11" t="str">
        <x:v>UI-33</x:v>
      </x:c>
      <x:c r="C65" s="11" t="str">
        <x:v>Trung tâm tự động</x:v>
      </x:c>
      <x:c r="D65" s="11" t="str">
        <x:v>/app/automations</x:v>
      </x:c>
      <x:c r="E65" s="11" t="str">
        <x:v>PRESERVED_DESIGN_REQUIREMENT</x:v>
      </x:c>
      <x:c r="F65" s="11" t="str">
        <x:v>newAutomation</x:v>
      </x:c>
      <x:c r="G65" s="11" t="str">
        <x:v>server-scoped account + subject + tenant + purpose + active grant; context switch clears prior sensitive view</x:v>
      </x:c>
    </x:row>
    <x:row r="66" ht="24" hidden="0" customHeight="1">
      <x:c r="A66" s="11" t="str">
        <x:v>SCREEN</x:v>
      </x:c>
      <x:c r="B66" s="11" t="str">
        <x:v>UI-34</x:v>
      </x:c>
      <x:c r="C66" s="11" t="str">
        <x:v>Gia đình</x:v>
      </x:c>
      <x:c r="D66" s="11" t="str">
        <x:v>/family</x:v>
      </x:c>
      <x:c r="E66" s="11" t="str">
        <x:v>PRESERVED_DESIGN_REQUIREMENT</x:v>
      </x:c>
      <x:c r="F66" s="11" t="str">
        <x:v>subjects</x:v>
      </x:c>
      <x:c r="G66" s="11" t="str">
        <x:v>server-scoped account + subject + tenant + purpose + active grant; context switch clears prior sensitive view</x:v>
      </x:c>
    </x:row>
    <x:row r="67" ht="24" hidden="0" customHeight="1">
      <x:c r="A67" s="11" t="str">
        <x:v>SCREEN</x:v>
      </x:c>
      <x:c r="B67" s="11" t="str">
        <x:v>UI-35</x:v>
      </x:c>
      <x:c r="C67" s="11" t="str">
        <x:v>Case chuyên gia</x:v>
      </x:c>
      <x:c r="D67" s="11" t="str">
        <x:v>/practice/cases</x:v>
      </x:c>
      <x:c r="E67" s="11" t="str">
        <x:v>PRESERVED_DESIGN_REQUIREMENT</x:v>
      </x:c>
      <x:c r="F67" s="11" t="str">
        <x:v>cases</x:v>
      </x:c>
      <x:c r="G67" s="11" t="str">
        <x:v>server-scoped account + subject + tenant + purpose + active grant; context switch clears prior sensitive view</x:v>
      </x:c>
    </x:row>
    <x:row r="68" ht="24" hidden="0" customHeight="1">
      <x:c r="A68" s="11" t="str">
        <x:v>SCREEN</x:v>
      </x:c>
      <x:c r="B68" s="11" t="str">
        <x:v>UI-36</x:v>
      </x:c>
      <x:c r="C68" s="11" t="str">
        <x:v>Duyệt báo cáo</x:v>
      </x:c>
      <x:c r="D68" s="11" t="str">
        <x:v>/practice/reviews/:id</x:v>
      </x:c>
      <x:c r="E68" s="11" t="str">
        <x:v>PRESERVED_DESIGN_REQUIREMENT</x:v>
      </x:c>
      <x:c r="F68" s="11" t="str">
        <x:v>review</x:v>
      </x:c>
      <x:c r="G68" s="11" t="str">
        <x:v>server-scoped account + subject + tenant + purpose + active grant; context switch clears prior sensitive view</x:v>
      </x:c>
    </x:row>
    <x:row r="69" ht="24" hidden="0" customHeight="1">
      <x:c r="A69" s="11" t="str">
        <x:v>SCREEN</x:v>
      </x:c>
      <x:c r="B69" s="11" t="str">
        <x:v>UI-37</x:v>
      </x:c>
      <x:c r="C69" s="11" t="str">
        <x:v>Academy</x:v>
      </x:c>
      <x:c r="D69" s="11" t="str">
        <x:v>/academy</x:v>
      </x:c>
      <x:c r="E69" s="11" t="str">
        <x:v>PRESERVED_DESIGN_REQUIREMENT</x:v>
      </x:c>
      <x:c r="F69" s="11" t="str">
        <x:v>courses</x:v>
      </x:c>
      <x:c r="G69" s="11" t="str">
        <x:v>server-scoped account + subject + tenant + purpose + active grant; context switch clears prior sensitive view</x:v>
      </x:c>
    </x:row>
    <x:row r="70" ht="24" hidden="0" customHeight="1">
      <x:c r="A70" s="11" t="str">
        <x:v>SCREEN</x:v>
      </x:c>
      <x:c r="B70" s="11" t="str">
        <x:v>UI-38</x:v>
      </x:c>
      <x:c r="C70" s="11" t="str">
        <x:v>Học bài</x:v>
      </x:c>
      <x:c r="D70" s="11" t="str">
        <x:v>/academy/learn/:id</x:v>
      </x:c>
      <x:c r="E70" s="11" t="str">
        <x:v>PRESERVED_DESIGN_REQUIREMENT</x:v>
      </x:c>
      <x:c r="F70" s="11" t="str">
        <x:v>assignment</x:v>
      </x:c>
      <x:c r="G70" s="11" t="str">
        <x:v>server-scoped account + subject + tenant + purpose + active grant; context switch clears prior sensitive view</x:v>
      </x:c>
    </x:row>
    <x:row r="71" ht="24" hidden="0" customHeight="1">
      <x:c r="A71" s="11" t="str">
        <x:v>SCREEN</x:v>
      </x:c>
      <x:c r="B71" s="11" t="str">
        <x:v>UI-39</x:v>
      </x:c>
      <x:c r="C71" s="11" t="str">
        <x:v>Chứng nhận</x:v>
      </x:c>
      <x:c r="D71" s="11" t="str">
        <x:v>/academy/verify/:id</x:v>
      </x:c>
      <x:c r="E71" s="11" t="str">
        <x:v>PRESERVED_DESIGN_REQUIREMENT</x:v>
      </x:c>
      <x:c r="F71" s="11" t="str">
        <x:v>verifyCertificate</x:v>
      </x:c>
      <x:c r="G71" s="11" t="str">
        <x:v>server-scoped account + subject + tenant + purpose + active grant; context switch clears prior sensitive view</x:v>
      </x:c>
    </x:row>
    <x:row r="72" ht="24" hidden="0" customHeight="1">
      <x:c r="A72" s="11" t="str">
        <x:v>SCREEN</x:v>
      </x:c>
      <x:c r="B72" s="11" t="str">
        <x:v>UI-40</x:v>
      </x:c>
      <x:c r="C72" s="11" t="str">
        <x:v>Workspace</x:v>
      </x:c>
      <x:c r="D72" s="11" t="str">
        <x:v>/workspace</x:v>
      </x:c>
      <x:c r="E72" s="11" t="str">
        <x:v>PRESERVED_DESIGN_REQUIREMENT</x:v>
      </x:c>
      <x:c r="F72" s="11" t="str">
        <x:v>organizationOverview</x:v>
      </x:c>
      <x:c r="G72" s="11" t="str">
        <x:v>server-scoped account + subject + tenant + purpose + active grant; context switch clears prior sensitive view</x:v>
      </x:c>
    </x:row>
    <x:row r="73" ht="24" hidden="0" customHeight="1">
      <x:c r="A73" s="11" t="str">
        <x:v>SCREEN</x:v>
      </x:c>
      <x:c r="B73" s="11" t="str">
        <x:v>UI-41</x:v>
      </x:c>
      <x:c r="C73" s="11" t="str">
        <x:v>Partner</x:v>
      </x:c>
      <x:c r="D73" s="11" t="str">
        <x:v>/partner</x:v>
      </x:c>
      <x:c r="E73" s="11" t="str">
        <x:v>PRESERVED_DESIGN_REQUIREMENT</x:v>
      </x:c>
      <x:c r="F73" s="11" t="str">
        <x:v>partner</x:v>
      </x:c>
      <x:c r="G73" s="11" t="str">
        <x:v>server-scoped account + subject + tenant + purpose + active grant; context switch clears prior sensitive view</x:v>
      </x:c>
    </x:row>
    <x:row r="74" ht="24" hidden="0" customHeight="1">
      <x:c r="A74" s="11" t="str">
        <x:v>SCREEN</x:v>
      </x:c>
      <x:c r="B74" s="11" t="str">
        <x:v>UI-42</x:v>
      </x:c>
      <x:c r="C74" s="11" t="str">
        <x:v>Nguồn/phương pháp Admin</x:v>
      </x:c>
      <x:c r="D74" s="11" t="str">
        <x:v>/admin/methods</x:v>
      </x:c>
      <x:c r="E74" s="11" t="str">
        <x:v>PRESERVED_DESIGN_REQUIREMENT</x:v>
      </x:c>
      <x:c r="F74" s="11" t="str">
        <x:v>methodReleaseDraft</x:v>
      </x:c>
      <x:c r="G74" s="11" t="str">
        <x:v>server-scoped account + subject + tenant + purpose + active grant; context switch clears prior sensitive view</x:v>
      </x:c>
    </x:row>
    <x:row r="75" ht="24" hidden="0" customHeight="1">
      <x:c r="A75" s="11" t="str">
        <x:v>SCREEN</x:v>
      </x:c>
      <x:c r="B75" s="11" t="str">
        <x:v>UI-43</x:v>
      </x:c>
      <x:c r="C75" s="11" t="str">
        <x:v>Quality center</x:v>
      </x:c>
      <x:c r="D75" s="11" t="str">
        <x:v>/admin/quality</x:v>
      </x:c>
      <x:c r="E75" s="11" t="str">
        <x:v>PRESERVED_DESIGN_REQUIREMENT</x:v>
      </x:c>
      <x:c r="F75" s="11" t="str">
        <x:v>quality</x:v>
      </x:c>
      <x:c r="G75" s="11" t="str">
        <x:v>server-scoped account + subject + tenant + purpose + active grant; context switch clears prior sensitive view</x:v>
      </x:c>
    </x:row>
    <x:row r="76" ht="24" hidden="0" customHeight="1">
      <x:c r="A76" s="11" t="str">
        <x:v>SCREEN</x:v>
      </x:c>
      <x:c r="B76" s="11" t="str">
        <x:v>UI-44</x:v>
      </x:c>
      <x:c r="C76" s="11" t="str">
        <x:v>Ops center</x:v>
      </x:c>
      <x:c r="D76" s="11" t="str">
        <x:v>/admin/operations</x:v>
      </x:c>
      <x:c r="E76" s="11" t="str">
        <x:v>PRESERVED_DESIGN_REQUIREMENT</x:v>
      </x:c>
      <x:c r="F76" s="11" t="str">
        <x:v>operations</x:v>
      </x:c>
      <x:c r="G76" s="11" t="str">
        <x:v>server-scoped account + subject + tenant + purpose + active grant; context switch clears prior sensitive view</x:v>
      </x:c>
    </x:row>
    <x:row r="77" ht="24" hidden="0" customHeight="1">
      <x:c r="A77" s="11" t="str">
        <x:v>SCREEN</x:v>
      </x:c>
      <x:c r="B77" s="11" t="str">
        <x:v>UI-45</x:v>
      </x:c>
      <x:c r="C77" s="11" t="str">
        <x:v>Rights/legal center</x:v>
      </x:c>
      <x:c r="D77" s="11" t="str">
        <x:v>/admin/rights</x:v>
      </x:c>
      <x:c r="E77" s="11" t="str">
        <x:v>PRESERVED_DESIGN_REQUIREMENT</x:v>
      </x:c>
      <x:c r="F77" s="11" t="str">
        <x:v>countryPackReview</x:v>
      </x:c>
      <x:c r="G77" s="11" t="str">
        <x:v>server-scoped account + subject + tenant + purpose + active grant; context switch clears prior sensitive view</x:v>
      </x:c>
    </x:row>
    <x:row r="78" ht="24" hidden="0" customHeight="1">
      <x:c r="A78" s="11" t="str">
        <x:v>SCREEN</x:v>
      </x:c>
      <x:c r="B78" s="11" t="str">
        <x:v>V2-S01</x:v>
      </x:c>
      <x:c r="C78" s="11" t="str">
        <x:v>V2-S01</x:v>
      </x:c>
      <x:c r="D78" s="11" t="str">
        <x:v>/lab/cases</x:v>
      </x:c>
      <x:c r="E78" s="11" t="str">
        <x:v>PROPOSED_DESIGN_REQUIREMENT</x:v>
      </x:c>
      <x:c r="F78" s="11" t="str">
        <x:v>cases</x:v>
      </x:c>
      <x:c r="G78" s="11" t="str">
        <x:v>server-scoped account + subject + tenant + purpose + active grant; context switch clears prior sensitive view</x:v>
      </x:c>
    </x:row>
    <x:row r="79" ht="24" hidden="0" customHeight="1">
      <x:c r="A79" s="11" t="str">
        <x:v>SCREEN</x:v>
      </x:c>
      <x:c r="B79" s="11" t="str">
        <x:v>V2-S02</x:v>
      </x:c>
      <x:c r="C79" s="11" t="str">
        <x:v>V2-S02</x:v>
      </x:c>
      <x:c r="D79" s="11" t="str">
        <x:v>/app/profiles/:id/hypotheses</x:v>
      </x:c>
      <x:c r="E79" s="11" t="str">
        <x:v>PROPOSED_DESIGN_REQUIREMENT</x:v>
      </x:c>
      <x:c r="F79" s="11" t="str">
        <x:v>listHypotheses</x:v>
      </x:c>
      <x:c r="G79" s="11" t="str">
        <x:v>server-scoped account + subject + tenant + purpose + active grant; context switch clears prior sensitive view</x:v>
      </x:c>
    </x:row>
    <x:row r="80" ht="24" hidden="0" customHeight="1">
      <x:c r="A80" s="11" t="str">
        <x:v>SCREEN</x:v>
      </x:c>
      <x:c r="B80" s="11" t="str">
        <x:v>V2-S03</x:v>
      </x:c>
      <x:c r="C80" s="11" t="str">
        <x:v>V2-S03</x:v>
      </x:c>
      <x:c r="D80" s="11" t="str">
        <x:v>/app/runs/:id/trace</x:v>
      </x:c>
      <x:c r="E80" s="11" t="str">
        <x:v>PROPOSED_DESIGN_REQUIREMENT</x:v>
      </x:c>
      <x:c r="F80" s="11" t="str">
        <x:v>runTrace</x:v>
      </x:c>
      <x:c r="G80" s="11" t="str">
        <x:v>server-scoped account + subject + tenant + purpose + active grant; context switch clears prior sensitive view</x:v>
      </x:c>
    </x:row>
    <x:row r="81" ht="24" hidden="0" customHeight="1">
      <x:c r="A81" s="11" t="str">
        <x:v>SCREEN</x:v>
      </x:c>
      <x:c r="B81" s="11" t="str">
        <x:v>V2-S04</x:v>
      </x:c>
      <x:c r="C81" s="11" t="str">
        <x:v>V2-S04</x:v>
      </x:c>
      <x:c r="D81" s="11" t="str">
        <x:v>/app/runs/compare</x:v>
      </x:c>
      <x:c r="E81" s="11" t="str">
        <x:v>PROPOSED_DESIGN_REQUIREMENT</x:v>
      </x:c>
      <x:c r="F81" s="11" t="str">
        <x:v>compareRuns</x:v>
      </x:c>
      <x:c r="G81" s="11" t="str">
        <x:v>server-scoped account + subject + tenant + purpose + active grant; context switch clears prior sensitive view</x:v>
      </x:c>
    </x:row>
    <x:row r="82" ht="24" hidden="0" customHeight="1">
      <x:c r="A82" s="11" t="str">
        <x:v>SCREEN</x:v>
      </x:c>
      <x:c r="B82" s="11" t="str">
        <x:v>V2-S05</x:v>
      </x:c>
      <x:c r="C82" s="11" t="str">
        <x:v>V2-S05</x:v>
      </x:c>
      <x:c r="D82" s="11" t="str">
        <x:v>/app/sync/conflicts</x:v>
      </x:c>
      <x:c r="E82" s="11" t="str">
        <x:v>PROPOSED_DESIGN_REQUIREMENT</x:v>
      </x:c>
      <x:c r="F82" s="11" t="str">
        <x:v>syncOfflineBatch</x:v>
      </x:c>
      <x:c r="G82" s="11" t="str">
        <x:v>server-scoped account + subject + tenant + purpose + active grant; context switch clears prior sensitive view</x:v>
      </x:c>
    </x:row>
    <x:row r="83" ht="24" hidden="0" customHeight="1">
      <x:c r="A83" s="11" t="str">
        <x:v>SCREEN</x:v>
      </x:c>
      <x:c r="B83" s="11" t="str">
        <x:v>V2-S06</x:v>
      </x:c>
      <x:c r="C83" s="11" t="str">
        <x:v>V2-S06</x:v>
      </x:c>
      <x:c r="D83" s="11" t="str">
        <x:v>/practice/methods/:id/dependencies</x:v>
      </x:c>
      <x:c r="E83" s="11" t="str">
        <x:v>PROPOSED_DESIGN_REQUIREMENT</x:v>
      </x:c>
      <x:c r="F83" s="11" t="str">
        <x:v>methodDependencies</x:v>
      </x:c>
      <x:c r="G83" s="11" t="str">
        <x:v>server-scoped account + subject + tenant + purpose + active grant; context switch clears prior sensitive view</x:v>
      </x:c>
    </x:row>
    <x:row r="84" ht="24" hidden="0" customHeight="1">
      <x:c r="A84" s="11" t="str">
        <x:v>SCREEN</x:v>
      </x:c>
      <x:c r="B84" s="11" t="str">
        <x:v>V2-S07</x:v>
      </x:c>
      <x:c r="C84" s="11" t="str">
        <x:v>V2-S07</x:v>
      </x:c>
      <x:c r="D84" s="11" t="str">
        <x:v>/ops/methods/review</x:v>
      </x:c>
      <x:c r="E84" s="11" t="str">
        <x:v>PROPOSED_DESIGN_REQUIREMENT</x:v>
      </x:c>
      <x:c r="F84" s="11" t="str">
        <x:v>methodReleaseDraft</x:v>
      </x:c>
      <x:c r="G84" s="11" t="str">
        <x:v>server-scoped account + subject + tenant + purpose + active grant; context switch clears prior sensitive view</x:v>
      </x:c>
    </x:row>
    <x:row r="85" ht="24" hidden="0" customHeight="1">
      <x:c r="A85" s="11" t="str">
        <x:v>SCREEN</x:v>
      </x:c>
      <x:c r="B85" s="11" t="str">
        <x:v>V2-S08</x:v>
      </x:c>
      <x:c r="C85" s="11" t="str">
        <x:v>V2-S08</x:v>
      </x:c>
      <x:c r="D85" s="11" t="str">
        <x:v>/ops/releases/:id/impact</x:v>
      </x:c>
      <x:c r="E85" s="11" t="str">
        <x:v>PROPOSED_DESIGN_REQUIREMENT</x:v>
      </x:c>
      <x:c r="F85" s="11" t="str">
        <x:v>releaseImpact</x:v>
      </x:c>
      <x:c r="G85" s="11" t="str">
        <x:v>server-scoped account + subject + tenant + purpose + active grant; context switch clears prior sensitive view</x:v>
      </x:c>
    </x:row>
    <x:row r="86" ht="24" hidden="0" customHeight="1">
      <x:c r="A86" s="11" t="str">
        <x:v>SCREEN</x:v>
      </x:c>
      <x:c r="B86" s="11" t="str">
        <x:v>V2-S09</x:v>
      </x:c>
      <x:c r="C86" s="11" t="str">
        <x:v>V2-S09</x:v>
      </x:c>
      <x:c r="D86" s="11" t="str">
        <x:v>/app/privacy/sharing</x:v>
      </x:c>
      <x:c r="E86" s="11" t="str">
        <x:v>PROPOSED_DESIGN_REQUIREMENT</x:v>
      </x:c>
      <x:c r="F86" s="11" t="str">
        <x:v>grants</x:v>
      </x:c>
      <x:c r="G86" s="11" t="str">
        <x:v>server-scoped account + subject + tenant + purpose + active grant; context switch clears prior sensitive view</x:v>
      </x:c>
    </x:row>
    <x:row r="87" ht="24" hidden="0" customHeight="1">
      <x:c r="A87" s="11" t="str">
        <x:v>SCREEN</x:v>
      </x:c>
      <x:c r="B87" s="11" t="str">
        <x:v>V2-S10</x:v>
      </x:c>
      <x:c r="C87" s="11" t="str">
        <x:v>V2-S10</x:v>
      </x:c>
      <x:c r="D87" s="11" t="str">
        <x:v>/app/privacy/deletions/:id</x:v>
      </x:c>
      <x:c r="E87" s="11" t="str">
        <x:v>PROPOSED_DESIGN_REQUIREMENT</x:v>
      </x:c>
      <x:c r="F87" s="11" t="str">
        <x:v>deletionStatus</x:v>
      </x:c>
      <x:c r="G87" s="11" t="str">
        <x:v>server-scoped account + subject + tenant + purpose + active grant; context switch clears prior sensitive view</x:v>
      </x:c>
    </x:row>
    <x:row r="88" ht="24" hidden="0" customHeight="1">
      <x:c r="A88" s="11" t="str">
        <x:v>SCREEN</x:v>
      </x:c>
      <x:c r="B88" s="11" t="str">
        <x:v>V2-S11</x:v>
      </x:c>
      <x:c r="C88" s="11" t="str">
        <x:v>V2-S11</x:v>
      </x:c>
      <x:c r="D88" s="11" t="str">
        <x:v>/partners/countries/:code</x:v>
      </x:c>
      <x:c r="E88" s="11" t="str">
        <x:v>PROPOSED_DESIGN_REQUIREMENT</x:v>
      </x:c>
      <x:c r="F88" s="11" t="str">
        <x:v>countryEligibility</x:v>
      </x:c>
      <x:c r="G88" s="11" t="str">
        <x:v>server-scoped account + subject + tenant + purpose + active grant; context switch clears prior sensitive view</x:v>
      </x:c>
    </x:row>
    <x:row r="89" ht="24" hidden="0" customHeight="1">
      <x:c r="A89" s="11" t="str">
        <x:v>SCREEN</x:v>
      </x:c>
      <x:c r="B89" s="11" t="str">
        <x:v>V2-S12</x:v>
      </x:c>
      <x:c r="C89" s="11" t="str">
        <x:v>V2-S12</x:v>
      </x:c>
      <x:c r="D89" s="11" t="str">
        <x:v>/lab/reports</x:v>
      </x:c>
      <x:c r="E89" s="11" t="str">
        <x:v>PROPOSED_DESIGN_REQUIREMENT</x:v>
      </x:c>
      <x:c r="F89" s="11" t="str">
        <x:v>Resolve operationId in normalized OpenAPI; paths not copied from source</x:v>
      </x:c>
      <x:c r="G89" s="11" t="str">
        <x:v>server-scoped account + subject + tenant + purpose + active grant; context switch clears prior sensitive view</x:v>
      </x:c>
    </x:row>
    <x:row r="90" ht="24" hidden="0" customHeight="1">
      <x:c r="A90" s="11" t="str">
        <x:v>SCREEN</x:v>
      </x:c>
      <x:c r="B90" s="11" t="str">
        <x:v>V3-UI-058</x:v>
      </x:c>
      <x:c r="C90" s="11" t="str">
        <x:v>Một hồ sơ, các không gian được phép</x:v>
      </x:c>
      <x:c r="D90" s="11" t="str">
        <x:v>/app/home</x:v>
      </x:c>
      <x:c r="E90" s="11" t="str">
        <x:v>PROPOSED_DESIGN_REQUIREMENT</x:v>
      </x:c>
      <x:c r="F90" s="11" t="str">
        <x:v>subjects</x:v>
      </x:c>
      <x:c r="G90" s="11" t="str">
        <x:v>server-scoped account + subject + tenant + purpose + active grant; context switch clears prior sensitive view</x:v>
      </x:c>
    </x:row>
    <x:row r="91" ht="24" hidden="0" customHeight="1">
      <x:c r="A91" s="11" t="str">
        <x:v>SCREEN</x:v>
      </x:c>
      <x:c r="B91" s="11" t="str">
        <x:v>V3-UI-059</x:v>
      </x:c>
      <x:c r="C91" s="11" t="str">
        <x:v>23 chỉ số và các bước trung gian</x:v>
      </x:c>
      <x:c r="D91" s="11" t="str">
        <x:v>/app/numbers/numerology</x:v>
      </x:c>
      <x:c r="E91" s="11" t="str">
        <x:v>PROPOSED_DESIGN_REQUIREMENT</x:v>
      </x:c>
      <x:c r="F91" s="11" t="str">
        <x:v>computeNumerologyFull</x:v>
      </x:c>
      <x:c r="G91" s="11" t="str">
        <x:v>server-scoped account + subject + tenant + purpose + active grant; context switch clears prior sensitive view</x:v>
      </x:c>
    </x:row>
    <x:row r="92" ht="24" hidden="0" customHeight="1">
      <x:c r="A92" s="11" t="str">
        <x:v>SCREEN</x:v>
      </x:c>
      <x:c r="B92" s="11" t="str">
        <x:v>V3-UI-060</x:v>
      </x:c>
      <x:c r="C92" s="11" t="str">
        <x:v>Tên gốc, tên thường dùng và chính sách Y</x:v>
      </x:c>
      <x:c r="D92" s="11" t="str">
        <x:v>/app/names/variants</x:v>
      </x:c>
      <x:c r="E92" s="11" t="str">
        <x:v>PROPOSED_DESIGN_REQUIREMENT</x:v>
      </x:c>
      <x:c r="F92" s="11" t="str">
        <x:v>compareNameVariants</x:v>
      </x:c>
      <x:c r="G92" s="11" t="str">
        <x:v>server-scoped account + subject + tenant + purpose + active grant; context switch clears prior sensitive view</x:v>
      </x:c>
    </x:row>
    <x:row r="93" ht="24" hidden="0" customHeight="1">
      <x:c r="A93" s="11" t="str">
        <x:v>SCREEN</x:v>
      </x:c>
      <x:c r="B93" s="11" t="str">
        <x:v>V3-UI-061</x:v>
      </x:c>
      <x:c r="C93" s="11" t="str">
        <x:v>Dãy số và vị trí cặp</x:v>
      </x:c>
      <x:c r="D93" s="11" t="str">
        <x:v>/app/numbers/bat-cuc/segments</x:v>
      </x:c>
      <x:c r="E93" s="11" t="str">
        <x:v>PROPOSED_DESIGN_REQUIREMENT</x:v>
      </x:c>
      <x:c r="F93" s="11" t="str">
        <x:v>computeBatCuc</x:v>
      </x:c>
      <x:c r="G93" s="11" t="str">
        <x:v>server-scoped account + subject + tenant + purpose + active grant; context switch clears prior sensitive view</x:v>
      </x:c>
    </x:row>
    <x:row r="94" ht="24" hidden="0" customHeight="1">
      <x:c r="A94" s="11" t="str">
        <x:v>SCREEN</x:v>
      </x:c>
      <x:c r="B94" s="11" t="str">
        <x:v>V3-UI-062</x:v>
      </x:c>
      <x:c r="C94" s="11" t="str">
        <x:v>Ma trận chuyển nhóm và câu hỏi</x:v>
      </x:c>
      <x:c r="D94" s="11" t="str">
        <x:v>/app/numbers/bat-cuc/transitions</x:v>
      </x:c>
      <x:c r="E94" s="11" t="str">
        <x:v>PROPOSED_DESIGN_REQUIREMENT</x:v>
      </x:c>
      <x:c r="F94" s="11" t="str">
        <x:v>computeBatCuc</x:v>
      </x:c>
      <x:c r="G94" s="11" t="str">
        <x:v>server-scoped account + subject + tenant + purpose + active grant; context switch clears prior sensitive view</x:v>
      </x:c>
    </x:row>
    <x:row r="95" ht="24" hidden="0" customHeight="1">
      <x:c r="A95" s="11" t="str">
        <x:v>SCREEN</x:v>
      </x:c>
      <x:c r="B95" s="11" t="str">
        <x:v>V3-UI-063</x:v>
      </x:c>
      <x:c r="C95" s="11" t="str">
        <x:v>Strict so với diagnostic 0/5</x:v>
      </x:c>
      <x:c r="D95" s="11" t="str">
        <x:v>/app/numbers/bat-cuc/policies</x:v>
      </x:c>
      <x:c r="E95" s="11" t="str">
        <x:v>PROPOSED_DESIGN_REQUIREMENT</x:v>
      </x:c>
      <x:c r="F95" s="11" t="str">
        <x:v>computeBatCuc</x:v>
      </x:c>
      <x:c r="G95" s="11" t="str">
        <x:v>server-scoped account + subject + tenant + purpose + active grant; context switch clears prior sensitive view</x:v>
      </x:c>
    </x:row>
    <x:row r="96" ht="24" hidden="0" customHeight="1">
      <x:c r="A96" s="11" t="str">
        <x:v>SCREEN</x:v>
      </x:c>
      <x:c r="B96" s="11" t="str">
        <x:v>V3-UI-064</x:v>
      </x:c>
      <x:c r="C96" s="11" t="str">
        <x:v>Mã đuôi 80 và bảng nguồn</x:v>
      </x:c>
      <x:c r="D96" s="11" t="str">
        <x:v>/app/numbers/tail80</x:v>
      </x:c>
      <x:c r="E96" s="11" t="str">
        <x:v>PROPOSED_DESIGN_REQUIREMENT</x:v>
      </x:c>
      <x:c r="F96" s="11" t="str">
        <x:v>previewMethod</x:v>
      </x:c>
      <x:c r="G96" s="11" t="str">
        <x:v>server-scoped account + subject + tenant + purpose + active grant; context switch clears prior sensitive view</x:v>
      </x:c>
    </x:row>
    <x:row r="97" ht="24" hidden="0" customHeight="1">
      <x:c r="A97" s="11" t="str">
        <x:v>SCREEN</x:v>
      </x:c>
      <x:c r="B97" s="11" t="str">
        <x:v>V3-UI-065</x:v>
      </x:c>
      <x:c r="C97" s="11" t="str">
        <x:v>Raw/working matrix và 17 vị trí</x:v>
      </x:c>
      <x:c r="D97" s="11" t="str">
        <x:v>/app/numbers/psychomatrix</x:v>
      </x:c>
      <x:c r="E97" s="11" t="str">
        <x:v>PROPOSED_DESIGN_REQUIREMENT</x:v>
      </x:c>
      <x:c r="F97" s="11" t="str">
        <x:v>computePsychomatrix</x:v>
      </x:c>
      <x:c r="G97" s="11" t="str">
        <x:v>server-scoped account + subject + tenant + purpose + active grant; context switch clears prior sensitive view</x:v>
      </x:c>
    </x:row>
    <x:row r="98" ht="24" hidden="0" customHeight="1">
      <x:c r="A98" s="11" t="str">
        <x:v>SCREEN</x:v>
      </x:c>
      <x:c r="B98" s="11" t="str">
        <x:v>V3-UI-066</x:v>
      </x:c>
      <x:c r="C98" s="11" t="str">
        <x:v>18 lĩnh vực tự chọn</x:v>
      </x:c>
      <x:c r="D98" s="11" t="str">
        <x:v>/app/life/domains</x:v>
      </x:c>
      <x:c r="E98" s="11" t="str">
        <x:v>PROPOSED_DESIGN_REQUIREMENT</x:v>
      </x:c>
      <x:c r="F98" s="11" t="str">
        <x:v>getLifeDomains</x:v>
      </x:c>
      <x:c r="G98" s="11" t="str">
        <x:v>server-scoped account + subject + tenant + purpose + active grant; context switch clears prior sensitive view</x:v>
      </x:c>
    </x:row>
    <x:row r="99" ht="24" hidden="0" customHeight="1">
      <x:c r="A99" s="11" t="str">
        <x:v>SCREEN</x:v>
      </x:c>
      <x:c r="B99" s="11" t="str">
        <x:v>V3-UI-067</x:v>
      </x:c>
      <x:c r="C99" s="11" t="str">
        <x:v>Lịch sử, kế hoạch và chu kỳ</x:v>
      </x:c>
      <x:c r="D99" s="11" t="str">
        <x:v>/app/life/tracks</x:v>
      </x:c>
      <x:c r="E99" s="11" t="str">
        <x:v>PROPOSED_DESIGN_REQUIREMENT</x:v>
      </x:c>
      <x:c r="F99" s="11" t="str">
        <x:v>composeLifetime</x:v>
      </x:c>
      <x:c r="G99" s="11" t="str">
        <x:v>server-scoped account + subject + tenant + purpose + active grant; context switch clears prior sensitive view</x:v>
      </x:c>
    </x:row>
    <x:row r="100" ht="24" hidden="0" customHeight="1">
      <x:c r="A100" s="11" t="str">
        <x:v>SCREEN</x:v>
      </x:c>
      <x:c r="B100" s="11" t="str">
        <x:v>V3-UI-068</x:v>
      </x:c>
      <x:c r="C100" s="11" t="str">
        <x:v>Di sản tri thức và quyền người nhận</x:v>
      </x:c>
      <x:c r="D100" s="11" t="str">
        <x:v>/app/legacy/sharing</x:v>
      </x:c>
      <x:c r="E100" s="11" t="str">
        <x:v>PROPOSED_DESIGN_REQUIREMENT</x:v>
      </x:c>
      <x:c r="F100" s="11" t="str">
        <x:v>createKnowledgeLegacyTransfer</x:v>
      </x:c>
      <x:c r="G100" s="11" t="str">
        <x:v>server-scoped account + subject + tenant + purpose + active grant; context switch clears prior sensitive view</x:v>
      </x:c>
    </x:row>
    <x:row r="101" ht="24" hidden="0" customHeight="1">
      <x:c r="A101" s="11" t="str">
        <x:v>SCREEN</x:v>
      </x:c>
      <x:c r="B101" s="11" t="str">
        <x:v>V3-UI-069</x:v>
      </x:c>
      <x:c r="C101" s="11" t="str">
        <x:v>Nguồn khác nhau và phần chưa giải</x:v>
      </x:c>
      <x:c r="D101" s="11" t="str">
        <x:v>/practice/methods/:id/source-conflicts</x:v>
      </x:c>
      <x:c r="E101" s="11" t="str">
        <x:v>PROPOSED_DESIGN_REQUIREMENT</x:v>
      </x:c>
      <x:c r="F101" s="11" t="str">
        <x:v>getMethodSourceConflicts</x:v>
      </x:c>
      <x:c r="G101" s="11" t="str">
        <x:v>server-scoped account + subject + tenant + purpose + active grant; context switch clears prior sensitive view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25" hidden="0" customWidth="1"/>
    <x:col min="3" max="3" width="70" hidden="0" customWidth="1"/>
    <x:col min="4" max="4" width="36" hidden="0" customWidth="1"/>
    <x:col min="5" max="5" width="80" hidden="0" customWidth="1"/>
    <x:col min="6" max="6" width="24" hidden="0" customWidth="1"/>
  </x:cols>
  <x:sheetData>
    <x:row r="1" ht="36" customHeight="1">
      <x:c r="A1" s="2" t="str">
        <x:v>407 dòng truy vết</x:v>
      </x:c>
      <x:c r="B1" s="2"/>
      <x:c r="C1" s="2"/>
      <x:c r="D1" s="2"/>
      <x:c r="E1" s="2"/>
      <x:c r="F1" s="2"/>
    </x:row>
    <x:row r="2" ht="48" customHeight="1">
      <x:c r="A2" s="4" t="str">
        <x:v>Bao phủ registry xác định; chưa là407 kết quả kiểm thử. Mỗi dòng nối task và hợp đồng, receipt thực tế giữ NOT_CHECKED.</x:v>
      </x:c>
      <x:c r="B2" s="4"/>
      <x:c r="C2" s="4"/>
      <x:c r="D2" s="4"/>
      <x:c r="E2" s="4"/>
      <x:c r="F2" s="4"/>
    </x:row>
    <x:row r="4" ht="34" customHeight="1">
      <x:c r="A4" s="8" t="str">
        <x:v>Trace ID</x:v>
      </x:c>
      <x:c r="B4" s="8" t="str">
        <x:v>Nguồn</x:v>
      </x:c>
      <x:c r="C4" s="8" t="str">
        <x:v>Yêu cầu</x:v>
      </x:c>
      <x:c r="D4" s="8" t="str">
        <x:v>Task chịu trách nhiệm</x:v>
      </x:c>
      <x:c r="E4" s="8" t="str">
        <x:v>Contract / Artifact</x:v>
      </x:c>
      <x:c r="F4" s="8" t="str">
        <x:v>Evidence</x:v>
      </x:c>
    </x:row>
    <x:row r="5" ht="15" hidden="0" customHeight="1">
      <x:c r="A5" s="11" t="str">
        <x:v>LOCAL_R2:REQ-SCREEN-UI-01</x:v>
      </x:c>
      <x:c r="B5" s="11" t="str">
        <x:v>LOCAL_R2</x:v>
      </x:c>
      <x:c r="C5" s="11" t="str">
        <x:v>UI-01 Trang chủ: responsive state and authorization parity</x:v>
      </x:c>
      <x:c r="D5" s="11" t="str">
        <x:v>WEB-01; UPG-UX-001</x:v>
      </x:c>
      <x:c r="E5" s="11" t="str">
        <x:v>UI-01</x:v>
      </x:c>
      <x:c r="F5" s="11" t="str">
        <x:v>NOT_CHECKED</x:v>
      </x:c>
    </x:row>
    <x:row r="6" ht="15" hidden="0" customHeight="1">
      <x:c r="A6" s="11" t="str">
        <x:v>LOCAL_R2:REQ-SCREEN-UI-02</x:v>
      </x:c>
      <x:c r="B6" s="11" t="str">
        <x:v>LOCAL_R2</x:v>
      </x:c>
      <x:c r="C6" s="11" t="str">
        <x:v>UI-02 Giới thiệu HNH: responsive state and authorization parity</x:v>
      </x:c>
      <x:c r="D6" s="11" t="str">
        <x:v>WEB-01; UPG-UX-001</x:v>
      </x:c>
      <x:c r="E6" s="11" t="str">
        <x:v>UI-02</x:v>
      </x:c>
      <x:c r="F6" s="11" t="str">
        <x:v>NOT_CHECKED</x:v>
      </x:c>
    </x:row>
    <x:row r="7" ht="15" hidden="0" customHeight="1">
      <x:c r="A7" s="11" t="str">
        <x:v>LOCAL_R2:REQ-SCREEN-UI-03</x:v>
      </x:c>
      <x:c r="B7" s="11" t="str">
        <x:v>LOCAL_R2</x:v>
      </x:c>
      <x:c r="C7" s="11" t="str">
        <x:v>UI-03 Danh mục9cấp: responsive state and authorization parity</x:v>
      </x:c>
      <x:c r="D7" s="11" t="str">
        <x:v>GOV-09; UPG-UX-001</x:v>
      </x:c>
      <x:c r="E7" s="11" t="str">
        <x:v>UI-03</x:v>
      </x:c>
      <x:c r="F7" s="11" t="str">
        <x:v>NOT_CHECKED</x:v>
      </x:c>
    </x:row>
    <x:row r="8" ht="15" hidden="0" customHeight="1">
      <x:c r="A8" s="11" t="str">
        <x:v>LOCAL_R2:REQ-SCREEN-UI-04</x:v>
      </x:c>
      <x:c r="B8" s="11" t="str">
        <x:v>LOCAL_R2</x:v>
      </x:c>
      <x:c r="C8" s="11" t="str">
        <x:v>UI-04 Thư viện phương pháp: responsive state and authorization parity</x:v>
      </x:c>
      <x:c r="D8" s="11" t="str">
        <x:v>METHOD-10; UPG-UX-001</x:v>
      </x:c>
      <x:c r="E8" s="11" t="str">
        <x:v>UI-04</x:v>
      </x:c>
      <x:c r="F8" s="11" t="str">
        <x:v>NOT_CHECKED</x:v>
      </x:c>
    </x:row>
    <x:row r="9" ht="15" hidden="0" customHeight="1">
      <x:c r="A9" s="11" t="str">
        <x:v>LOCAL_R2:REQ-SCREEN-UI-05</x:v>
      </x:c>
      <x:c r="B9" s="11" t="str">
        <x:v>LOCAL_R2</x:v>
      </x:c>
      <x:c r="C9" s="11" t="str">
        <x:v>UI-05 Tra bộ số miễn phí: responsive state and authorization parity</x:v>
      </x:c>
      <x:c r="D9" s="11" t="str">
        <x:v>WEB-02; UPG-UX-001</x:v>
      </x:c>
      <x:c r="E9" s="11" t="str">
        <x:v>UI-05</x:v>
      </x:c>
      <x:c r="F9" s="11" t="str">
        <x:v>NOT_CHECKED</x:v>
      </x:c>
    </x:row>
    <x:row r="10" ht="15" hidden="0" customHeight="1">
      <x:c r="A10" s="11" t="str">
        <x:v>LOCAL_R2:REQ-SCREEN-UI-06</x:v>
      </x:c>
      <x:c r="B10" s="11" t="str">
        <x:v>LOCAL_R2</x:v>
      </x:c>
      <x:c r="C10" s="11" t="str">
        <x:v>UI-06 Giá và phạm vi: responsive state and authorization parity</x:v>
      </x:c>
      <x:c r="D10" s="11" t="str">
        <x:v>COMMERCE-01; UPG-UX-001</x:v>
      </x:c>
      <x:c r="E10" s="11" t="str">
        <x:v>UI-06</x:v>
      </x:c>
      <x:c r="F10" s="11" t="str">
        <x:v>NOT_CHECKED</x:v>
      </x:c>
    </x:row>
    <x:row r="11" ht="15" hidden="0" customHeight="1">
      <x:c r="A11" s="11" t="str">
        <x:v>LOCAL_R2:REQ-SCREEN-UI-07</x:v>
      </x:c>
      <x:c r="B11" s="11" t="str">
        <x:v>LOCAL_R2</x:v>
      </x:c>
      <x:c r="C11" s="11" t="str">
        <x:v>UI-07 Bắt đầu theo nhu cầu: responsive state and authorization parity</x:v>
      </x:c>
      <x:c r="D11" s="11" t="str">
        <x:v>WEB-03; UPG-UX-001</x:v>
      </x:c>
      <x:c r="E11" s="11" t="str">
        <x:v>UI-07</x:v>
      </x:c>
      <x:c r="F11" s="11" t="str">
        <x:v>NOT_CHECKED</x:v>
      </x:c>
    </x:row>
    <x:row r="12" ht="15" hidden="0" customHeight="1">
      <x:c r="A12" s="11" t="str">
        <x:v>LOCAL_R2:REQ-SCREEN-UI-08</x:v>
      </x:c>
      <x:c r="B12" s="11" t="str">
        <x:v>LOCAL_R2</x:v>
      </x:c>
      <x:c r="C12" s="11" t="str">
        <x:v>UI-08 Đăng nhập: responsive state and authorization parity</x:v>
      </x:c>
      <x:c r="D12" s="11" t="str">
        <x:v>TRUST-01; UPG-UX-001</x:v>
      </x:c>
      <x:c r="E12" s="11" t="str">
        <x:v>UI-08</x:v>
      </x:c>
      <x:c r="F12" s="11" t="str">
        <x:v>NOT_CHECKED</x:v>
      </x:c>
    </x:row>
    <x:row r="13" ht="15" hidden="0" customHeight="1">
      <x:c r="A13" s="11" t="str">
        <x:v>LOCAL_R2:REQ-SCREEN-UI-09</x:v>
      </x:c>
      <x:c r="B13" s="11" t="str">
        <x:v>LOCAL_R2</x:v>
      </x:c>
      <x:c r="C13" s="11" t="str">
        <x:v>UI-09 Tổng quan: responsive state and authorization parity</x:v>
      </x:c>
      <x:c r="D13" s="11" t="str">
        <x:v>WEB-06; UPG-UX-001</x:v>
      </x:c>
      <x:c r="E13" s="11" t="str">
        <x:v>UI-09</x:v>
      </x:c>
      <x:c r="F13" s="11" t="str">
        <x:v>NOT_CHECKED</x:v>
      </x:c>
    </x:row>
    <x:row r="14" ht="15" hidden="0" customHeight="1">
      <x:c r="A14" s="11" t="str">
        <x:v>LOCAL_R2:REQ-SCREEN-UI-10</x:v>
      </x:c>
      <x:c r="B14" s="11" t="str">
        <x:v>LOCAL_R2</x:v>
      </x:c>
      <x:c r="C14" s="11" t="str">
        <x:v>UI-10 Hồ sơ: responsive state and authorization parity</x:v>
      </x:c>
      <x:c r="D14" s="11" t="str">
        <x:v>API-02; UPG-UX-001</x:v>
      </x:c>
      <x:c r="E14" s="11" t="str">
        <x:v>UI-10</x:v>
      </x:c>
      <x:c r="F14" s="11" t="str">
        <x:v>NOT_CHECKED</x:v>
      </x:c>
    </x:row>
    <x:row r="15" ht="15" hidden="0" customHeight="1">
      <x:c r="A15" s="11" t="str">
        <x:v>LOCAL_R2:REQ-SCREEN-UI-11</x:v>
      </x:c>
      <x:c r="B15" s="11" t="str">
        <x:v>LOCAL_R2</x:v>
      </x:c>
      <x:c r="C15" s="11" t="str">
        <x:v>UI-11 Chỉnh hồ sơ: responsive state and authorization parity</x:v>
      </x:c>
      <x:c r="D15" s="11" t="str">
        <x:v>DATA-01; UPG-UX-001</x:v>
      </x:c>
      <x:c r="E15" s="11" t="str">
        <x:v>UI-11</x:v>
      </x:c>
      <x:c r="F15" s="11" t="str">
        <x:v>NOT_CHECKED</x:v>
      </x:c>
    </x:row>
    <x:row r="16" ht="15" hidden="0" customHeight="1">
      <x:c r="A16" s="11" t="str">
        <x:v>LOCAL_R2:REQ-SCREEN-UI-12</x:v>
      </x:c>
      <x:c r="B16" s="11" t="str">
        <x:v>LOCAL_R2</x:v>
      </x:c>
      <x:c r="C16" s="11" t="str">
        <x:v>UI-12 Giả thuyết dữ liệu: responsive state and authorization parity</x:v>
      </x:c>
      <x:c r="D16" s="11" t="str">
        <x:v>DATA-01; UPG-UX-001</x:v>
      </x:c>
      <x:c r="E16" s="11" t="str">
        <x:v>UI-12</x:v>
      </x:c>
      <x:c r="F16" s="11" t="str">
        <x:v>NOT_CHECKED</x:v>
      </x:c>
    </x:row>
    <x:row r="17" ht="15" hidden="0" customHeight="1">
      <x:c r="A17" s="11" t="str">
        <x:v>LOCAL_R2:REQ-SCREEN-UI-13</x:v>
      </x:c>
      <x:c r="B17" s="11" t="str">
        <x:v>LOCAL_R2</x:v>
      </x:c>
      <x:c r="C17" s="11" t="str">
        <x:v>UI-13 Sự đồng ý: responsive state and authorization parity</x:v>
      </x:c>
      <x:c r="D17" s="11" t="str">
        <x:v>TRUST-08; UPG-UX-001</x:v>
      </x:c>
      <x:c r="E17" s="11" t="str">
        <x:v>UI-13</x:v>
      </x:c>
      <x:c r="F17" s="11" t="str">
        <x:v>NOT_CHECKED</x:v>
      </x:c>
    </x:row>
    <x:row r="18" ht="15" hidden="0" customHeight="1">
      <x:c r="A18" s="11" t="str">
        <x:v>LOCAL_R2:REQ-SCREEN-UI-14</x:v>
      </x:c>
      <x:c r="B18" s="11" t="str">
        <x:v>LOCAL_R2</x:v>
      </x:c>
      <x:c r="C18" s="11" t="str">
        <x:v>UI-14 Chia sẻ: responsive state and authorization parity</x:v>
      </x:c>
      <x:c r="D18" s="11" t="str">
        <x:v>TRUST-07; UPG-UX-001</x:v>
      </x:c>
      <x:c r="E18" s="11" t="str">
        <x:v>UI-14</x:v>
      </x:c>
      <x:c r="F18" s="11" t="str">
        <x:v>NOT_CHECKED</x:v>
      </x:c>
    </x:row>
    <x:row r="19" ht="15" hidden="0" customHeight="1">
      <x:c r="A19" s="11" t="str">
        <x:v>LOCAL_R2:REQ-SCREEN-UI-15</x:v>
      </x:c>
      <x:c r="B19" s="11" t="str">
        <x:v>LOCAL_R2</x:v>
      </x:c>
      <x:c r="C19" s="11" t="str">
        <x:v>UI-15 Nhật ký: responsive state and authorization parity</x:v>
      </x:c>
      <x:c r="D19" s="11" t="str">
        <x:v>WEB-07; UPG-UX-001</x:v>
      </x:c>
      <x:c r="E19" s="11" t="str">
        <x:v>UI-15</x:v>
      </x:c>
      <x:c r="F19" s="11" t="str">
        <x:v>NOT_CHECKED</x:v>
      </x:c>
    </x:row>
    <x:row r="20" ht="15" hidden="0" customHeight="1">
      <x:c r="A20" s="11" t="str">
        <x:v>LOCAL_R2:REQ-SCREEN-UI-16</x:v>
      </x:c>
      <x:c r="B20" s="11" t="str">
        <x:v>LOCAL_R2</x:v>
      </x:c>
      <x:c r="C20" s="11" t="str">
        <x:v>UI-16 Đồng nhịp: responsive state and authorization parity</x:v>
      </x:c>
      <x:c r="D20" s="11" t="str">
        <x:v>EXPAND-04; UPG-UX-001</x:v>
      </x:c>
      <x:c r="E20" s="11" t="str">
        <x:v>UI-16</x:v>
      </x:c>
      <x:c r="F20" s="11" t="str">
        <x:v>NOT_CHECKED</x:v>
      </x:c>
    </x:row>
    <x:row r="21" ht="15" hidden="0" customHeight="1">
      <x:c r="A21" s="11" t="str">
        <x:v>LOCAL_R2:REQ-SCREEN-UI-17</x:v>
      </x:c>
      <x:c r="B21" s="11" t="str">
        <x:v>LOCAL_R2</x:v>
      </x:c>
      <x:c r="C21" s="11" t="str">
        <x:v>UI-17 Mục tiêu: responsive state and authorization parity</x:v>
      </x:c>
      <x:c r="D21" s="11" t="str">
        <x:v>API-05; UPG-UX-001</x:v>
      </x:c>
      <x:c r="E21" s="11" t="str">
        <x:v>UI-17</x:v>
      </x:c>
      <x:c r="F21" s="11" t="str">
        <x:v>NOT_CHECKED</x:v>
      </x:c>
    </x:row>
    <x:row r="22" ht="15" hidden="0" customHeight="1">
      <x:c r="A22" s="11" t="str">
        <x:v>LOCAL_R2:REQ-SCREEN-UI-18</x:v>
      </x:c>
      <x:c r="B22" s="11" t="str">
        <x:v>LOCAL_R2</x:v>
      </x:c>
      <x:c r="C22" s="11" t="str">
        <x:v>UI-18 Check-in: responsive state and authorization parity</x:v>
      </x:c>
      <x:c r="D22" s="11" t="str">
        <x:v>API-05; UPG-UX-001</x:v>
      </x:c>
      <x:c r="E22" s="11" t="str">
        <x:v>UI-18</x:v>
      </x:c>
      <x:c r="F22" s="11" t="str">
        <x:v>NOT_CHECKED</x:v>
      </x:c>
    </x:row>
    <x:row r="23" ht="15" hidden="0" customHeight="1">
      <x:c r="A23" s="11" t="str">
        <x:v>LOCAL_R2:REQ-SCREEN-UI-19</x:v>
      </x:c>
      <x:c r="B23" s="11" t="str">
        <x:v>LOCAL_R2</x:v>
      </x:c>
      <x:c r="C23" s="11" t="str">
        <x:v>UI-19 Dòng thời gian: responsive state and authorization parity</x:v>
      </x:c>
      <x:c r="D23" s="11" t="str">
        <x:v>METHOD-08; UPG-UX-001</x:v>
      </x:c>
      <x:c r="E23" s="11" t="str">
        <x:v>UI-19</x:v>
      </x:c>
      <x:c r="F23" s="11" t="str">
        <x:v>NOT_CHECKED</x:v>
      </x:c>
    </x:row>
    <x:row r="24" ht="15" hidden="0" customHeight="1">
      <x:c r="A24" s="11" t="str">
        <x:v>LOCAL_R2:REQ-SCREEN-UI-20</x:v>
      </x:c>
      <x:c r="B24" s="11" t="str">
        <x:v>LOCAL_R2</x:v>
      </x:c>
      <x:c r="C24" s="11" t="str">
        <x:v>UI-20 Khảo sát: responsive state and authorization parity</x:v>
      </x:c>
      <x:c r="D24" s="11" t="str">
        <x:v>EXPAND-01; UPG-UX-001</x:v>
      </x:c>
      <x:c r="E24" s="11" t="str">
        <x:v>UI-20</x:v>
      </x:c>
      <x:c r="F24" s="11" t="str">
        <x:v>NOT_CHECKED</x:v>
      </x:c>
    </x:row>
    <x:row r="25" ht="15" hidden="0" customHeight="1">
      <x:c r="A25" s="11" t="str">
        <x:v>LOCAL_R2:REQ-SCREEN-UI-21</x:v>
      </x:c>
      <x:c r="B25" s="11" t="str">
        <x:v>LOCAL_R2</x:v>
      </x:c>
      <x:c r="C25" s="11" t="str">
        <x:v>UI-21 Tính phân tích: responsive state and authorization parity</x:v>
      </x:c>
      <x:c r="D25" s="11" t="str">
        <x:v>API-03; UPG-UX-001</x:v>
      </x:c>
      <x:c r="E25" s="11" t="str">
        <x:v>UI-21</x:v>
      </x:c>
      <x:c r="F25" s="11" t="str">
        <x:v>NOT_CHECKED</x:v>
      </x:c>
    </x:row>
    <x:row r="26" ht="15" hidden="0" customHeight="1">
      <x:c r="A26" s="11" t="str">
        <x:v>LOCAL_R2:REQ-SCREEN-UI-22</x:v>
      </x:c>
      <x:c r="B26" s="11" t="str">
        <x:v>LOCAL_R2</x:v>
      </x:c>
      <x:c r="C26" s="11" t="str">
        <x:v>UI-22 Tiến độ: responsive state and authorization parity</x:v>
      </x:c>
      <x:c r="D26" s="11" t="str">
        <x:v>API-03; UPG-UX-001</x:v>
      </x:c>
      <x:c r="E26" s="11" t="str">
        <x:v>UI-22</x:v>
      </x:c>
      <x:c r="F26" s="11" t="str">
        <x:v>NOT_CHECKED</x:v>
      </x:c>
    </x:row>
    <x:row r="27" ht="15" hidden="0" customHeight="1">
      <x:c r="A27" s="11" t="str">
        <x:v>LOCAL_R2:REQ-SCREEN-UI-23</x:v>
      </x:c>
      <x:c r="B27" s="11" t="str">
        <x:v>LOCAL_R2</x:v>
      </x:c>
      <x:c r="C27" s="11" t="str">
        <x:v>UI-23 Thư viện báo cáo: responsive state and authorization parity</x:v>
      </x:c>
      <x:c r="D27" s="11" t="str">
        <x:v>WEB-08; UPG-UX-001</x:v>
      </x:c>
      <x:c r="E27" s="11" t="str">
        <x:v>UI-23</x:v>
      </x:c>
      <x:c r="F27" s="11" t="str">
        <x:v>NOT_CHECKED</x:v>
      </x:c>
    </x:row>
    <x:row r="28" ht="15" hidden="0" customHeight="1">
      <x:c r="A28" s="11" t="str">
        <x:v>LOCAL_R2:REQ-SCREEN-UI-24</x:v>
      </x:c>
      <x:c r="B28" s="11" t="str">
        <x:v>LOCAL_R2</x:v>
      </x:c>
      <x:c r="C28" s="11" t="str">
        <x:v>UI-24 Đọc báo cáo: responsive state and authorization parity</x:v>
      </x:c>
      <x:c r="D28" s="11" t="str">
        <x:v>REPORT-05; UPG-UX-001</x:v>
      </x:c>
      <x:c r="E28" s="11" t="str">
        <x:v>UI-24</x:v>
      </x:c>
      <x:c r="F28" s="11" t="str">
        <x:v>NOT_CHECKED</x:v>
      </x:c>
    </x:row>
    <x:row r="29" ht="15" hidden="0" customHeight="1">
      <x:c r="A29" s="11" t="str">
        <x:v>LOCAL_R2:REQ-SCREEN-UI-25</x:v>
      </x:c>
      <x:c r="B29" s="11" t="str">
        <x:v>LOCAL_R2</x:v>
      </x:c>
      <x:c r="C29" s="11" t="str">
        <x:v>UI-25 So sánh revisions: responsive state and authorization parity</x:v>
      </x:c>
      <x:c r="D29" s="11" t="str">
        <x:v>REPORT-09; UPG-UX-001</x:v>
      </x:c>
      <x:c r="E29" s="11" t="str">
        <x:v>UI-25</x:v>
      </x:c>
      <x:c r="F29" s="11" t="str">
        <x:v>NOT_CHECKED</x:v>
      </x:c>
    </x:row>
    <x:row r="30" ht="15" hidden="0" customHeight="1">
      <x:c r="A30" s="11" t="str">
        <x:v>LOCAL_R2:REQ-SCREEN-UI-26</x:v>
      </x:c>
      <x:c r="B30" s="11" t="str">
        <x:v>LOCAL_R2</x:v>
      </x:c>
      <x:c r="C30" s="11" t="str">
        <x:v>UI-26 Xuất/tải: responsive state and authorization parity</x:v>
      </x:c>
      <x:c r="D30" s="11" t="str">
        <x:v>REPORT-06; UPG-UX-001</x:v>
      </x:c>
      <x:c r="E30" s="11" t="str">
        <x:v>UI-26</x:v>
      </x:c>
      <x:c r="F30" s="11" t="str">
        <x:v>NOT_CHECKED</x:v>
      </x:c>
    </x:row>
    <x:row r="31" ht="15" hidden="0" customHeight="1">
      <x:c r="A31" s="11" t="str">
        <x:v>LOCAL_R2:REQ-SCREEN-UI-27</x:v>
      </x:c>
      <x:c r="B31" s="11" t="str">
        <x:v>LOCAL_R2</x:v>
      </x:c>
      <x:c r="C31" s="11" t="str">
        <x:v>UI-27 Đơn hàng: responsive state and authorization parity</x:v>
      </x:c>
      <x:c r="D31" s="11" t="str">
        <x:v>COMMERCE-01; UPG-UX-001</x:v>
      </x:c>
      <x:c r="E31" s="11" t="str">
        <x:v>UI-27</x:v>
      </x:c>
      <x:c r="F31" s="11" t="str">
        <x:v>NOT_CHECKED</x:v>
      </x:c>
    </x:row>
    <x:row r="32" ht="15" hidden="0" customHeight="1">
      <x:c r="A32" s="11" t="str">
        <x:v>LOCAL_R2:REQ-SCREEN-UI-28</x:v>
      </x:c>
      <x:c r="B32" s="11" t="str">
        <x:v>LOCAL_R2</x:v>
      </x:c>
      <x:c r="C32" s="11" t="str">
        <x:v>UI-28 Thanh toán: responsive state and authorization parity</x:v>
      </x:c>
      <x:c r="D32" s="11" t="str">
        <x:v>COMMERCE-03; UPG-UX-001</x:v>
      </x:c>
      <x:c r="E32" s="11" t="str">
        <x:v>UI-28</x:v>
      </x:c>
      <x:c r="F32" s="11" t="str">
        <x:v>NOT_CHECKED</x:v>
      </x:c>
    </x:row>
    <x:row r="33" ht="15" hidden="0" customHeight="1">
      <x:c r="A33" s="11" t="str">
        <x:v>LOCAL_R2:REQ-SCREEN-UI-29</x:v>
      </x:c>
      <x:c r="B33" s="11" t="str">
        <x:v>LOCAL_R2</x:v>
      </x:c>
      <x:c r="C33" s="11" t="str">
        <x:v>UI-29 Quyền dịch vụ: responsive state and authorization parity</x:v>
      </x:c>
      <x:c r="D33" s="11" t="str">
        <x:v>COMMERCE-05; UPG-UX-001</x:v>
      </x:c>
      <x:c r="E33" s="11" t="str">
        <x:v>UI-29</x:v>
      </x:c>
      <x:c r="F33" s="11" t="str">
        <x:v>NOT_CHECKED</x:v>
      </x:c>
    </x:row>
    <x:row r="34" ht="15" hidden="0" customHeight="1">
      <x:c r="A34" s="11" t="str">
        <x:v>LOCAL_R2:REQ-SCREEN-UI-30</x:v>
      </x:c>
      <x:c r="B34" s="11" t="str">
        <x:v>LOCAL_R2</x:v>
      </x:c>
      <x:c r="C34" s="11" t="str">
        <x:v>UI-30 Hỗ trợ: responsive state and authorization parity</x:v>
      </x:c>
      <x:c r="D34" s="11" t="str">
        <x:v>COMMERCE-08; UPG-UX-001</x:v>
      </x:c>
      <x:c r="E34" s="11" t="str">
        <x:v>UI-30</x:v>
      </x:c>
      <x:c r="F34" s="11" t="str">
        <x:v>NOT_CHECKED</x:v>
      </x:c>
    </x:row>
    <x:row r="35" ht="15" hidden="0" customHeight="1">
      <x:c r="A35" s="11" t="str">
        <x:v>LOCAL_R2:REQ-SCREEN-UI-31</x:v>
      </x:c>
      <x:c r="B35" s="11" t="str">
        <x:v>LOCAL_R2</x:v>
      </x:c>
      <x:c r="C35" s="11" t="str">
        <x:v>UI-31 Xuất dữ liệu: responsive state and authorization parity</x:v>
      </x:c>
      <x:c r="D35" s="11" t="str">
        <x:v>DATA-09; UPG-UX-001</x:v>
      </x:c>
      <x:c r="E35" s="11" t="str">
        <x:v>UI-31</x:v>
      </x:c>
      <x:c r="F35" s="11" t="str">
        <x:v>NOT_CHECKED</x:v>
      </x:c>
    </x:row>
    <x:row r="36" ht="15" hidden="0" customHeight="1">
      <x:c r="A36" s="11" t="str">
        <x:v>LOCAL_R2:REQ-SCREEN-UI-32</x:v>
      </x:c>
      <x:c r="B36" s="11" t="str">
        <x:v>LOCAL_R2</x:v>
      </x:c>
      <x:c r="C36" s="11" t="str">
        <x:v>UI-32 Yêu cầu xóa: responsive state and authorization parity</x:v>
      </x:c>
      <x:c r="D36" s="11" t="str">
        <x:v>DATA-07; UPG-UX-001</x:v>
      </x:c>
      <x:c r="E36" s="11" t="str">
        <x:v>UI-32</x:v>
      </x:c>
      <x:c r="F36" s="11" t="str">
        <x:v>NOT_CHECKED</x:v>
      </x:c>
    </x:row>
    <x:row r="37" ht="15" hidden="0" customHeight="1">
      <x:c r="A37" s="11" t="str">
        <x:v>LOCAL_R2:REQ-SCREEN-UI-33</x:v>
      </x:c>
      <x:c r="B37" s="11" t="str">
        <x:v>LOCAL_R2</x:v>
      </x:c>
      <x:c r="C37" s="11" t="str">
        <x:v>UI-33 Trung tâm tự động: responsive state and authorization parity</x:v>
      </x:c>
      <x:c r="D37" s="11" t="str">
        <x:v>AI-10; UPG-UX-001</x:v>
      </x:c>
      <x:c r="E37" s="11" t="str">
        <x:v>UI-33</x:v>
      </x:c>
      <x:c r="F37" s="11" t="str">
        <x:v>NOT_CHECKED</x:v>
      </x:c>
    </x:row>
    <x:row r="38" ht="15" hidden="0" customHeight="1">
      <x:c r="A38" s="11" t="str">
        <x:v>LOCAL_R2:REQ-SCREEN-UI-34</x:v>
      </x:c>
      <x:c r="B38" s="11" t="str">
        <x:v>LOCAL_R2</x:v>
      </x:c>
      <x:c r="C38" s="11" t="str">
        <x:v>UI-34 Gia đình: responsive state and authorization parity</x:v>
      </x:c>
      <x:c r="D38" s="11" t="str">
        <x:v>EXPAND-05; UPG-UX-001</x:v>
      </x:c>
      <x:c r="E38" s="11" t="str">
        <x:v>UI-34</x:v>
      </x:c>
      <x:c r="F38" s="11" t="str">
        <x:v>NOT_CHECKED</x:v>
      </x:c>
    </x:row>
    <x:row r="39" ht="15" hidden="0" customHeight="1">
      <x:c r="A39" s="11" t="str">
        <x:v>LOCAL_R2:REQ-SCREEN-UI-35</x:v>
      </x:c>
      <x:c r="B39" s="11" t="str">
        <x:v>LOCAL_R2</x:v>
      </x:c>
      <x:c r="C39" s="11" t="str">
        <x:v>UI-35 Case chuyên gia: responsive state and authorization parity</x:v>
      </x:c>
      <x:c r="D39" s="11" t="str">
        <x:v>ACADEMY-05; UPG-UX-001</x:v>
      </x:c>
      <x:c r="E39" s="11" t="str">
        <x:v>UI-35</x:v>
      </x:c>
      <x:c r="F39" s="11" t="str">
        <x:v>NOT_CHECKED</x:v>
      </x:c>
    </x:row>
    <x:row r="40" ht="15" hidden="0" customHeight="1">
      <x:c r="A40" s="11" t="str">
        <x:v>LOCAL_R2:REQ-SCREEN-UI-36</x:v>
      </x:c>
      <x:c r="B40" s="11" t="str">
        <x:v>LOCAL_R2</x:v>
      </x:c>
      <x:c r="C40" s="11" t="str">
        <x:v>UI-36 Duyệt báo cáo: responsive state and authorization parity</x:v>
      </x:c>
      <x:c r="D40" s="11" t="str">
        <x:v>REPORT-10; UPG-UX-001</x:v>
      </x:c>
      <x:c r="E40" s="11" t="str">
        <x:v>UI-36</x:v>
      </x:c>
      <x:c r="F40" s="11" t="str">
        <x:v>NOT_CHECKED</x:v>
      </x:c>
    </x:row>
    <x:row r="41" ht="15" hidden="0" customHeight="1">
      <x:c r="A41" s="11" t="str">
        <x:v>LOCAL_R2:REQ-SCREEN-UI-37</x:v>
      </x:c>
      <x:c r="B41" s="11" t="str">
        <x:v>LOCAL_R2</x:v>
      </x:c>
      <x:c r="C41" s="11" t="str">
        <x:v>UI-37 Academy: responsive state and authorization parity</x:v>
      </x:c>
      <x:c r="D41" s="11" t="str">
        <x:v>ACADEMY-01; UPG-UX-001</x:v>
      </x:c>
      <x:c r="E41" s="11" t="str">
        <x:v>UI-37</x:v>
      </x:c>
      <x:c r="F41" s="11" t="str">
        <x:v>NOT_CHECKED</x:v>
      </x:c>
    </x:row>
    <x:row r="42" ht="15" hidden="0" customHeight="1">
      <x:c r="A42" s="11" t="str">
        <x:v>LOCAL_R2:REQ-SCREEN-UI-38</x:v>
      </x:c>
      <x:c r="B42" s="11" t="str">
        <x:v>LOCAL_R2</x:v>
      </x:c>
      <x:c r="C42" s="11" t="str">
        <x:v>UI-38 Học bài: responsive state and authorization parity</x:v>
      </x:c>
      <x:c r="D42" s="11" t="str">
        <x:v>ACADEMY-03; UPG-UX-001</x:v>
      </x:c>
      <x:c r="E42" s="11" t="str">
        <x:v>UI-38</x:v>
      </x:c>
      <x:c r="F42" s="11" t="str">
        <x:v>NOT_CHECKED</x:v>
      </x:c>
    </x:row>
    <x:row r="43" ht="15" hidden="0" customHeight="1">
      <x:c r="A43" s="11" t="str">
        <x:v>LOCAL_R2:REQ-SCREEN-UI-39</x:v>
      </x:c>
      <x:c r="B43" s="11" t="str">
        <x:v>LOCAL_R2</x:v>
      </x:c>
      <x:c r="C43" s="11" t="str">
        <x:v>UI-39 Chứng nhận: responsive state and authorization parity</x:v>
      </x:c>
      <x:c r="D43" s="11" t="str">
        <x:v>ACADEMY-06; UPG-UX-001</x:v>
      </x:c>
      <x:c r="E43" s="11" t="str">
        <x:v>UI-39</x:v>
      </x:c>
      <x:c r="F43" s="11" t="str">
        <x:v>NOT_CHECKED</x:v>
      </x:c>
    </x:row>
    <x:row r="44" ht="15" hidden="0" customHeight="1">
      <x:c r="A44" s="11" t="str">
        <x:v>LOCAL_R2:REQ-SCREEN-UI-40</x:v>
      </x:c>
      <x:c r="B44" s="11" t="str">
        <x:v>LOCAL_R2</x:v>
      </x:c>
      <x:c r="C44" s="11" t="str">
        <x:v>UI-40 Workspace: responsive state and authorization parity</x:v>
      </x:c>
      <x:c r="D44" s="11" t="str">
        <x:v>EXPAND-08; UPG-UX-001</x:v>
      </x:c>
      <x:c r="E44" s="11" t="str">
        <x:v>UI-40</x:v>
      </x:c>
      <x:c r="F44" s="11" t="str">
        <x:v>NOT_CHECKED</x:v>
      </x:c>
    </x:row>
    <x:row r="45" ht="15" hidden="0" customHeight="1">
      <x:c r="A45" s="11" t="str">
        <x:v>LOCAL_R2:REQ-SCREEN-UI-41</x:v>
      </x:c>
      <x:c r="B45" s="11" t="str">
        <x:v>LOCAL_R2</x:v>
      </x:c>
      <x:c r="C45" s="11" t="str">
        <x:v>UI-41 Partner: responsive state and authorization parity</x:v>
      </x:c>
      <x:c r="D45" s="11" t="str">
        <x:v>GLOBAL-05; UPG-UX-001</x:v>
      </x:c>
      <x:c r="E45" s="11" t="str">
        <x:v>UI-41</x:v>
      </x:c>
      <x:c r="F45" s="11" t="str">
        <x:v>NOT_CHECKED</x:v>
      </x:c>
    </x:row>
    <x:row r="46" ht="15" hidden="0" customHeight="1">
      <x:c r="A46" s="11" t="str">
        <x:v>LOCAL_R2:REQ-SCREEN-UI-42</x:v>
      </x:c>
      <x:c r="B46" s="11" t="str">
        <x:v>LOCAL_R2</x:v>
      </x:c>
      <x:c r="C46" s="11" t="str">
        <x:v>UI-42 Nguồn/phương pháp Admin: responsive state and authorization parity</x:v>
      </x:c>
      <x:c r="D46" s="11" t="str">
        <x:v>METHOD-10; UPG-UX-001</x:v>
      </x:c>
      <x:c r="E46" s="11" t="str">
        <x:v>UI-42</x:v>
      </x:c>
      <x:c r="F46" s="11" t="str">
        <x:v>NOT_CHECKED</x:v>
      </x:c>
    </x:row>
    <x:row r="47" ht="15" hidden="0" customHeight="1">
      <x:c r="A47" s="11" t="str">
        <x:v>LOCAL_R2:REQ-SCREEN-UI-43</x:v>
      </x:c>
      <x:c r="B47" s="11" t="str">
        <x:v>LOCAL_R2</x:v>
      </x:c>
      <x:c r="C47" s="11" t="str">
        <x:v>UI-43 Quality center: responsive state and authorization parity</x:v>
      </x:c>
      <x:c r="D47" s="11" t="str">
        <x:v>OPS-08; UPG-UX-001</x:v>
      </x:c>
      <x:c r="E47" s="11" t="str">
        <x:v>UI-43</x:v>
      </x:c>
      <x:c r="F47" s="11" t="str">
        <x:v>NOT_CHECKED</x:v>
      </x:c>
    </x:row>
    <x:row r="48" ht="15" hidden="0" customHeight="1">
      <x:c r="A48" s="11" t="str">
        <x:v>LOCAL_R2:REQ-SCREEN-UI-44</x:v>
      </x:c>
      <x:c r="B48" s="11" t="str">
        <x:v>LOCAL_R2</x:v>
      </x:c>
      <x:c r="C48" s="11" t="str">
        <x:v>UI-44 Ops center: responsive state and authorization parity</x:v>
      </x:c>
      <x:c r="D48" s="11" t="str">
        <x:v>OPS-04; UPG-UX-001</x:v>
      </x:c>
      <x:c r="E48" s="11" t="str">
        <x:v>UI-44</x:v>
      </x:c>
      <x:c r="F48" s="11" t="str">
        <x:v>NOT_CHECKED</x:v>
      </x:c>
    </x:row>
    <x:row r="49" ht="15" hidden="0" customHeight="1">
      <x:c r="A49" s="11" t="str">
        <x:v>LOCAL_R2:REQ-SCREEN-UI-45</x:v>
      </x:c>
      <x:c r="B49" s="11" t="str">
        <x:v>LOCAL_R2</x:v>
      </x:c>
      <x:c r="C49" s="11" t="str">
        <x:v>UI-45 Rights/legal center: responsive state and authorization parity</x:v>
      </x:c>
      <x:c r="D49" s="11" t="str">
        <x:v>GLOBAL-01; UPG-UX-001</x:v>
      </x:c>
      <x:c r="E49" s="11" t="str">
        <x:v>UI-45</x:v>
      </x:c>
      <x:c r="F49" s="11" t="str">
        <x:v>NOT_CHECKED</x:v>
      </x:c>
    </x:row>
    <x:row r="50" ht="24" hidden="0" customHeight="1">
      <x:c r="A50" s="11" t="str">
        <x:v>LOCAL_R2:REQ-PRODUCT-LC-L1</x:v>
      </x:c>
      <x:c r="B50" s="11" t="str">
        <x:v>LOCAL_R2</x:v>
      </x:c>
      <x:c r="C50" s="11" t="str">
        <x:v>Retain LC-L1 in T2 with conditional evidence and kill metrics</x:v>
      </x:c>
      <x:c r="D50" s="11" t="str">
        <x:v>WEB-03; WEB-06; DATA-01; API-03; WEB-08; REPORT-05; REPORT-06; UPG-PRD-002</x:v>
      </x:c>
      <x:c r="E50" s="11" t="str">
        <x:v>UI-07; UI-09; UI-11; UI-21; UI-22; UI-23; UI-24; UI-26</x:v>
      </x:c>
      <x:c r="F50" s="11" t="str">
        <x:v>NOT_CHECKED</x:v>
      </x:c>
    </x:row>
    <x:row r="51" ht="24" hidden="0" customHeight="1">
      <x:c r="A51" s="11" t="str">
        <x:v>LOCAL_R2:REQ-PRODUCT-LC-L2</x:v>
      </x:c>
      <x:c r="B51" s="11" t="str">
        <x:v>LOCAL_R2</x:v>
      </x:c>
      <x:c r="C51" s="11" t="str">
        <x:v>Retain LC-L2 in T4 with conditional evidence and kill metrics</x:v>
      </x:c>
      <x:c r="D51" s="11" t="str">
        <x:v>EXPAND-01; API-03; WEB-08; REPORT-05; REPORT-09; UPG-PRD-002</x:v>
      </x:c>
      <x:c r="E51" s="11" t="str">
        <x:v>UI-20; UI-21; UI-23; UI-24; UI-25</x:v>
      </x:c>
      <x:c r="F51" s="11" t="str">
        <x:v>NOT_CHECKED</x:v>
      </x:c>
    </x:row>
    <x:row r="52" ht="24" hidden="0" customHeight="1">
      <x:c r="A52" s="11" t="str">
        <x:v>LOCAL_R2:REQ-PRODUCT-LC-L3</x:v>
      </x:c>
      <x:c r="B52" s="11" t="str">
        <x:v>LOCAL_R2</x:v>
      </x:c>
      <x:c r="C52" s="11" t="str">
        <x:v>Retain LC-L3 in T4 with conditional evidence and kill metrics</x:v>
      </x:c>
      <x:c r="D52" s="11" t="str">
        <x:v>WEB-07; API-05; EXPAND-01; API-03; REPORT-05; UPG-PRD-002</x:v>
      </x:c>
      <x:c r="E52" s="11" t="str">
        <x:v>UI-15; UI-18; UI-20; UI-21; UI-24</x:v>
      </x:c>
      <x:c r="F52" s="11" t="str">
        <x:v>NOT_CHECKED</x:v>
      </x:c>
    </x:row>
    <x:row r="53" ht="24" hidden="0" customHeight="1">
      <x:c r="A53" s="11" t="str">
        <x:v>LOCAL_R2:REQ-PRODUCT-LC-L4</x:v>
      </x:c>
      <x:c r="B53" s="11" t="str">
        <x:v>LOCAL_R2</x:v>
      </x:c>
      <x:c r="C53" s="11" t="str">
        <x:v>Retain LC-L4 in T4 with conditional evidence and kill metrics</x:v>
      </x:c>
      <x:c r="D53" s="11" t="str">
        <x:v>API-05; METHOD-08; API-03; REPORT-05; UPG-PRD-002</x:v>
      </x:c>
      <x:c r="E53" s="11" t="str">
        <x:v>UI-17; UI-19; UI-21; UI-24</x:v>
      </x:c>
      <x:c r="F53" s="11" t="str">
        <x:v>NOT_CHECKED</x:v>
      </x:c>
    </x:row>
    <x:row r="54" ht="24" hidden="0" customHeight="1">
      <x:c r="A54" s="11" t="str">
        <x:v>LOCAL_R2:REQ-PRODUCT-LC-L5</x:v>
      </x:c>
      <x:c r="B54" s="11" t="str">
        <x:v>LOCAL_R2</x:v>
      </x:c>
      <x:c r="C54" s="11" t="str">
        <x:v>Retain LC-L5 in T4 with conditional evidence and kill metrics</x:v>
      </x:c>
      <x:c r="D54" s="11" t="str">
        <x:v>TRUST-08; TRUST-07; REPORT-05; REPORT-09; UPG-PRD-002</x:v>
      </x:c>
      <x:c r="E54" s="11" t="str">
        <x:v>UI-13; UI-14; UI-24; UI-25</x:v>
      </x:c>
      <x:c r="F54" s="11" t="str">
        <x:v>NOT_CHECKED</x:v>
      </x:c>
    </x:row>
    <x:row r="55" ht="24" hidden="0" customHeight="1">
      <x:c r="A55" s="11" t="str">
        <x:v>LOCAL_R2:REQ-PRODUCT-LC-L6</x:v>
      </x:c>
      <x:c r="B55" s="11" t="str">
        <x:v>LOCAL_R2</x:v>
      </x:c>
      <x:c r="C55" s="11" t="str">
        <x:v>Retain LC-L6 in T6 with conditional evidence and kill metrics</x:v>
      </x:c>
      <x:c r="D55" s="11" t="str">
        <x:v>METHOD-08; API-03; REPORT-05; REPORT-09; UPG-PRD-002</x:v>
      </x:c>
      <x:c r="E55" s="11" t="str">
        <x:v>UI-19; UI-21; UI-24; UI-25</x:v>
      </x:c>
      <x:c r="F55" s="11" t="str">
        <x:v>NOT_CHECKED</x:v>
      </x:c>
    </x:row>
    <x:row r="56" ht="24" hidden="0" customHeight="1">
      <x:c r="A56" s="11" t="str">
        <x:v>LOCAL_R2:REQ-PRODUCT-LC-L7</x:v>
      </x:c>
      <x:c r="B56" s="11" t="str">
        <x:v>LOCAL_R2</x:v>
      </x:c>
      <x:c r="C56" s="11" t="str">
        <x:v>Retain LC-L7 in T6 with conditional evidence and kill metrics</x:v>
      </x:c>
      <x:c r="D56" s="11" t="str">
        <x:v>TRUST-08; WEB-07; API-03; REPORT-05; UPG-PRD-002</x:v>
      </x:c>
      <x:c r="E56" s="11" t="str">
        <x:v>UI-13; UI-15; UI-21; UI-24</x:v>
      </x:c>
      <x:c r="F56" s="11" t="str">
        <x:v>NOT_CHECKED</x:v>
      </x:c>
    </x:row>
    <x:row r="57" ht="15" hidden="0" customHeight="1">
      <x:c r="A57" s="11" t="str">
        <x:v>LOCAL_R2:REQ-PRODUCT-LC-L8</x:v>
      </x:c>
      <x:c r="B57" s="11" t="str">
        <x:v>LOCAL_R2</x:v>
      </x:c>
      <x:c r="C57" s="11" t="str">
        <x:v>Retain LC-L8 in T6 with conditional evidence and kill metrics</x:v>
      </x:c>
      <x:c r="D57" s="11" t="str">
        <x:v>API-05; API-03; REPORT-05; UPG-PRD-002</x:v>
      </x:c>
      <x:c r="E57" s="11" t="str">
        <x:v>UI-17; UI-18; UI-21; UI-24</x:v>
      </x:c>
      <x:c r="F57" s="11" t="str">
        <x:v>NOT_CHECKED</x:v>
      </x:c>
    </x:row>
    <x:row r="58" ht="36" hidden="0" customHeight="1">
      <x:c r="A58" s="11" t="str">
        <x:v>LOCAL_R2:REQ-PRODUCT-LC-L9</x:v>
      </x:c>
      <x:c r="B58" s="11" t="str">
        <x:v>LOCAL_R2</x:v>
      </x:c>
      <x:c r="C58" s="11" t="str">
        <x:v>Retain LC-L9 in T6 with conditional evidence and kill metrics</x:v>
      </x:c>
      <x:c r="D58" s="11" t="str">
        <x:v>TRUST-08; TRUST-07; METHOD-08; API-03; WEB-08; REPORT-05; REPORT-09; REPORT-06; UPG-PRD-002</x:v>
      </x:c>
      <x:c r="E58" s="11" t="str">
        <x:v>UI-13; UI-14; UI-19; UI-21; UI-23; UI-24; UI-25; UI-26</x:v>
      </x:c>
      <x:c r="F58" s="11" t="str">
        <x:v>NOT_CHECKED</x:v>
      </x:c>
    </x:row>
    <x:row r="59" ht="24" hidden="0" customHeight="1">
      <x:c r="A59" s="11" t="str">
        <x:v>LOCAL_R2:REQ-PRODUCT-LC-GUEST</x:v>
      </x:c>
      <x:c r="B59" s="11" t="str">
        <x:v>LOCAL_R2</x:v>
      </x:c>
      <x:c r="C59" s="11" t="str">
        <x:v>Retain LC-GUEST in T1 with conditional evidence and kill metrics</x:v>
      </x:c>
      <x:c r="D59" s="11" t="str">
        <x:v>WEB-01; GOV-09; METHOD-10; WEB-02; UPG-PRD-002</x:v>
      </x:c>
      <x:c r="E59" s="11" t="str">
        <x:v>UI-01; UI-02; UI-03; UI-04; UI-05</x:v>
      </x:c>
      <x:c r="F59" s="11" t="str">
        <x:v>NOT_CHECKED</x:v>
      </x:c>
    </x:row>
    <x:row r="60" ht="24" hidden="0" customHeight="1">
      <x:c r="A60" s="11" t="str">
        <x:v>LOCAL_R2:REQ-PRODUCT-LC-FREE</x:v>
      </x:c>
      <x:c r="B60" s="11" t="str">
        <x:v>LOCAL_R2</x:v>
      </x:c>
      <x:c r="C60" s="11" t="str">
        <x:v>Retain LC-FREE in T2 with conditional evidence and kill metrics</x:v>
      </x:c>
      <x:c r="D60" s="11" t="str">
        <x:v>WEB-03; WEB-06; API-02; DATA-01; TRUST-08; WEB-07; API-05; DATA-09; DATA-07; UPG-PRD-002</x:v>
      </x:c>
      <x:c r="E60" s="11" t="str">
        <x:v>UI-07; UI-09; UI-10; UI-11; UI-13; UI-15; UI-17; UI-31; UI-32</x:v>
      </x:c>
      <x:c r="F60" s="11" t="str">
        <x:v>NOT_CHECKED</x:v>
      </x:c>
    </x:row>
    <x:row r="61" ht="15" hidden="0" customHeight="1">
      <x:c r="A61" s="11" t="str">
        <x:v>LOCAL_R2:REQ-PRODUCT-LC-COMPANION</x:v>
      </x:c>
      <x:c r="B61" s="11" t="str">
        <x:v>LOCAL_R2</x:v>
      </x:c>
      <x:c r="C61" s="11" t="str">
        <x:v>Retain LC-COMPANION in T3 with conditional evidence and kill metrics</x:v>
      </x:c>
      <x:c r="D61" s="11" t="str">
        <x:v>WEB-07; API-05; AI-10; UPG-PRD-002</x:v>
      </x:c>
      <x:c r="E61" s="11" t="str">
        <x:v>UI-15; UI-17; UI-18; UI-33</x:v>
      </x:c>
      <x:c r="F61" s="11" t="str">
        <x:v>NOT_CHECKED</x:v>
      </x:c>
    </x:row>
    <x:row r="62" ht="15" hidden="0" customHeight="1">
      <x:c r="A62" s="11" t="str">
        <x:v>LOCAL_R2:REQ-PRODUCT-LC-NUMBERS</x:v>
      </x:c>
      <x:c r="B62" s="11" t="str">
        <x:v>LOCAL_R2</x:v>
      </x:c>
      <x:c r="C62" s="11" t="str">
        <x:v>Retain LC-NUMBERS in T1 with conditional evidence and kill metrics</x:v>
      </x:c>
      <x:c r="D62" s="11" t="str">
        <x:v>WEB-02; UPG-PRD-002</x:v>
      </x:c>
      <x:c r="E62" s="11" t="str">
        <x:v>UI-05</x:v>
      </x:c>
      <x:c r="F62" s="11" t="str">
        <x:v>NOT_CHECKED</x:v>
      </x:c>
    </x:row>
    <x:row r="63" ht="24" hidden="0" customHeight="1">
      <x:c r="A63" s="11" t="str">
        <x:v>LOCAL_R2:REQ-PRODUCT-LC-EXPERT</x:v>
      </x:c>
      <x:c r="B63" s="11" t="str">
        <x:v>LOCAL_R2</x:v>
      </x:c>
      <x:c r="C63" s="11" t="str">
        <x:v>Retain LC-EXPERT in T3 with conditional evidence and kill metrics</x:v>
      </x:c>
      <x:c r="D63" s="11" t="str">
        <x:v>TRUST-07; COMMERCE-08; ACADEMY-05; REPORT-10; UPG-PRD-002</x:v>
      </x:c>
      <x:c r="E63" s="11" t="str">
        <x:v>UI-14; UI-30; UI-35; UI-36</x:v>
      </x:c>
      <x:c r="F63" s="11" t="str">
        <x:v>NOT_CHECKED</x:v>
      </x:c>
    </x:row>
    <x:row r="64" ht="15" hidden="0" customHeight="1">
      <x:c r="A64" s="11" t="str">
        <x:v>LOCAL_R2:REQ-PRODUCT-LC-PRACTICE</x:v>
      </x:c>
      <x:c r="B64" s="11" t="str">
        <x:v>LOCAL_R2</x:v>
      </x:c>
      <x:c r="C64" s="11" t="str">
        <x:v>Retain LC-PRACTICE in T5 with conditional evidence and kill metrics</x:v>
      </x:c>
      <x:c r="D64" s="11" t="str">
        <x:v>ACADEMY-05; REPORT-10; UPG-PRD-002</x:v>
      </x:c>
      <x:c r="E64" s="11" t="str">
        <x:v>UI-35; UI-36</x:v>
      </x:c>
      <x:c r="F64" s="11" t="str">
        <x:v>NOT_CHECKED</x:v>
      </x:c>
    </x:row>
    <x:row r="65" ht="24" hidden="0" customHeight="1">
      <x:c r="A65" s="11" t="str">
        <x:v>LOCAL_R2:REQ-PRODUCT-LC-ACADEMY-FOUNDATION</x:v>
      </x:c>
      <x:c r="B65" s="11" t="str">
        <x:v>LOCAL_R2</x:v>
      </x:c>
      <x:c r="C65" s="11" t="str">
        <x:v>Retain LC-ACADEMY-FOUNDATION in T5 with conditional evidence and kill metrics</x:v>
      </x:c>
      <x:c r="D65" s="11" t="str">
        <x:v>ACADEMY-01; ACADEMY-03; ACADEMY-06; UPG-PRD-002</x:v>
      </x:c>
      <x:c r="E65" s="11" t="str">
        <x:v>UI-37; UI-38; UI-39</x:v>
      </x:c>
      <x:c r="F65" s="11" t="str">
        <x:v>NOT_CHECKED</x:v>
      </x:c>
    </x:row>
    <x:row r="66" ht="24" hidden="0" customHeight="1">
      <x:c r="A66" s="11" t="str">
        <x:v>LOCAL_R2:REQ-PRODUCT-LC-ACADEMY-PRO</x:v>
      </x:c>
      <x:c r="B66" s="11" t="str">
        <x:v>LOCAL_R2</x:v>
      </x:c>
      <x:c r="C66" s="11" t="str">
        <x:v>Retain LC-ACADEMY-PRO in T6 with conditional evidence and kill metrics</x:v>
      </x:c>
      <x:c r="D66" s="11" t="str">
        <x:v>ACADEMY-05; REPORT-10; ACADEMY-01; ACADEMY-03; ACADEMY-06; UPG-PRD-002</x:v>
      </x:c>
      <x:c r="E66" s="11" t="str">
        <x:v>UI-35; UI-36; UI-37; UI-38; UI-39</x:v>
      </x:c>
      <x:c r="F66" s="11" t="str">
        <x:v>NOT_CHECKED</x:v>
      </x:c>
    </x:row>
    <x:row r="67" ht="24" hidden="0" customHeight="1">
      <x:c r="A67" s="11" t="str">
        <x:v>LOCAL_R2:REQ-PRODUCT-LC-ACADEMY-TRAINER</x:v>
      </x:c>
      <x:c r="B67" s="11" t="str">
        <x:v>LOCAL_R2</x:v>
      </x:c>
      <x:c r="C67" s="11" t="str">
        <x:v>Retain LC-ACADEMY-TRAINER in T6 with conditional evidence and kill metrics</x:v>
      </x:c>
      <x:c r="D67" s="11" t="str">
        <x:v>ACADEMY-01; ACADEMY-03; ACADEMY-06; METHOD-10; UPG-PRD-002</x:v>
      </x:c>
      <x:c r="E67" s="11" t="str">
        <x:v>UI-37; UI-38; UI-39; UI-42</x:v>
      </x:c>
      <x:c r="F67" s="11" t="str">
        <x:v>NOT_CHECKED</x:v>
      </x:c>
    </x:row>
    <x:row r="68" ht="15" hidden="0" customHeight="1">
      <x:c r="A68" s="11" t="str">
        <x:v>LOCAL_R2:REQ-PRODUCT-LC-FAMILY</x:v>
      </x:c>
      <x:c r="B68" s="11" t="str">
        <x:v>LOCAL_R2</x:v>
      </x:c>
      <x:c r="C68" s="11" t="str">
        <x:v>Retain LC-FAMILY in T6 with conditional evidence and kill metrics</x:v>
      </x:c>
      <x:c r="D68" s="11" t="str">
        <x:v>TRUST-08; TRUST-07; EXPAND-05; UPG-PRD-002</x:v>
      </x:c>
      <x:c r="E68" s="11" t="str">
        <x:v>UI-13; UI-14; UI-34</x:v>
      </x:c>
      <x:c r="F68" s="11" t="str">
        <x:v>NOT_CHECKED</x:v>
      </x:c>
    </x:row>
    <x:row r="69" ht="15" hidden="0" customHeight="1">
      <x:c r="A69" s="11" t="str">
        <x:v>LOCAL_R2:REQ-PRODUCT-LC-ORG</x:v>
      </x:c>
      <x:c r="B69" s="11" t="str">
        <x:v>LOCAL_R2</x:v>
      </x:c>
      <x:c r="C69" s="11" t="str">
        <x:v>Retain LC-ORG in T7 with conditional evidence and kill metrics</x:v>
      </x:c>
      <x:c r="D69" s="11" t="str">
        <x:v>EXPAND-08; UPG-PRD-002</x:v>
      </x:c>
      <x:c r="E69" s="11" t="str">
        <x:v>UI-40</x:v>
      </x:c>
      <x:c r="F69" s="11" t="str">
        <x:v>NOT_CHECKED</x:v>
      </x:c>
    </x:row>
    <x:row r="70" ht="15" hidden="0" customHeight="1">
      <x:c r="A70" s="11" t="str">
        <x:v>LOCAL_R2:REQ-PRODUCT-LC-API</x:v>
      </x:c>
      <x:c r="B70" s="11" t="str">
        <x:v>LOCAL_R2</x:v>
      </x:c>
      <x:c r="C70" s="11" t="str">
        <x:v>Retain LC-API in T7 with conditional evidence and kill metrics</x:v>
      </x:c>
      <x:c r="D70" s="11" t="str">
        <x:v>UPG-PRD-002</x:v>
      </x:c>
      <x:c r="E70" s="11" t="str">
        <x:v>LC-API</x:v>
      </x:c>
      <x:c r="F70" s="11" t="str">
        <x:v>NOT_CHECKED</x:v>
      </x:c>
    </x:row>
    <x:row r="71" ht="24" hidden="0" customHeight="1">
      <x:c r="A71" s="11" t="str">
        <x:v>LOCAL_R2:REQ-PRODUCT-LC-PUBLISH</x:v>
      </x:c>
      <x:c r="B71" s="11" t="str">
        <x:v>LOCAL_R2</x:v>
      </x:c>
      <x:c r="C71" s="11" t="str">
        <x:v>Retain LC-PUBLISH in T3 with conditional evidence and kill metrics</x:v>
      </x:c>
      <x:c r="D71" s="11" t="str">
        <x:v>WEB-08; REPORT-05; REPORT-09; REPORT-06; UPG-PRD-002</x:v>
      </x:c>
      <x:c r="E71" s="11" t="str">
        <x:v>UI-23; UI-24; UI-25; UI-26</x:v>
      </x:c>
      <x:c r="F71" s="11" t="str">
        <x:v>NOT_CHECKED</x:v>
      </x:c>
    </x:row>
    <x:row r="72" ht="15" hidden="0" customHeight="1">
      <x:c r="A72" s="11" t="str">
        <x:v>LOCAL_R2:REQ-PRODUCT-LC-REGIONAL</x:v>
      </x:c>
      <x:c r="B72" s="11" t="str">
        <x:v>LOCAL_R2</x:v>
      </x:c>
      <x:c r="C72" s="11" t="str">
        <x:v>Retain LC-REGIONAL in T8 with conditional evidence and kill metrics</x:v>
      </x:c>
      <x:c r="D72" s="11" t="str">
        <x:v>GLOBAL-05; GLOBAL-01; UPG-PRD-002</x:v>
      </x:c>
      <x:c r="E72" s="11" t="str">
        <x:v>UI-41; UI-45</x:v>
      </x:c>
      <x:c r="F72" s="11" t="str">
        <x:v>NOT_CHECKED</x:v>
      </x:c>
    </x:row>
    <x:row r="73" ht="36" hidden="0" customHeight="1">
      <x:c r="A73" s="11" t="str">
        <x:v>LOCAL_R2:REQ-REPORT-L1</x:v>
      </x:c>
      <x:c r="B73" s="11" t="str">
        <x:v>LOCAL_R2</x:v>
      </x:c>
      <x:c r="C73" s="11" t="str">
        <x:v>Level 1 follows differentiated typed input, AI, review and rejection contract</x:v>
      </x:c>
      <x:c r="D73" s="11" t="str">
        <x:v>REPORT-02; REPORT-05; REPORT-06; REPORT-07; REPORT-08; REPORT-09; REPORT-10; UPG-AI-001; UPG-AI-002</x:v>
      </x:c>
      <x:c r="E73" s="11" t="str">
        <x:v>UI-23; UI-24; UI-25; UI-26; UI-36</x:v>
      </x:c>
      <x:c r="F73" s="11" t="str">
        <x:v>NOT_CHECKED</x:v>
      </x:c>
    </x:row>
    <x:row r="74" ht="36" hidden="0" customHeight="1">
      <x:c r="A74" s="11" t="str">
        <x:v>LOCAL_R2:REQ-REPORT-L2</x:v>
      </x:c>
      <x:c r="B74" s="11" t="str">
        <x:v>LOCAL_R2</x:v>
      </x:c>
      <x:c r="C74" s="11" t="str">
        <x:v>Level 2 follows differentiated typed input, AI, review and rejection contract</x:v>
      </x:c>
      <x:c r="D74" s="11" t="str">
        <x:v>REPORT-03; REPORT-05; REPORT-06; REPORT-07; REPORT-08; REPORT-09; REPORT-10; UPG-AI-001; UPG-AI-002</x:v>
      </x:c>
      <x:c r="E74" s="11" t="str">
        <x:v>UI-23; UI-24; UI-25; UI-26; UI-36</x:v>
      </x:c>
      <x:c r="F74" s="11" t="str">
        <x:v>NOT_CHECKED</x:v>
      </x:c>
    </x:row>
    <x:row r="75" ht="36" hidden="0" customHeight="1">
      <x:c r="A75" s="11" t="str">
        <x:v>LOCAL_R2:REQ-REPORT-L3</x:v>
      </x:c>
      <x:c r="B75" s="11" t="str">
        <x:v>LOCAL_R2</x:v>
      </x:c>
      <x:c r="C75" s="11" t="str">
        <x:v>Level 3 follows differentiated typed input, AI, review and rejection contract</x:v>
      </x:c>
      <x:c r="D75" s="11" t="str">
        <x:v>REPORT-03; REPORT-05; REPORT-06; REPORT-07; REPORT-08; REPORT-09; REPORT-10; UPG-AI-001; UPG-AI-002</x:v>
      </x:c>
      <x:c r="E75" s="11" t="str">
        <x:v>UI-23; UI-24; UI-25; UI-26; UI-36</x:v>
      </x:c>
      <x:c r="F75" s="11" t="str">
        <x:v>NOT_CHECKED</x:v>
      </x:c>
    </x:row>
    <x:row r="76" ht="36" hidden="0" customHeight="1">
      <x:c r="A76" s="11" t="str">
        <x:v>LOCAL_R2:REQ-REPORT-L4</x:v>
      </x:c>
      <x:c r="B76" s="11" t="str">
        <x:v>LOCAL_R2</x:v>
      </x:c>
      <x:c r="C76" s="11" t="str">
        <x:v>Level 4 follows differentiated typed input, AI, review and rejection contract</x:v>
      </x:c>
      <x:c r="D76" s="11" t="str">
        <x:v>REPORT-03; REPORT-05; REPORT-06; REPORT-07; REPORT-08; REPORT-09; REPORT-10; UPG-AI-001; UPG-AI-002</x:v>
      </x:c>
      <x:c r="E76" s="11" t="str">
        <x:v>UI-23; UI-24; UI-25; UI-26; UI-36</x:v>
      </x:c>
      <x:c r="F76" s="11" t="str">
        <x:v>NOT_CHECKED</x:v>
      </x:c>
    </x:row>
    <x:row r="77" ht="36" hidden="0" customHeight="1">
      <x:c r="A77" s="11" t="str">
        <x:v>LOCAL_R2:REQ-REPORT-L5</x:v>
      </x:c>
      <x:c r="B77" s="11" t="str">
        <x:v>LOCAL_R2</x:v>
      </x:c>
      <x:c r="C77" s="11" t="str">
        <x:v>Level 5 follows differentiated typed input, AI, review and rejection contract</x:v>
      </x:c>
      <x:c r="D77" s="11" t="str">
        <x:v>REPORT-03; REPORT-05; REPORT-06; REPORT-07; REPORT-08; REPORT-09; REPORT-10; UPG-AI-001; UPG-AI-002</x:v>
      </x:c>
      <x:c r="E77" s="11" t="str">
        <x:v>UI-23; UI-24; UI-25; UI-26; UI-36</x:v>
      </x:c>
      <x:c r="F77" s="11" t="str">
        <x:v>NOT_CHECKED</x:v>
      </x:c>
    </x:row>
    <x:row r="78" ht="36" hidden="0" customHeight="1">
      <x:c r="A78" s="11" t="str">
        <x:v>LOCAL_R2:REQ-REPORT-L6</x:v>
      </x:c>
      <x:c r="B78" s="11" t="str">
        <x:v>LOCAL_R2</x:v>
      </x:c>
      <x:c r="C78" s="11" t="str">
        <x:v>Level 6 follows differentiated typed input, AI, review and rejection contract</x:v>
      </x:c>
      <x:c r="D78" s="11" t="str">
        <x:v>REPORT-04; REPORT-05; REPORT-06; REPORT-07; REPORT-08; REPORT-09; REPORT-10; UPG-AI-001; UPG-AI-002</x:v>
      </x:c>
      <x:c r="E78" s="11" t="str">
        <x:v>UI-23; UI-24; UI-25; UI-26; UI-36</x:v>
      </x:c>
      <x:c r="F78" s="11" t="str">
        <x:v>NOT_CHECKED</x:v>
      </x:c>
    </x:row>
    <x:row r="79" ht="36" hidden="0" customHeight="1">
      <x:c r="A79" s="11" t="str">
        <x:v>LOCAL_R2:REQ-REPORT-L7</x:v>
      </x:c>
      <x:c r="B79" s="11" t="str">
        <x:v>LOCAL_R2</x:v>
      </x:c>
      <x:c r="C79" s="11" t="str">
        <x:v>Level 7 follows differentiated typed input, AI, review and rejection contract</x:v>
      </x:c>
      <x:c r="D79" s="11" t="str">
        <x:v>REPORT-04; REPORT-05; REPORT-06; REPORT-07; REPORT-08; REPORT-09; REPORT-10; UPG-AI-001; UPG-AI-002</x:v>
      </x:c>
      <x:c r="E79" s="11" t="str">
        <x:v>UI-23; UI-24; UI-25; UI-26; UI-36</x:v>
      </x:c>
      <x:c r="F79" s="11" t="str">
        <x:v>NOT_CHECKED</x:v>
      </x:c>
    </x:row>
    <x:row r="80" ht="36" hidden="0" customHeight="1">
      <x:c r="A80" s="11" t="str">
        <x:v>LOCAL_R2:REQ-REPORT-L8</x:v>
      </x:c>
      <x:c r="B80" s="11" t="str">
        <x:v>LOCAL_R2</x:v>
      </x:c>
      <x:c r="C80" s="11" t="str">
        <x:v>Level 8 follows differentiated typed input, AI, review and rejection contract</x:v>
      </x:c>
      <x:c r="D80" s="11" t="str">
        <x:v>REPORT-04; REPORT-05; REPORT-06; REPORT-07; REPORT-08; REPORT-09; REPORT-10; UPG-AI-001; UPG-AI-002</x:v>
      </x:c>
      <x:c r="E80" s="11" t="str">
        <x:v>UI-23; UI-24; UI-25; UI-26; UI-36</x:v>
      </x:c>
      <x:c r="F80" s="11" t="str">
        <x:v>NOT_CHECKED</x:v>
      </x:c>
    </x:row>
    <x:row r="81" ht="36" hidden="0" customHeight="1">
      <x:c r="A81" s="11" t="str">
        <x:v>LOCAL_R2:REQ-REPORT-L9</x:v>
      </x:c>
      <x:c r="B81" s="11" t="str">
        <x:v>LOCAL_R2</x:v>
      </x:c>
      <x:c r="C81" s="11" t="str">
        <x:v>Level 9 follows differentiated typed input, AI, review and rejection contract</x:v>
      </x:c>
      <x:c r="D81" s="11" t="str">
        <x:v>REPORT-04; REPORT-05; REPORT-06; REPORT-07; REPORT-08; REPORT-09; REPORT-10; UPG-AI-001; UPG-AI-002</x:v>
      </x:c>
      <x:c r="E81" s="11" t="str">
        <x:v>UI-23; UI-24; UI-25; UI-26; UI-36</x:v>
      </x:c>
      <x:c r="F81" s="11" t="str">
        <x:v>NOT_CHECKED</x:v>
      </x:c>
    </x:row>
    <x:row r="82" ht="36" hidden="0" customHeight="1">
      <x:c r="A82" s="11" t="str">
        <x:v>LOCAL_R2:REQ-X-PWA</x:v>
      </x:c>
      <x:c r="B82" s="11" t="str">
        <x:v>LOCAL_R2</x:v>
      </x:c>
      <x:c r="C82" s="11" t="str">
        <x:v>Install is optional; manifest scope/update/cache/offline behavior is explicit</x:v>
      </x:c>
      <x:c r="D82" s="11" t="str">
        <x:v>UPG-UX-001; UPG-UX-003</x:v>
      </x:c>
      <x:c r="E82" s="11" t="str">
        <x:v>UI-01; UI-02; UI-03; UI-04; UI-05; UI-06; UI-07; UI-08; UI-09; UI-10; UI-11; UI-12; UI-13; UI-14; UI-15; UI-16; UI-17; UI-18; UI-19; UI-20; UI-21; UI-22; UI-23; UI-24; UI-25; UI-26; UI-27; UI-28; UI-29; UI-30; UI-31; UI-32; UI-33; UI-34; UI-35; UI-36; UI-37; UI-38; UI-39; UI-40; UI-41; UI-42; UI-43; UI-44; UI-45</x:v>
      </x:c>
      <x:c r="F82" s="11" t="str">
        <x:v>NOT_CHECKED</x:v>
      </x:c>
    </x:row>
    <x:row r="83" ht="36" hidden="0" customHeight="1">
      <x:c r="A83" s="11" t="str">
        <x:v>LOCAL_R2:REQ-X-A11Y</x:v>
      </x:c>
      <x:c r="B83" s="11" t="str">
        <x:v>LOCAL_R2</x:v>
      </x:c>
      <x:c r="C83" s="11" t="str">
        <x:v>Critical flows conform to WCAG 2.2 AA with manual and automated evidence</x:v>
      </x:c>
      <x:c r="D83" s="11" t="str">
        <x:v>WEB-10; UPG-UX-003</x:v>
      </x:c>
      <x:c r="E83" s="11" t="str">
        <x:v>UI-01; UI-02; UI-03; UI-04; UI-05; UI-06; UI-07; UI-08; UI-09; UI-10; UI-11; UI-12; UI-13; UI-14; UI-15; UI-16; UI-17; UI-18; UI-19; UI-20; UI-21; UI-22; UI-23; UI-24; UI-25; UI-26; UI-27; UI-28; UI-29; UI-30; UI-31; UI-32; UI-33; UI-34; UI-35; UI-36; UI-37; UI-38; UI-39; UI-40; UI-41; UI-42; UI-43; UI-44; UI-45</x:v>
      </x:c>
      <x:c r="F83" s="11" t="str">
        <x:v>NOT_CHECKED</x:v>
      </x:c>
    </x:row>
    <x:row r="84" ht="15" hidden="0" customHeight="1">
      <x:c r="A84" s="11" t="str">
        <x:v>LOCAL_R2:REQ-X-AUTH</x:v>
      </x:c>
      <x:c r="B84" s="11" t="str">
        <x:v>LOCAL_R2</x:v>
      </x:c>
      <x:c r="C84" s="11" t="str">
        <x:v>Every object is authorized by server-side tenant/subject/grant context</x:v>
      </x:c>
      <x:c r="D84" s="11" t="str">
        <x:v>TRUST-04; TRUST-05; UPG-BE-003</x:v>
      </x:c>
      <x:c r="E84" s="11" t="str">
        <x:v>UI-10; UI-14; UI-34; UI-35; UI-40</x:v>
      </x:c>
      <x:c r="F84" s="11" t="str">
        <x:v>NOT_CHECKED</x:v>
      </x:c>
    </x:row>
    <x:row r="85" ht="15" hidden="0" customHeight="1">
      <x:c r="A85" s="11" t="str">
        <x:v>LOCAL_R2:REQ-X-TYPED</x:v>
      </x:c>
      <x:c r="B85" s="11" t="str">
        <x:v>LOCAL_R2</x:v>
      </x:c>
      <x:c r="C85" s="11" t="str">
        <x:v>Formula result represents null/decimal/date/timezone explicitly</x:v>
      </x:c>
      <x:c r="D85" s="11" t="str">
        <x:v>METHOD-07; UPG-BE-002</x:v>
      </x:c>
      <x:c r="E85" s="11" t="str">
        <x:v>UI-05; UI-19; UI-21; UI-24</x:v>
      </x:c>
      <x:c r="F85" s="11" t="str">
        <x:v>NOT_CHECKED</x:v>
      </x:c>
    </x:row>
    <x:row r="86" ht="15" hidden="0" customHeight="1">
      <x:c r="A86" s="11" t="str">
        <x:v>LOCAL_R2:REQ-X-METHOD-RIGHTS</x:v>
      </x:c>
      <x:c r="B86" s="11" t="str">
        <x:v>LOCAL_R2</x:v>
      </x:c>
      <x:c r="C86" s="11" t="str">
        <x:v>Only released methods with source and rights may calculate or publish</x:v>
      </x:c>
      <x:c r="D86" s="11" t="str">
        <x:v>METHOD-10; UPG-BE-001</x:v>
      </x:c>
      <x:c r="E86" s="11" t="str">
        <x:v>UI-04; UI-42; UI-45</x:v>
      </x:c>
      <x:c r="F86" s="11" t="str">
        <x:v>NOT_CHECKED</x:v>
      </x:c>
    </x:row>
    <x:row r="87" ht="15" hidden="0" customHeight="1">
      <x:c r="A87" s="11" t="str">
        <x:v>LOCAL_R2:REQ-X-JOBS</x:v>
      </x:c>
      <x:c r="B87" s="11" t="str">
        <x:v>LOCAL_R2</x:v>
      </x:c>
      <x:c r="C87" s="11" t="str">
        <x:v>Jobs/outbox/payment fulfill exactly once and reconcile terminal state</x:v>
      </x:c>
      <x:c r="D87" s="11" t="str">
        <x:v>DATA-06; COMMERCE-04; UPG-BE-004</x:v>
      </x:c>
      <x:c r="E87" s="11" t="str">
        <x:v>UI-22; UI-26; UI-28; UI-31; UI-32</x:v>
      </x:c>
      <x:c r="F87" s="11" t="str">
        <x:v>NOT_CHECKED</x:v>
      </x:c>
    </x:row>
    <x:row r="88" ht="15" hidden="0" customHeight="1">
      <x:c r="A88" s="11" t="str">
        <x:v>LOCAL_R2:REQ-X-MIGRATION</x:v>
      </x:c>
      <x:c r="B88" s="11" t="str">
        <x:v>LOCAL_R2</x:v>
      </x:c>
      <x:c r="C88" s="11" t="str">
        <x:v>D1 to Postgres dry-run reconciles and rolls back before any separately authorized real migration</x:v>
      </x:c>
      <x:c r="D88" s="11" t="str">
        <x:v>DATA-03; DATA-04; UPG-BE-005</x:v>
      </x:c>
      <x:c r="E88" s="11" t="str">
        <x:v>LC-FREE</x:v>
      </x:c>
      <x:c r="F88" s="11" t="str">
        <x:v>NOT_CHECKED</x:v>
      </x:c>
    </x:row>
    <x:row r="89" ht="15" hidden="0" customHeight="1">
      <x:c r="A89" s="11" t="str">
        <x:v>LOCAL_R2:REQ-X-OPENAPI</x:v>
      </x:c>
      <x:c r="B89" s="11" t="str">
        <x:v>LOCAL_R2</x:v>
      </x:c>
      <x:c r="C89" s="11" t="str">
        <x:v>All 64 retained operation IDs have schemas, auth and negative contracts</x:v>
      </x:c>
      <x:c r="D89" s="11" t="str">
        <x:v>API-01; API-10; UPG-BE-006</x:v>
      </x:c>
      <x:c r="E89" s="11" t="str">
        <x:v>LC-API</x:v>
      </x:c>
      <x:c r="F89" s="11" t="str">
        <x:v>NOT_CHECKED</x:v>
      </x:c>
    </x:row>
    <x:row r="90" ht="36" hidden="0" customHeight="1">
      <x:c r="A90" s="11" t="str">
        <x:v>LOCAL_R2:REQ-X-DEMO</x:v>
      </x:c>
      <x:c r="B90" s="11" t="str">
        <x:v>LOCAL_R2</x:v>
      </x:c>
      <x:c r="C90" s="11" t="str">
        <x:v>Demo and trace explorer use synthetic data and disclose exact candidate</x:v>
      </x:c>
      <x:c r="D90" s="11" t="str">
        <x:v>UPG-UX-002; UPG-BE-007</x:v>
      </x:c>
      <x:c r="E90" s="11" t="str">
        <x:v>UI-01; UI-02; UI-03; UI-04; UI-05; UI-06; UI-07; UI-08; UI-09; UI-10; UI-11; UI-12; UI-13; UI-14; UI-15; UI-16; UI-17; UI-18; UI-19; UI-20; UI-21; UI-22; UI-23; UI-24; UI-25; UI-26; UI-27; UI-28; UI-29; UI-30; UI-31; UI-32; UI-33; UI-34; UI-35; UI-36; UI-37; UI-38; UI-39; UI-40; UI-41; UI-42; UI-43; UI-44; UI-45</x:v>
      </x:c>
      <x:c r="F90" s="11" t="str">
        <x:v>NOT_CHECKED</x:v>
      </x:c>
    </x:row>
    <x:row r="91" ht="36" hidden="0" customHeight="1">
      <x:c r="A91" s="11" t="str">
        <x:v>LOCAL_R2:REQ-X-COST</x:v>
      </x:c>
      <x:c r="B91" s="11" t="str">
        <x:v>LOCAL_R2</x:v>
      </x:c>
      <x:c r="C91" s="11" t="str">
        <x:v>Costs remain formulas until approved rates/vendors/currency; missing is not zero</x:v>
      </x:c>
      <x:c r="D91" s="11" t="str">
        <x:v>COMMERCE-09; UPG-PM-002</x:v>
      </x:c>
      <x:c r="E91" s="11" t="str">
        <x:v>LC-L1; LC-L2; LC-L3; LC-L4; LC-L5; LC-L6; LC-L7; LC-L8; LC-L9; LC-GUEST; LC-FREE; LC-COMPANION; LC-NUMBERS; LC-EXPERT; LC-PRACTICE; LC-ACADEMY-FOUNDATION; LC-ACADEMY-PRO; LC-ACADEMY-TRAINER; LC-FAMILY; LC-ORG; LC-API; LC-PUBLISH; LC-REGIONAL</x:v>
      </x:c>
      <x:c r="F91" s="11" t="str">
        <x:v>NOT_CHECKED</x:v>
      </x:c>
    </x:row>
    <x:row r="92" ht="24" hidden="0" customHeight="1">
      <x:c r="A92" s="11" t="str">
        <x:v>INCOMING_V3:REQ-V3-001</x:v>
      </x:c>
      <x:c r="B92" s="11" t="str">
        <x:v>INCOMING_V3</x:v>
      </x:c>
      <x:c r="C92" s="11" t="str">
        <x:v>Bảo toàn toàn bộ tệp V1 và V2</x:v>
      </x:c>
      <x:c r="D92" s="11" t="str">
        <x:v>INT29-001</x:v>
      </x:c>
      <x:c r="E92" s="11" t="str">
        <x:v>docs/upgrade/sources/2026-10-29/v3/package/LIFE_CODE_OS_ALL_IN_ONE_V3_2026-10-29/01_BASELINES/PRESERVATION_MANIFEST.json</x:v>
      </x:c>
      <x:c r="F92" s="11" t="str">
        <x:v>NOT_CHECKED</x:v>
      </x:c>
    </x:row>
    <x:row r="93" ht="24" hidden="0" customHeight="1">
      <x:c r="A93" s="11" t="str">
        <x:v>INCOMING_V3:REQ-V3-002</x:v>
      </x:c>
      <x:c r="B93" s="11" t="str">
        <x:v>INCOMING_V3</x:v>
      </x:c>
      <x:c r="C93" s="11" t="str">
        <x:v>Đối chiếu GitHub và nhánh rescue</x:v>
      </x:c>
      <x:c r="D93" s="11" t="str">
        <x:v>INT29-002</x:v>
      </x:c>
      <x:c r="E93" s="11" t="str">
        <x:v>docs/upgrade/sources/2026-10-29/v3/package/LIFE_CODE_OS_ALL_IN_ONE_V3_2026-10-29/02_RECONCILIATION/GITHUB_BASELINE_2026-10-29.json</x:v>
      </x:c>
      <x:c r="F93" s="11" t="str">
        <x:v>NOT_CHECKED</x:v>
      </x:c>
    </x:row>
    <x:row r="94" ht="24" hidden="0" customHeight="1">
      <x:c r="A94" s="11" t="str">
        <x:v>INCOMING_V3:REQ-V3-003</x:v>
      </x:c>
      <x:c r="B94" s="11" t="str">
        <x:v>INCOMING_V3</x:v>
      </x:c>
      <x:c r="C94" s="11" t="str">
        <x:v>Hai mươi họ tri thức thế giới</x:v>
      </x:c>
      <x:c r="D94" s="11" t="str">
        <x:v>INT29-005</x:v>
      </x:c>
      <x:c r="E94" s="11" t="str">
        <x:v>docs/upgrade/sources/2026-10-29/v3/package/LIFE_CODE_OS_ALL_IN_ONE_V3_2026-10-29/03_KNOWLEDGE/METHOD_INTEGRATION_REGISTER_V3.json</x:v>
      </x:c>
      <x:c r="F94" s="11" t="str">
        <x:v>NOT_CHECKED</x:v>
      </x:c>
    </x:row>
    <x:row r="95" ht="24" hidden="0" customHeight="1">
      <x:c r="A95" s="11" t="str">
        <x:v>INCOMING_V3:REQ-V3-004</x:v>
      </x:c>
      <x:c r="B95" s="11" t="str">
        <x:v>INCOMING_V3</x:v>
      </x:c>
      <x:c r="C95" s="11" t="str">
        <x:v>Mười hai lớp và mười hai trường đồng nhịp</x:v>
      </x:c>
      <x:c r="D95" s="11" t="str">
        <x:v>INT29-009</x:v>
      </x:c>
      <x:c r="E95" s="11" t="str">
        <x:v>docs/upgrade/sources/2026-10-29/v3/package/LIFE_CODE_OS_ALL_IN_ONE_V3_2026-10-29/03_KNOWLEDGE/LAYERS_FIELDS_PRESERVED.json</x:v>
      </x:c>
      <x:c r="F95" s="11" t="str">
        <x:v>NOT_CHECKED</x:v>
      </x:c>
    </x:row>
    <x:row r="96" ht="24" hidden="0" customHeight="1">
      <x:c r="A96" s="11" t="str">
        <x:v>INCOMING_V3:REQ-V3-005</x:v>
      </x:c>
      <x:c r="B96" s="11" t="str">
        <x:v>INCOMING_V3</x:v>
      </x:c>
      <x:c r="C96" s="11" t="str">
        <x:v>Đủ 23 chỉ số số–tên</x:v>
      </x:c>
      <x:c r="D96" s="11" t="str">
        <x:v>INT29-007</x:v>
      </x:c>
      <x:c r="E96" s="11" t="str">
        <x:v>docs/upgrade/sources/2026-10-29/v3/package/LIFE_CODE_OS_ALL_IN_ONE_V3_2026-10-29/04_NUMBERS_NAMES/NUMEROLOGY_23_COMPONENTS.json</x:v>
      </x:c>
      <x:c r="F96" s="11" t="str">
        <x:v>NOT_CHECKED</x:v>
      </x:c>
    </x:row>
    <x:row r="97" ht="24" hidden="0" customHeight="1">
      <x:c r="A97" s="11" t="str">
        <x:v>INCOMING_V3:REQ-V3-006</x:v>
      </x:c>
      <x:c r="B97" s="11" t="str">
        <x:v>INCOMING_V3</x:v>
      </x:c>
      <x:c r="C97" s="11" t="str">
        <x:v>Bát Cực: tám nhóm và 64 cặp</x:v>
      </x:c>
      <x:c r="D97" s="11" t="str">
        <x:v>INT29-008</x:v>
      </x:c>
      <x:c r="E97" s="11" t="str">
        <x:v>docs/upgrade/sources/2026-10-29/v3/package/LIFE_CODE_OS_ALL_IN_ONE_V3_2026-10-29/04_NUMBERS_NAMES/BAT_CUC_64_PAIRS.json</x:v>
      </x:c>
      <x:c r="F97" s="11" t="str">
        <x:v>NOT_CHECKED</x:v>
      </x:c>
    </x:row>
    <x:row r="98" ht="24" hidden="0" customHeight="1">
      <x:c r="A98" s="11" t="str">
        <x:v>INCOMING_V3:REQ-V3-007</x:v>
      </x:c>
      <x:c r="B98" s="11" t="str">
        <x:v>INCOMING_V3</x:v>
      </x:c>
      <x:c r="C98" s="11" t="str">
        <x:v>Bát Cực: chuỗi, tổ hợp và vị trí</x:v>
      </x:c>
      <x:c r="D98" s="11" t="str">
        <x:v>INT29-008</x:v>
      </x:c>
      <x:c r="E98" s="11" t="str">
        <x:v>docs/upgrade/sources/2026-10-29/v3/package/LIFE_CODE_OS_ALL_IN_ONE_V3_2026-10-29/04_NUMBERS_NAMES/BAT_CUC_TRANSITION_8X8.json</x:v>
      </x:c>
      <x:c r="F98" s="11" t="str">
        <x:v>NOT_CHECKED</x:v>
      </x:c>
    </x:row>
    <x:row r="99" ht="24" hidden="0" customHeight="1">
      <x:c r="A99" s="11" t="str">
        <x:v>INCOMING_V3:REQ-V3-008</x:v>
      </x:c>
      <x:c r="B99" s="11" t="str">
        <x:v>INCOMING_V3</x:v>
      </x:c>
      <x:c r="C99" s="11" t="str">
        <x:v>Bát Cực: chính sách số 0 và số 5</x:v>
      </x:c>
      <x:c r="D99" s="11" t="str">
        <x:v>INT29-008</x:v>
      </x:c>
      <x:c r="E99" s="11" t="str">
        <x:v>docs/upgrade/sources/2026-10-29/v3/package/LIFE_CODE_OS_ALL_IN_ONE_V3_2026-10-29/04_NUMBERS_NAMES/BAT_CUC_POLICY_VARIANTS.json</x:v>
      </x:c>
      <x:c r="F99" s="11" t="str">
        <x:v>NOT_CHECKED</x:v>
      </x:c>
    </x:row>
    <x:row r="100" ht="24" hidden="0" customHeight="1">
      <x:c r="A100" s="11" t="str">
        <x:v>INCOMING_V3:REQ-V3-009</x:v>
      </x:c>
      <x:c r="B100" s="11" t="str">
        <x:v>INCOMING_V3</x:v>
      </x:c>
      <x:c r="C100" s="11" t="str">
        <x:v>Psychomatrix: 17 vị trí</x:v>
      </x:c>
      <x:c r="D100" s="11" t="str">
        <x:v>INT29-008</x:v>
      </x:c>
      <x:c r="E100" s="11" t="str">
        <x:v>docs/upgrade/sources/2026-10-29/v3/package/LIFE_CODE_OS_ALL_IN_ONE_V3_2026-10-29/04_NUMBERS_NAMES/PSYCHOMATRIX_17_POSITIONS.json</x:v>
      </x:c>
      <x:c r="F100" s="11" t="str">
        <x:v>NOT_CHECKED</x:v>
      </x:c>
    </x:row>
    <x:row r="101" ht="24" hidden="0" customHeight="1">
      <x:c r="A101" s="11" t="str">
        <x:v>INCOMING_V3:REQ-V3-010</x:v>
      </x:c>
      <x:c r="B101" s="11" t="str">
        <x:v>INCOMING_V3</x:v>
      </x:c>
      <x:c r="C101" s="11" t="str">
        <x:v>Số lặp và trục 2–5–8</x:v>
      </x:c>
      <x:c r="D101" s="11" t="str">
        <x:v>INT29-008</x:v>
      </x:c>
      <x:c r="E101" s="11" t="str">
        <x:v>docs/upgrade/sources/2026-10-29/v3/package/LIFE_CODE_OS_ALL_IN_ONE_V3_2026-10-29/04_NUMBERS_NAMES/REPEATED_SEQUENCES_70.json</x:v>
      </x:c>
      <x:c r="F101" s="11" t="str">
        <x:v>NOT_CHECKED</x:v>
      </x:c>
    </x:row>
    <x:row r="102" ht="24" hidden="0" customHeight="1">
      <x:c r="A102" s="11" t="str">
        <x:v>INCOMING_V3:REQ-V3-011</x:v>
      </x:c>
      <x:c r="B102" s="11" t="str">
        <x:v>INCOMING_V3</x:v>
      </x:c>
      <x:c r="C102" s="11" t="str">
        <x:v>Mã đuôi 80 đủ nguyên văn và nhãn nguồn</x:v>
      </x:c>
      <x:c r="D102" s="11" t="str">
        <x:v>INT29-008</x:v>
      </x:c>
      <x:c r="E102" s="11" t="str">
        <x:v>docs/upgrade/sources/2026-10-29/v3/package/LIFE_CODE_OS_ALL_IN_ONE_V3_2026-10-29/04_NUMBERS_NAMES/TAIL80_COMPLETE.json</x:v>
      </x:c>
      <x:c r="F102" s="11" t="str">
        <x:v>NOT_CHECKED</x:v>
      </x:c>
    </x:row>
    <x:row r="103" ht="24" hidden="0" customHeight="1">
      <x:c r="A103" s="11" t="str">
        <x:v>INCOMING_V3:REQ-V3-012</x:v>
      </x:c>
      <x:c r="B103" s="11" t="str">
        <x:v>INCOMING_V3</x:v>
      </x:c>
      <x:c r="C103" s="11" t="str">
        <x:v>Tên đầy đủ, tên ngắn và nguyên âm Y</x:v>
      </x:c>
      <x:c r="D103" s="11" t="str">
        <x:v>INT29-006</x:v>
      </x:c>
      <x:c r="E103" s="11" t="str">
        <x:v>docs/upgrade/sources/2026-10-29/v3/package/LIFE_CODE_OS_ALL_IN_ONE_V3_2026-10-29/08_ALL_IN_ONE_LAB/src/numerology_full.mjs</x:v>
      </x:c>
      <x:c r="F103" s="11" t="str">
        <x:v>NOT_CHECKED</x:v>
      </x:c>
    </x:row>
    <x:row r="104" ht="24" hidden="0" customHeight="1">
      <x:c r="A104" s="11" t="str">
        <x:v>INCOMING_V3:REQ-V3-013</x:v>
      </x:c>
      <x:c r="B104" s="11" t="str">
        <x:v>INCOMING_V3</x:v>
      </x:c>
      <x:c r="C104" s="11" t="str">
        <x:v>Chu kỳ đỉnh cao, thử thách và ba thời kỳ</x:v>
      </x:c>
      <x:c r="D104" s="11" t="str">
        <x:v>INT29-007</x:v>
      </x:c>
      <x:c r="E104" s="11" t="str">
        <x:v>docs/upgrade/sources/2026-10-29/v3/package/LIFE_CODE_OS_ALL_IN_ONE_V3_2026-10-29/08_ALL_IN_ONE_LAB/src/numerology_full.mjs</x:v>
      </x:c>
      <x:c r="F104" s="11" t="str">
        <x:v>NOT_CHECKED</x:v>
      </x:c>
    </x:row>
    <x:row r="105" ht="24" hidden="0" customHeight="1">
      <x:c r="A105" s="11" t="str">
        <x:v>INCOMING_V3:REQ-V3-014</x:v>
      </x:c>
      <x:c r="B105" s="11" t="str">
        <x:v>INCOMING_V3</x:v>
      </x:c>
      <x:c r="C105" s="11" t="str">
        <x:v>Bản đồ đời sống 18 lĩnh vực</x:v>
      </x:c>
      <x:c r="D105" s="11" t="str">
        <x:v>INT29-009</x:v>
      </x:c>
      <x:c r="E105" s="11" t="str">
        <x:v>docs/upgrade/sources/2026-10-29/v3/package/LIFE_CODE_OS_ALL_IN_ONE_V3_2026-10-29/05_LIFETIME/LIFE_DOMAINS_18.json</x:v>
      </x:c>
      <x:c r="F105" s="11" t="str">
        <x:v>NOT_CHECKED</x:v>
      </x:c>
    </x:row>
    <x:row r="106" ht="24" hidden="0" customHeight="1">
      <x:c r="A106" s="11" t="str">
        <x:v>INCOMING_V3:REQ-V3-015</x:v>
      </x:c>
      <x:c r="B106" s="11" t="str">
        <x:v>INCOMING_V3</x:v>
      </x:c>
      <x:c r="C106" s="11" t="str">
        <x:v>Từ đầu đời đến 99 và tiếp nối</x:v>
      </x:c>
      <x:c r="D106" s="11" t="str">
        <x:v>INT29-009</x:v>
      </x:c>
      <x:c r="E106" s="11" t="str">
        <x:v>docs/upgrade/sources/2026-10-29/v3/package/LIFE_CODE_OS_ALL_IN_ONE_V3_2026-10-29/05_LIFETIME/LIFE_STAGE_ROUTING_9.json</x:v>
      </x:c>
      <x:c r="F106" s="11" t="str">
        <x:v>NOT_CHECKED</x:v>
      </x:c>
    </x:row>
    <x:row r="107" ht="24" hidden="0" customHeight="1">
      <x:c r="A107" s="11" t="str">
        <x:v>INCOMING_V3:REQ-V3-016</x:v>
      </x:c>
      <x:c r="B107" s="11" t="str">
        <x:v>INCOMING_V3</x:v>
      </x:c>
      <x:c r="C107" s="11" t="str">
        <x:v>Lịch sử thật, kế hoạch và chu kỳ biểu tượng</x:v>
      </x:c>
      <x:c r="D107" s="11" t="str">
        <x:v>INT29-009</x:v>
      </x:c>
      <x:c r="E107" s="11" t="str">
        <x:v>docs/upgrade/sources/2026-10-29/v3/package/LIFE_CODE_OS_ALL_IN_ONE_V3_2026-10-29/08_ALL_IN_ONE_LAB/src/lifetime.mjs</x:v>
      </x:c>
      <x:c r="F107" s="11" t="str">
        <x:v>NOT_CHECKED</x:v>
      </x:c>
    </x:row>
    <x:row r="108" ht="24" hidden="0" customHeight="1">
      <x:c r="A108" s="11" t="str">
        <x:v>INCOMING_V3:REQ-V3-017</x:v>
      </x:c>
      <x:c r="B108" s="11" t="str">
        <x:v>INCOMING_V3</x:v>
      </x:c>
      <x:c r="C108" s="11" t="str">
        <x:v>Đủ hợp đồng chín cấp sản phẩm</x:v>
      </x:c>
      <x:c r="D108" s="11" t="str">
        <x:v>INT29-014</x:v>
      </x:c>
      <x:c r="E108" s="11" t="str">
        <x:v>docs/upgrade/sources/2026-10-29/v3/package/LIFE_CODE_OS_ALL_IN_ONE_V3_2026-10-29/06_PRODUCTS/NINE_LEVELS_INTEGRATED_V3.json</x:v>
      </x:c>
      <x:c r="F108" s="11" t="str">
        <x:v>NOT_CHECKED</x:v>
      </x:c>
    </x:row>
    <x:row r="109" ht="24" hidden="0" customHeight="1">
      <x:c r="A109" s="11" t="str">
        <x:v>INCOMING_V3:REQ-V3-018</x:v>
      </x:c>
      <x:c r="B109" s="11" t="str">
        <x:v>INCOMING_V3</x:v>
      </x:c>
      <x:c r="C109" s="11" t="str">
        <x:v>Từ miễn phí đến tổ chức và doanh nghiệp</x:v>
      </x:c>
      <x:c r="D109" s="11" t="str">
        <x:v>INT29-017</x:v>
      </x:c>
      <x:c r="E109" s="11" t="str">
        <x:v>docs/upgrade/sources/2026-10-29/v3/package/LIFE_CODE_OS_ALL_IN_ONE_V3_2026-10-29/06_PRODUCTS/PRODUCT_CATALOG_ALL_IN_ONE.json</x:v>
      </x:c>
      <x:c r="F109" s="11" t="str">
        <x:v>NOT_CHECKED</x:v>
      </x:c>
    </x:row>
    <x:row r="110" ht="24" hidden="0" customHeight="1">
      <x:c r="A110" s="11" t="str">
        <x:v>INCOMING_V3:REQ-V3-019</x:v>
      </x:c>
      <x:c r="B110" s="11" t="str">
        <x:v>INCOMING_V3</x:v>
      </x:c>
      <x:c r="C110" s="11" t="str">
        <x:v>Mobile, web và desktop dùng chung lõi</x:v>
      </x:c>
      <x:c r="D110" s="11" t="str">
        <x:v>INT29-015</x:v>
      </x:c>
      <x:c r="E110" s="11" t="str">
        <x:v>docs/upgrade/sources/2026-10-29/v3/package/LIFE_CODE_OS_ALL_IN_ONE_V3_2026-10-29/08_ALL_IN_ONE_LAB/public/index.html</x:v>
      </x:c>
      <x:c r="F110" s="11" t="str">
        <x:v>NOT_CHECKED</x:v>
      </x:c>
    </x:row>
    <x:row r="111" ht="24" hidden="0" customHeight="1">
      <x:c r="A111" s="11" t="str">
        <x:v>INCOMING_V3:REQ-V3-020</x:v>
      </x:c>
      <x:c r="B111" s="11" t="str">
        <x:v>INCOMING_V3</x:v>
      </x:c>
      <x:c r="C111" s="11" t="str">
        <x:v>Backend, API và dấu vết dữ liệu</x:v>
      </x:c>
      <x:c r="D111" s="11" t="str">
        <x:v>INT29-010</x:v>
      </x:c>
      <x:c r="E111" s="11" t="str">
        <x:v>docs/upgrade/sources/2026-10-29/v3/package/LIFE_CODE_OS_ALL_IN_ONE_V3_2026-10-29/07_BACKEND/openapi.v3.target.json</x:v>
      </x:c>
      <x:c r="F111" s="11" t="str">
        <x:v>NOT_CHECKED</x:v>
      </x:c>
    </x:row>
    <x:row r="112" ht="24" hidden="0" customHeight="1">
      <x:c r="A112" s="11" t="str">
        <x:v>INCOMING_V3:REQ-V3-021</x:v>
      </x:c>
      <x:c r="B112" s="11" t="str">
        <x:v>INCOMING_V3</x:v>
      </x:c>
      <x:c r="C112" s="11" t="str">
        <x:v>AI hỗ trợ, giảm thao tác quản trị</x:v>
      </x:c>
      <x:c r="D112" s="11" t="str">
        <x:v>INT29-016</x:v>
      </x:c>
      <x:c r="E112" s="11" t="str">
        <x:v>docs/upgrade/sources/2026-10-29/v3/package/LIFE_CODE_OS_ALL_IN_ONE_V3_2026-10-29/07_BACKEND/AI_AND_AUTOMATION.md</x:v>
      </x:c>
      <x:c r="F112" s="11" t="str">
        <x:v>NOT_CHECKED</x:v>
      </x:c>
    </x:row>
    <x:row r="113" ht="24" hidden="0" customHeight="1">
      <x:c r="A113" s="11" t="str">
        <x:v>INCOMING_V3:REQ-V3-022</x:v>
      </x:c>
      <x:c r="B113" s="11" t="str">
        <x:v>INCOMING_V3</x:v>
      </x:c>
      <x:c r="C113" s="11" t="str">
        <x:v>Academy, chuyển giao và cấp phép quốc tế</x:v>
      </x:c>
      <x:c r="D113" s="11" t="str">
        <x:v>INT29-019</x:v>
      </x:c>
      <x:c r="E113" s="11" t="str">
        <x:v>docs/upgrade/sources/2026-10-29/v3/package/LIFE_CODE_OS_ALL_IN_ONE_V3_2026-10-29/10_GLOBAL_ACADEMY/ACADEMY_AND_LICENSING.md</x:v>
      </x:c>
      <x:c r="F113" s="11" t="str">
        <x:v>NOT_CHECKED</x:v>
      </x:c>
    </x:row>
    <x:row r="114" ht="24" hidden="0" customHeight="1">
      <x:c r="A114" s="11" t="str">
        <x:v>INCOMING_V3:REQ-V3-023</x:v>
      </x:c>
      <x:c r="B114" s="11" t="str">
        <x:v>INCOMING_V3</x:v>
      </x:c>
      <x:c r="C114" s="11" t="str">
        <x:v>Bảng công việc hợp nhất</x:v>
      </x:c>
      <x:c r="D114" s="11" t="str">
        <x:v>INT29-003</x:v>
      </x:c>
      <x:c r="E114" s="11" t="str">
        <x:v>docs/upgrade/sources/2026-10-29/v3/package/LIFE_CODE_OS_ALL_IN_ONE_V3_2026-10-29/09_EXECUTION/BACKLOG_UNIFIED.json</x:v>
      </x:c>
      <x:c r="F114" s="11" t="str">
        <x:v>NOT_CHECKED</x:v>
      </x:c>
    </x:row>
    <x:row r="115" ht="24" hidden="0" customHeight="1">
      <x:c r="A115" s="11" t="str">
        <x:v>INCOMING_V3:REQ-V3-024</x:v>
      </x:c>
      <x:c r="B115" s="11" t="str">
        <x:v>INCOMING_V3</x:v>
      </x:c>
      <x:c r="C115" s="11" t="str">
        <x:v>Không bỏ kế hoạch và Q1–Q30</x:v>
      </x:c>
      <x:c r="D115" s="11" t="str">
        <x:v>INT29-004</x:v>
      </x:c>
      <x:c r="E115" s="11" t="str">
        <x:v>docs/upgrade/sources/2026-10-29/v3/package/LIFE_CODE_OS_ALL_IN_ONE_V3_2026-10-29/09_EXECUTION/DECISION_LEDGER_ALL.json</x:v>
      </x:c>
      <x:c r="F115" s="11" t="str">
        <x:v>NOT_CHECKED</x:v>
      </x:c>
    </x:row>
    <x:row r="116" ht="24" hidden="0" customHeight="1">
      <x:c r="A116" s="11" t="str">
        <x:v>INCOMING_V3:REQ-V3-025</x:v>
      </x:c>
      <x:c r="B116" s="11" t="str">
        <x:v>INCOMING_V3</x:v>
      </x:c>
      <x:c r="C116" s="11" t="str">
        <x:v>Nguồn đa ngôn ngữ và quyền sử dụng</x:v>
      </x:c>
      <x:c r="D116" s="11" t="str">
        <x:v>INT29-005</x:v>
      </x:c>
      <x:c r="E116" s="11" t="str">
        <x:v>docs/upgrade/sources/2026-10-29/v3/package/LIFE_CODE_OS_ALL_IN_ONE_V3_2026-10-29/13_SOURCES/SOURCES_V3.json</x:v>
      </x:c>
      <x:c r="F116" s="11" t="str">
        <x:v>NOT_CHECKED</x:v>
      </x:c>
    </x:row>
    <x:row r="117" ht="24" hidden="0" customHeight="1">
      <x:c r="A117" s="11" t="str">
        <x:v>INCOMING_V3:REQ-V3-026</x:v>
      </x:c>
      <x:c r="B117" s="11" t="str">
        <x:v>INCOMING_V3</x:v>
      </x:c>
      <x:c r="C117" s="11" t="str">
        <x:v>Tính đúng và không tạo điểm giả</x:v>
      </x:c>
      <x:c r="D117" s="11" t="str">
        <x:v>INT29-013</x:v>
      </x:c>
      <x:c r="E117" s="11" t="str">
        <x:v>docs/upgrade/sources/2026-10-29/v3/package/LIFE_CODE_OS_ALL_IN_ONE_V3_2026-10-29/11_QA/VERIFICATION_REPORT.json</x:v>
      </x:c>
      <x:c r="F117" s="11" t="str">
        <x:v>NOT_CHECKED</x:v>
      </x:c>
    </x:row>
    <x:row r="118" ht="24" hidden="0" customHeight="1">
      <x:c r="A118" s="11" t="str">
        <x:v>INCOMING_V3:REQ-V3-027</x:v>
      </x:c>
      <x:c r="B118" s="11" t="str">
        <x:v>INCOMING_V3</x:v>
      </x:c>
      <x:c r="C118" s="11" t="str">
        <x:v>Một cửa từ hồ sơ đến bản xem trước</x:v>
      </x:c>
      <x:c r="D118" s="11" t="str">
        <x:v>INT29-015</x:v>
      </x:c>
      <x:c r="E118" s="11" t="str">
        <x:v>docs/upgrade/sources/2026-10-29/v3/package/LIFE_CODE_OS_ALL_IN_ONE_V3_2026-10-29/08_ALL_IN_ONE_LAB/src/all_in_one.mjs</x:v>
      </x:c>
      <x:c r="F118" s="11" t="str">
        <x:v>NOT_CHECKED</x:v>
      </x:c>
    </x:row>
    <x:row r="119" ht="24" hidden="0" customHeight="1">
      <x:c r="A119" s="11" t="str">
        <x:v>INCOMING_V3:REQ-V3-028</x:v>
      </x:c>
      <x:c r="B119" s="11" t="str">
        <x:v>INCOMING_V3</x:v>
      </x:c>
      <x:c r="C119" s="11" t="str">
        <x:v>Nhập đúng repository theo cách bổ sung</x:v>
      </x:c>
      <x:c r="D119" s="11" t="str">
        <x:v>INT29-001</x:v>
      </x:c>
      <x:c r="E119" s="11" t="str">
        <x:v>docs/upgrade/sources/2026-10-29/v3/package/LIFE_CODE_OS_ALL_IN_ONE_V3_2026-10-29/12_IMPORT/import_into_repo.py</x:v>
      </x:c>
      <x:c r="F119" s="11" t="str">
        <x:v>NOT_CHECKED</x:v>
      </x:c>
    </x:row>
    <x:row r="120" ht="24" hidden="0" customHeight="1">
      <x:c r="A120" s="11" t="str">
        <x:v>INCOMING_V3:REQ-V3-029</x:v>
      </x:c>
      <x:c r="B120" s="11" t="str">
        <x:v>INCOMING_V3</x:v>
      </x:c>
      <x:c r="C120" s="11" t="str">
        <x:v>Quyền dữ liệu trẻ em, ảnh và sức khỏe</x:v>
      </x:c>
      <x:c r="D120" s="11" t="str">
        <x:v>INT29-011</x:v>
      </x:c>
      <x:c r="E120" s="11" t="str">
        <x:v>docs/upgrade/sources/2026-10-29/v3/package/LIFE_CODE_OS_ALL_IN_ONE_V3_2026-10-29/07_BACKEND/TRUST_PRIVACY_AND_CHILDREN.md</x:v>
      </x:c>
      <x:c r="F120" s="11" t="str">
        <x:v>NOT_CHECKED</x:v>
      </x:c>
    </x:row>
    <x:row r="121" ht="24" hidden="0" customHeight="1">
      <x:c r="A121" s="11" t="str">
        <x:v>INCOMING_V3:REQ-V3-030</x:v>
      </x:c>
      <x:c r="B121" s="11" t="str">
        <x:v>INCOMING_V3</x:v>
      </x:c>
      <x:c r="C121" s="11" t="str">
        <x:v>PDF, Word và bảng điều hành</x:v>
      </x:c>
      <x:c r="D121" s="11" t="str">
        <x:v>INT29-020</x:v>
      </x:c>
      <x:c r="E121" s="11" t="str">
        <x:v>docs/upgrade/sources/2026-10-29/v3/package/LIFE_CODE_OS_ALL_IN_ONE_V3_2026-10-29/00_START/START_HERE.md</x:v>
      </x:c>
      <x:c r="F121" s="11" t="str">
        <x:v>NOT_CHECKED</x:v>
      </x:c>
    </x:row>
    <x:row r="122" ht="24" hidden="0" customHeight="1">
      <x:c r="A122" s="11" t="str">
        <x:v>INCOMING_V3:REQ-V3-031</x:v>
      </x:c>
      <x:c r="B122" s="11" t="str">
        <x:v>INCOMING_V3</x:v>
      </x:c>
      <x:c r="C122" s="11" t="str">
        <x:v>NUM-01 — Đường đời</x:v>
      </x:c>
      <x:c r="D122" s="11" t="str">
        <x:v>INT29-007</x:v>
      </x:c>
      <x:c r="E122" s="11" t="str">
        <x:v>docs/upgrade/sources/2026-10-29/v3/package/LIFE_CODE_OS_ALL_IN_ONE_V3_2026-10-29/08_ALL_IN_ONE_LAB/src/numerology_full.mjs</x:v>
      </x:c>
      <x:c r="F122" s="11" t="str">
        <x:v>NOT_CHECKED</x:v>
      </x:c>
    </x:row>
    <x:row r="123" ht="24" hidden="0" customHeight="1">
      <x:c r="A123" s="11" t="str">
        <x:v>INCOMING_V3:REQ-V3-032</x:v>
      </x:c>
      <x:c r="B123" s="11" t="str">
        <x:v>INCOMING_V3</x:v>
      </x:c>
      <x:c r="C123" s="11" t="str">
        <x:v>NUM-02 — Ngày sinh</x:v>
      </x:c>
      <x:c r="D123" s="11" t="str">
        <x:v>INT29-007</x:v>
      </x:c>
      <x:c r="E123" s="11" t="str">
        <x:v>docs/upgrade/sources/2026-10-29/v3/package/LIFE_CODE_OS_ALL_IN_ONE_V3_2026-10-29/08_ALL_IN_ONE_LAB/src/numerology_full.mjs</x:v>
      </x:c>
      <x:c r="F123" s="11" t="str">
        <x:v>NOT_CHECKED</x:v>
      </x:c>
    </x:row>
    <x:row r="124" ht="24" hidden="0" customHeight="1">
      <x:c r="A124" s="11" t="str">
        <x:v>INCOMING_V3:REQ-V3-033</x:v>
      </x:c>
      <x:c r="B124" s="11" t="str">
        <x:v>INCOMING_V3</x:v>
      </x:c>
      <x:c r="C124" s="11" t="str">
        <x:v>NUM-03 — Dấu số truyền thống 13/14/16/19</x:v>
      </x:c>
      <x:c r="D124" s="11" t="str">
        <x:v>INT29-007</x:v>
      </x:c>
      <x:c r="E124" s="11" t="str">
        <x:v>docs/upgrade/sources/2026-10-29/v3/package/LIFE_CODE_OS_ALL_IN_ONE_V3_2026-10-29/08_ALL_IN_ONE_LAB/src/numerology_full.mjs</x:v>
      </x:c>
      <x:c r="F124" s="11" t="str">
        <x:v>NOT_CHECKED</x:v>
      </x:c>
    </x:row>
    <x:row r="125" ht="24" hidden="0" customHeight="1">
      <x:c r="A125" s="11" t="str">
        <x:v>INCOMING_V3:REQ-V3-034</x:v>
      </x:c>
      <x:c r="B125" s="11" t="str">
        <x:v>INCOMING_V3</x:v>
      </x:c>
      <x:c r="C125" s="11" t="str">
        <x:v>NUM-04 — Biểu đạt theo tên đầy đủ</x:v>
      </x:c>
      <x:c r="D125" s="11" t="str">
        <x:v>INT29-007</x:v>
      </x:c>
      <x:c r="E125" s="11" t="str">
        <x:v>docs/upgrade/sources/2026-10-29/v3/package/LIFE_CODE_OS_ALL_IN_ONE_V3_2026-10-29/08_ALL_IN_ONE_LAB/src/numerology_full.mjs</x:v>
      </x:c>
      <x:c r="F125" s="11" t="str">
        <x:v>NOT_CHECKED</x:v>
      </x:c>
    </x:row>
    <x:row r="126" ht="24" hidden="0" customHeight="1">
      <x:c r="A126" s="11" t="str">
        <x:v>INCOMING_V3:REQ-V3-035</x:v>
      </x:c>
      <x:c r="B126" s="11" t="str">
        <x:v>INCOMING_V3</x:v>
      </x:c>
      <x:c r="C126" s="11" t="str">
        <x:v>NUM-05 — Biểu đạt theo tên thường dùng</x:v>
      </x:c>
      <x:c r="D126" s="11" t="str">
        <x:v>INT29-007</x:v>
      </x:c>
      <x:c r="E126" s="11" t="str">
        <x:v>docs/upgrade/sources/2026-10-29/v3/package/LIFE_CODE_OS_ALL_IN_ONE_V3_2026-10-29/08_ALL_IN_ONE_LAB/src/numerology_full.mjs</x:v>
      </x:c>
      <x:c r="F126" s="11" t="str">
        <x:v>NOT_CHECKED</x:v>
      </x:c>
    </x:row>
    <x:row r="127" ht="24" hidden="0" customHeight="1">
      <x:c r="A127" s="11" t="str">
        <x:v>INCOMING_V3:REQ-V3-036</x:v>
      </x:c>
      <x:c r="B127" s="11" t="str">
        <x:v>INCOMING_V3</x:v>
      </x:c>
      <x:c r="C127" s="11" t="str">
        <x:v>NUM-06 — Tổng nguyên âm tên đầy đủ</x:v>
      </x:c>
      <x:c r="D127" s="11" t="str">
        <x:v>INT29-007</x:v>
      </x:c>
      <x:c r="E127" s="11" t="str">
        <x:v>docs/upgrade/sources/2026-10-29/v3/package/LIFE_CODE_OS_ALL_IN_ONE_V3_2026-10-29/08_ALL_IN_ONE_LAB/src/numerology_full.mjs</x:v>
      </x:c>
      <x:c r="F127" s="11" t="str">
        <x:v>NOT_CHECKED</x:v>
      </x:c>
    </x:row>
    <x:row r="128" ht="24" hidden="0" customHeight="1">
      <x:c r="A128" s="11" t="str">
        <x:v>INCOMING_V3:REQ-V3-037</x:v>
      </x:c>
      <x:c r="B128" s="11" t="str">
        <x:v>INCOMING_V3</x:v>
      </x:c>
      <x:c r="C128" s="11" t="str">
        <x:v>NUM-07 — Tổng nguyên âm tên thường dùng</x:v>
      </x:c>
      <x:c r="D128" s="11" t="str">
        <x:v>INT29-007</x:v>
      </x:c>
      <x:c r="E128" s="11" t="str">
        <x:v>docs/upgrade/sources/2026-10-29/v3/package/LIFE_CODE_OS_ALL_IN_ONE_V3_2026-10-29/08_ALL_IN_ONE_LAB/src/numerology_full.mjs</x:v>
      </x:c>
      <x:c r="F128" s="11" t="str">
        <x:v>NOT_CHECKED</x:v>
      </x:c>
    </x:row>
    <x:row r="129" ht="24" hidden="0" customHeight="1">
      <x:c r="A129" s="11" t="str">
        <x:v>INCOMING_V3:REQ-V3-038</x:v>
      </x:c>
      <x:c r="B129" s="11" t="str">
        <x:v>INCOMING_V3</x:v>
      </x:c>
      <x:c r="C129" s="11" t="str">
        <x:v>NUM-08 — Số ghép và các bước rút gọn</x:v>
      </x:c>
      <x:c r="D129" s="11" t="str">
        <x:v>INT29-007</x:v>
      </x:c>
      <x:c r="E129" s="11" t="str">
        <x:v>docs/upgrade/sources/2026-10-29/v3/package/LIFE_CODE_OS_ALL_IN_ONE_V3_2026-10-29/08_ALL_IN_ONE_LAB/src/numerology_full.mjs</x:v>
      </x:c>
      <x:c r="F129" s="11" t="str">
        <x:v>NOT_CHECKED</x:v>
      </x:c>
    </x:row>
    <x:row r="130" ht="24" hidden="0" customHeight="1">
      <x:c r="A130" s="11" t="str">
        <x:v>INCOMING_V3:REQ-V3-039</x:v>
      </x:c>
      <x:c r="B130" s="11" t="str">
        <x:v>INCOMING_V3</x:v>
      </x:c>
      <x:c r="C130" s="11" t="str">
        <x:v>NUM-09 — Tổng phụ âm tên đầy đủ</x:v>
      </x:c>
      <x:c r="D130" s="11" t="str">
        <x:v>INT29-007</x:v>
      </x:c>
      <x:c r="E130" s="11" t="str">
        <x:v>docs/upgrade/sources/2026-10-29/v3/package/LIFE_CODE_OS_ALL_IN_ONE_V3_2026-10-29/08_ALL_IN_ONE_LAB/src/numerology_full.mjs</x:v>
      </x:c>
      <x:c r="F130" s="11" t="str">
        <x:v>NOT_CHECKED</x:v>
      </x:c>
    </x:row>
    <x:row r="131" ht="24" hidden="0" customHeight="1">
      <x:c r="A131" s="11" t="str">
        <x:v>INCOMING_V3:REQ-V3-040</x:v>
      </x:c>
      <x:c r="B131" s="11" t="str">
        <x:v>INCOMING_V3</x:v>
      </x:c>
      <x:c r="C131" s="11" t="str">
        <x:v>NUM-10 — Tổng phụ âm tên thường dùng</x:v>
      </x:c>
      <x:c r="D131" s="11" t="str">
        <x:v>INT29-007</x:v>
      </x:c>
      <x:c r="E131" s="11" t="str">
        <x:v>docs/upgrade/sources/2026-10-29/v3/package/LIFE_CODE_OS_ALL_IN_ONE_V3_2026-10-29/08_ALL_IN_ONE_LAB/src/numerology_full.mjs</x:v>
      </x:c>
      <x:c r="F131" s="11" t="str">
        <x:v>NOT_CHECKED</x:v>
      </x:c>
    </x:row>
    <x:row r="132" ht="24" hidden="0" customHeight="1">
      <x:c r="A132" s="11" t="str">
        <x:v>INCOMING_V3:REQ-V3-041</x:v>
      </x:c>
      <x:c r="B132" s="11" t="str">
        <x:v>INCOMING_V3</x:v>
      </x:c>
      <x:c r="C132" s="11" t="str">
        <x:v>NUM-11 — Chỉ số trưởng thành quy ước</x:v>
      </x:c>
      <x:c r="D132" s="11" t="str">
        <x:v>INT29-007</x:v>
      </x:c>
      <x:c r="E132" s="11" t="str">
        <x:v>docs/upgrade/sources/2026-10-29/v3/package/LIFE_CODE_OS_ALL_IN_ONE_V3_2026-10-29/08_ALL_IN_ONE_LAB/src/numerology_full.mjs</x:v>
      </x:c>
      <x:c r="F132" s="11" t="str">
        <x:v>NOT_CHECKED</x:v>
      </x:c>
    </x:row>
    <x:row r="133" ht="24" hidden="0" customHeight="1">
      <x:c r="A133" s="11" t="str">
        <x:v>INCOMING_V3:REQ-V3-042</x:v>
      </x:c>
      <x:c r="B133" s="11" t="str">
        <x:v>INCOMING_V3</x:v>
      </x:c>
      <x:c r="C133" s="11" t="str">
        <x:v>NUM-12 — Chỉ số tên riêng và ngày sinh</x:v>
      </x:c>
      <x:c r="D133" s="11" t="str">
        <x:v>INT29-007</x:v>
      </x:c>
      <x:c r="E133" s="11" t="str">
        <x:v>docs/upgrade/sources/2026-10-29/v3/package/LIFE_CODE_OS_ALL_IN_ONE_V3_2026-10-29/08_ALL_IN_ONE_LAB/src/numerology_full.mjs</x:v>
      </x:c>
      <x:c r="F133" s="11" t="str">
        <x:v>NOT_CHECKED</x:v>
      </x:c>
    </x:row>
    <x:row r="134" ht="24" hidden="0" customHeight="1">
      <x:c r="A134" s="11" t="str">
        <x:v>INCOMING_V3:REQ-V3-043</x:v>
      </x:c>
      <x:c r="B134" s="11" t="str">
        <x:v>INCOMING_V3</x:v>
      </x:c>
      <x:c r="C134" s="11" t="str">
        <x:v>NUM-13 — Nhóm số không xuất hiện trong tên</x:v>
      </x:c>
      <x:c r="D134" s="11" t="str">
        <x:v>INT29-007</x:v>
      </x:c>
      <x:c r="E134" s="11" t="str">
        <x:v>docs/upgrade/sources/2026-10-29/v3/package/LIFE_CODE_OS_ALL_IN_ONE_V3_2026-10-29/08_ALL_IN_ONE_LAB/src/numerology_full.mjs</x:v>
      </x:c>
      <x:c r="F134" s="11" t="str">
        <x:v>NOT_CHECKED</x:v>
      </x:c>
    </x:row>
    <x:row r="135" ht="24" hidden="0" customHeight="1">
      <x:c r="A135" s="11" t="str">
        <x:v>INCOMING_V3:REQ-V3-044</x:v>
      </x:c>
      <x:c r="B135" s="11" t="str">
        <x:v>INCOMING_V3</x:v>
      </x:c>
      <x:c r="C135" s="11" t="str">
        <x:v>NUM-14 — Tổng chữ đầu các thành phần tên</x:v>
      </x:c>
      <x:c r="D135" s="11" t="str">
        <x:v>INT29-007</x:v>
      </x:c>
      <x:c r="E135" s="11" t="str">
        <x:v>docs/upgrade/sources/2026-10-29/v3/package/LIFE_CODE_OS_ALL_IN_ONE_V3_2026-10-29/08_ALL_IN_ONE_LAB/src/numerology_full.mjs</x:v>
      </x:c>
      <x:c r="F135" s="11" t="str">
        <x:v>NOT_CHECKED</x:v>
      </x:c>
    </x:row>
    <x:row r="136" ht="24" hidden="0" customHeight="1">
      <x:c r="A136" s="11" t="str">
        <x:v>INCOMING_V3:REQ-V3-045</x:v>
      </x:c>
      <x:c r="B136" s="11" t="str">
        <x:v>INCOMING_V3</x:v>
      </x:c>
      <x:c r="C136" s="11" t="str">
        <x:v>NUM-15 — Nhóm số lặp nhiều nhất trong tên</x:v>
      </x:c>
      <x:c r="D136" s="11" t="str">
        <x:v>INT29-007</x:v>
      </x:c>
      <x:c r="E136" s="11" t="str">
        <x:v>docs/upgrade/sources/2026-10-29/v3/package/LIFE_CODE_OS_ALL_IN_ONE_V3_2026-10-29/08_ALL_IN_ONE_LAB/src/numerology_full.mjs</x:v>
      </x:c>
      <x:c r="F136" s="11" t="str">
        <x:v>NOT_CHECKED</x:v>
      </x:c>
    </x:row>
    <x:row r="137" ht="24" hidden="0" customHeight="1">
      <x:c r="A137" s="11" t="str">
        <x:v>INCOMING_V3:REQ-V3-046</x:v>
      </x:c>
      <x:c r="B137" s="11" t="str">
        <x:v>INCOMING_V3</x:v>
      </x:c>
      <x:c r="C137" s="11" t="str">
        <x:v>NUM-16 — Số nhóm chữ có mặt</x:v>
      </x:c>
      <x:c r="D137" s="11" t="str">
        <x:v>INT29-007</x:v>
      </x:c>
      <x:c r="E137" s="11" t="str">
        <x:v>docs/upgrade/sources/2026-10-29/v3/package/LIFE_CODE_OS_ALL_IN_ONE_V3_2026-10-29/08_ALL_IN_ONE_LAB/src/numerology_full.mjs</x:v>
      </x:c>
      <x:c r="F137" s="11" t="str">
        <x:v>NOT_CHECKED</x:v>
      </x:c>
    </x:row>
    <x:row r="138" ht="24" hidden="0" customHeight="1">
      <x:c r="A138" s="11" t="str">
        <x:v>INCOMING_V3:REQ-V3-047</x:v>
      </x:c>
      <x:c r="B138" s="11" t="str">
        <x:v>INCOMING_V3</x:v>
      </x:c>
      <x:c r="C138" s="11" t="str">
        <x:v>NUM-17 — Bốn hiệu số thử thách</x:v>
      </x:c>
      <x:c r="D138" s="11" t="str">
        <x:v>INT29-007</x:v>
      </x:c>
      <x:c r="E138" s="11" t="str">
        <x:v>docs/upgrade/sources/2026-10-29/v3/package/LIFE_CODE_OS_ALL_IN_ONE_V3_2026-10-29/08_ALL_IN_ONE_LAB/src/numerology_full.mjs</x:v>
      </x:c>
      <x:c r="F138" s="11" t="str">
        <x:v>NOT_CHECKED</x:v>
      </x:c>
    </x:row>
    <x:row r="139" ht="24" hidden="0" customHeight="1">
      <x:c r="A139" s="11" t="str">
        <x:v>INCOMING_V3:REQ-V3-048</x:v>
      </x:c>
      <x:c r="B139" s="11" t="str">
        <x:v>INCOMING_V3</x:v>
      </x:c>
      <x:c r="C139" s="11" t="str">
        <x:v>NUM-18 — Phạm vi thời gian thử thách</x:v>
      </x:c>
      <x:c r="D139" s="11" t="str">
        <x:v>INT29-007</x:v>
      </x:c>
      <x:c r="E139" s="11" t="str">
        <x:v>docs/upgrade/sources/2026-10-29/v3/package/LIFE_CODE_OS_ALL_IN_ONE_V3_2026-10-29/08_ALL_IN_ONE_LAB/src/numerology_full.mjs</x:v>
      </x:c>
      <x:c r="F139" s="11" t="str">
        <x:v>NOT_CHECKED</x:v>
      </x:c>
    </x:row>
    <x:row r="140" ht="24" hidden="0" customHeight="1">
      <x:c r="A140" s="11" t="str">
        <x:v>INCOMING_V3:REQ-V3-049</x:v>
      </x:c>
      <x:c r="B140" s="11" t="str">
        <x:v>INCOMING_V3</x:v>
      </x:c>
      <x:c r="C140" s="11" t="str">
        <x:v>NUM-19 — Bốn tổng đỉnh cao</x:v>
      </x:c>
      <x:c r="D140" s="11" t="str">
        <x:v>INT29-007</x:v>
      </x:c>
      <x:c r="E140" s="11" t="str">
        <x:v>docs/upgrade/sources/2026-10-29/v3/package/LIFE_CODE_OS_ALL_IN_ONE_V3_2026-10-29/08_ALL_IN_ONE_LAB/src/numerology_full.mjs</x:v>
      </x:c>
      <x:c r="F140" s="11" t="str">
        <x:v>NOT_CHECKED</x:v>
      </x:c>
    </x:row>
    <x:row r="141" ht="24" hidden="0" customHeight="1">
      <x:c r="A141" s="11" t="str">
        <x:v>INCOMING_V3:REQ-V3-050</x:v>
      </x:c>
      <x:c r="B141" s="11" t="str">
        <x:v>INCOMING_V3</x:v>
      </x:c>
      <x:c r="C141" s="11" t="str">
        <x:v>NUM-20 — Phạm vi tuổi đỉnh cao</x:v>
      </x:c>
      <x:c r="D141" s="11" t="str">
        <x:v>INT29-007</x:v>
      </x:c>
      <x:c r="E141" s="11" t="str">
        <x:v>docs/upgrade/sources/2026-10-29/v3/package/LIFE_CODE_OS_ALL_IN_ONE_V3_2026-10-29/08_ALL_IN_ONE_LAB/src/numerology_full.mjs</x:v>
      </x:c>
      <x:c r="F141" s="11" t="str">
        <x:v>NOT_CHECKED</x:v>
      </x:c>
    </x:row>
    <x:row r="142" ht="24" hidden="0" customHeight="1">
      <x:c r="A142" s="11" t="str">
        <x:v>INCOMING_V3:REQ-V3-051</x:v>
      </x:c>
      <x:c r="B142" s="11" t="str">
        <x:v>INCOMING_V3</x:v>
      </x:c>
      <x:c r="C142" s="11" t="str">
        <x:v>NUM-21 — Ba chu kỳ tháng–ngày–năm</x:v>
      </x:c>
      <x:c r="D142" s="11" t="str">
        <x:v>INT29-007</x:v>
      </x:c>
      <x:c r="E142" s="11" t="str">
        <x:v>docs/upgrade/sources/2026-10-29/v3/package/LIFE_CODE_OS_ALL_IN_ONE_V3_2026-10-29/08_ALL_IN_ONE_LAB/src/numerology_full.mjs</x:v>
      </x:c>
      <x:c r="F142" s="11" t="str">
        <x:v>NOT_CHECKED</x:v>
      </x:c>
    </x:row>
    <x:row r="143" ht="24" hidden="0" customHeight="1">
      <x:c r="A143" s="11" t="str">
        <x:v>INCOMING_V3:REQ-V3-052</x:v>
      </x:c>
      <x:c r="B143" s="11" t="str">
        <x:v>INCOMING_V3</x:v>
      </x:c>
      <x:c r="C143" s="11" t="str">
        <x:v>NUM-22 — Cầu nối đường đời–tên</x:v>
      </x:c>
      <x:c r="D143" s="11" t="str">
        <x:v>INT29-007</x:v>
      </x:c>
      <x:c r="E143" s="11" t="str">
        <x:v>docs/upgrade/sources/2026-10-29/v3/package/LIFE_CODE_OS_ALL_IN_ONE_V3_2026-10-29/08_ALL_IN_ONE_LAB/src/numerology_full.mjs</x:v>
      </x:c>
      <x:c r="F143" s="11" t="str">
        <x:v>NOT_CHECKED</x:v>
      </x:c>
    </x:row>
    <x:row r="144" ht="24" hidden="0" customHeight="1">
      <x:c r="A144" s="11" t="str">
        <x:v>INCOMING_V3:REQ-V3-053</x:v>
      </x:c>
      <x:c r="B144" s="11" t="str">
        <x:v>INCOMING_V3</x:v>
      </x:c>
      <x:c r="C144" s="11" t="str">
        <x:v>NUM-23 — Cầu nối nguyên âm–phụ âm</x:v>
      </x:c>
      <x:c r="D144" s="11" t="str">
        <x:v>INT29-007</x:v>
      </x:c>
      <x:c r="E144" s="11" t="str">
        <x:v>docs/upgrade/sources/2026-10-29/v3/package/LIFE_CODE_OS_ALL_IN_ONE_V3_2026-10-29/08_ALL_IN_ONE_LAB/src/numerology_full.mjs</x:v>
      </x:c>
      <x:c r="F144" s="11" t="str">
        <x:v>NOT_CHECKED</x:v>
      </x:c>
    </x:row>
    <x:row r="145" ht="24" hidden="0" customHeight="1">
      <x:c r="A145" s="11" t="str">
        <x:v>INCOMING_V3:REQ-V3-054</x:v>
      </x:c>
      <x:c r="B145" s="11" t="str">
        <x:v>INCOMING_V3</x:v>
      </x:c>
      <x:c r="C145" s="11" t="str">
        <x:v>Level 1 — Self Signal</x:v>
      </x:c>
      <x:c r="D145" s="11" t="str">
        <x:v>INT29-014</x:v>
      </x:c>
      <x:c r="E145" s="11" t="str">
        <x:v>docs/upgrade/sources/2026-10-29/v3/package/LIFE_CODE_OS_ALL_IN_ONE_V3_2026-10-29/06_PRODUCTS/LEVEL_1_REPORT_CONTRACT.md</x:v>
      </x:c>
      <x:c r="F145" s="11" t="str">
        <x:v>NOT_CHECKED</x:v>
      </x:c>
    </x:row>
    <x:row r="146" ht="24" hidden="0" customHeight="1">
      <x:c r="A146" s="11" t="str">
        <x:v>INCOMING_V3:REQ-V3-055</x:v>
      </x:c>
      <x:c r="B146" s="11" t="str">
        <x:v>INCOMING_V3</x:v>
      </x:c>
      <x:c r="C146" s="11" t="str">
        <x:v>Level 2 — Inner Architecture</x:v>
      </x:c>
      <x:c r="D146" s="11" t="str">
        <x:v>INT29-014</x:v>
      </x:c>
      <x:c r="E146" s="11" t="str">
        <x:v>docs/upgrade/sources/2026-10-29/v3/package/LIFE_CODE_OS_ALL_IN_ONE_V3_2026-10-29/06_PRODUCTS/LEVEL_2_REPORT_CONTRACT.md</x:v>
      </x:c>
      <x:c r="F146" s="11" t="str">
        <x:v>NOT_CHECKED</x:v>
      </x:c>
    </x:row>
    <x:row r="147" ht="24" hidden="0" customHeight="1">
      <x:c r="A147" s="11" t="str">
        <x:v>INCOMING_V3:REQ-V3-056</x:v>
      </x:c>
      <x:c r="B147" s="11" t="str">
        <x:v>INCOMING_V3</x:v>
      </x:c>
      <x:c r="C147" s="11" t="str">
        <x:v>Level 3 — Behavior Code</x:v>
      </x:c>
      <x:c r="D147" s="11" t="str">
        <x:v>INT29-014</x:v>
      </x:c>
      <x:c r="E147" s="11" t="str">
        <x:v>docs/upgrade/sources/2026-10-29/v3/package/LIFE_CODE_OS_ALL_IN_ONE_V3_2026-10-29/06_PRODUCTS/LEVEL_3_REPORT_CONTRACT.md</x:v>
      </x:c>
      <x:c r="F147" s="11" t="str">
        <x:v>NOT_CHECKED</x:v>
      </x:c>
    </x:row>
    <x:row r="148" ht="24" hidden="0" customHeight="1">
      <x:c r="A148" s="11" t="str">
        <x:v>INCOMING_V3:REQ-V3-057</x:v>
      </x:c>
      <x:c r="B148" s="11" t="str">
        <x:v>INCOMING_V3</x:v>
      </x:c>
      <x:c r="C148" s="11" t="str">
        <x:v>Level 4 — Work &amp; Wealth Code</x:v>
      </x:c>
      <x:c r="D148" s="11" t="str">
        <x:v>INT29-014</x:v>
      </x:c>
      <x:c r="E148" s="11" t="str">
        <x:v>docs/upgrade/sources/2026-10-29/v3/package/LIFE_CODE_OS_ALL_IN_ONE_V3_2026-10-29/06_PRODUCTS/LEVEL_4_REPORT_CONTRACT.md</x:v>
      </x:c>
      <x:c r="F148" s="11" t="str">
        <x:v>NOT_CHECKED</x:v>
      </x:c>
    </x:row>
    <x:row r="149" ht="24" hidden="0" customHeight="1">
      <x:c r="A149" s="11" t="str">
        <x:v>INCOMING_V3:REQ-V3-058</x:v>
      </x:c>
      <x:c r="B149" s="11" t="str">
        <x:v>INCOMING_V3</x:v>
      </x:c>
      <x:c r="C149" s="11" t="str">
        <x:v>Level 5 — Relationship Field</x:v>
      </x:c>
      <x:c r="D149" s="11" t="str">
        <x:v>INT29-014</x:v>
      </x:c>
      <x:c r="E149" s="11" t="str">
        <x:v>docs/upgrade/sources/2026-10-29/v3/package/LIFE_CODE_OS_ALL_IN_ONE_V3_2026-10-29/06_PRODUCTS/LEVEL_5_REPORT_CONTRACT.md</x:v>
      </x:c>
      <x:c r="F149" s="11" t="str">
        <x:v>NOT_CHECKED</x:v>
      </x:c>
    </x:row>
    <x:row r="150" ht="24" hidden="0" customHeight="1">
      <x:c r="A150" s="11" t="str">
        <x:v>INCOMING_V3:REQ-V3-059</x:v>
      </x:c>
      <x:c r="B150" s="11" t="str">
        <x:v>INCOMING_V3</x:v>
      </x:c>
      <x:c r="C150" s="11" t="str">
        <x:v>Level 6 — Life Timeline</x:v>
      </x:c>
      <x:c r="D150" s="11" t="str">
        <x:v>INT29-014</x:v>
      </x:c>
      <x:c r="E150" s="11" t="str">
        <x:v>docs/upgrade/sources/2026-10-29/v3/package/LIFE_CODE_OS_ALL_IN_ONE_V3_2026-10-29/06_PRODUCTS/LEVEL_6_REPORT_CONTRACT.md</x:v>
      </x:c>
      <x:c r="F150" s="11" t="str">
        <x:v>NOT_CHECKED</x:v>
      </x:c>
    </x:row>
    <x:row r="151" ht="24" hidden="0" customHeight="1">
      <x:c r="A151" s="11" t="str">
        <x:v>INCOMING_V3:REQ-V3-060</x:v>
      </x:c>
      <x:c r="B151" s="11" t="str">
        <x:v>INCOMING_V3</x:v>
      </x:c>
      <x:c r="C151" s="11" t="str">
        <x:v>Level 7 — Body Intelligence</x:v>
      </x:c>
      <x:c r="D151" s="11" t="str">
        <x:v>INT29-014</x:v>
      </x:c>
      <x:c r="E151" s="11" t="str">
        <x:v>docs/upgrade/sources/2026-10-29/v3/package/LIFE_CODE_OS_ALL_IN_ONE_V3_2026-10-29/06_PRODUCTS/LEVEL_7_REPORT_CONTRACT.md</x:v>
      </x:c>
      <x:c r="F151" s="11" t="str">
        <x:v>NOT_CHECKED</x:v>
      </x:c>
    </x:row>
    <x:row r="152" ht="24" hidden="0" customHeight="1">
      <x:c r="A152" s="11" t="str">
        <x:v>INCOMING_V3:REQ-V3-061</x:v>
      </x:c>
      <x:c r="B152" s="11" t="str">
        <x:v>INCOMING_V3</x:v>
      </x:c>
      <x:c r="C152" s="11" t="str">
        <x:v>Level 8 — Mission Path</x:v>
      </x:c>
      <x:c r="D152" s="11" t="str">
        <x:v>INT29-014</x:v>
      </x:c>
      <x:c r="E152" s="11" t="str">
        <x:v>docs/upgrade/sources/2026-10-29/v3/package/LIFE_CODE_OS_ALL_IN_ONE_V3_2026-10-29/06_PRODUCTS/LEVEL_8_REPORT_CONTRACT.md</x:v>
      </x:c>
      <x:c r="F152" s="11" t="str">
        <x:v>NOT_CHECKED</x:v>
      </x:c>
    </x:row>
    <x:row r="153" ht="24" hidden="0" customHeight="1">
      <x:c r="A153" s="11" t="str">
        <x:v>INCOMING_V3:REQ-V3-062</x:v>
      </x:c>
      <x:c r="B153" s="11" t="str">
        <x:v>INCOMING_V3</x:v>
      </x:c>
      <x:c r="C153" s="11" t="str">
        <x:v>Level 9 — Full Life Code</x:v>
      </x:c>
      <x:c r="D153" s="11" t="str">
        <x:v>INT29-014</x:v>
      </x:c>
      <x:c r="E153" s="11" t="str">
        <x:v>docs/upgrade/sources/2026-10-29/v3/package/LIFE_CODE_OS_ALL_IN_ONE_V3_2026-10-29/06_PRODUCTS/LEVEL_9_REPORT_CONTRACT.md</x:v>
      </x:c>
      <x:c r="F153" s="11" t="str">
        <x:v>NOT_CHECKED</x:v>
      </x:c>
    </x:row>
    <x:row r="154" ht="15" hidden="0" customHeight="1">
      <x:c r="A154" s="11" t="str">
        <x:v>PRODUCT_ID:LC-L1</x:v>
      </x:c>
      <x:c r="B154" s="11" t="str">
        <x:v>CANONICAL_REGISTRY</x:v>
      </x:c>
      <x:c r="C154" s="11" t="str">
        <x:v>Complete execution contract for LC-L1</x:v>
      </x:c>
      <x:c r="D154" s="11" t="str">
        <x:v>INT29-017</x:v>
      </x:c>
      <x:c r="E154" s="11" t="str">
        <x:v>docs/upgrade/2026-10-29/product/PRODUCT_EXECUTION_CONTRACTS.json#LC-L1</x:v>
      </x:c>
      <x:c r="F154" s="11" t="str">
        <x:v>NOT_CHECKED</x:v>
      </x:c>
    </x:row>
    <x:row r="155" ht="15" hidden="0" customHeight="1">
      <x:c r="A155" s="11" t="str">
        <x:v>PRODUCT_ID:LC-L2</x:v>
      </x:c>
      <x:c r="B155" s="11" t="str">
        <x:v>CANONICAL_REGISTRY</x:v>
      </x:c>
      <x:c r="C155" s="11" t="str">
        <x:v>Complete execution contract for LC-L2</x:v>
      </x:c>
      <x:c r="D155" s="11" t="str">
        <x:v>INT29-017</x:v>
      </x:c>
      <x:c r="E155" s="11" t="str">
        <x:v>docs/upgrade/2026-10-29/product/PRODUCT_EXECUTION_CONTRACTS.json#LC-L2</x:v>
      </x:c>
      <x:c r="F155" s="11" t="str">
        <x:v>NOT_CHECKED</x:v>
      </x:c>
    </x:row>
    <x:row r="156" ht="15" hidden="0" customHeight="1">
      <x:c r="A156" s="11" t="str">
        <x:v>PRODUCT_ID:LC-L3</x:v>
      </x:c>
      <x:c r="B156" s="11" t="str">
        <x:v>CANONICAL_REGISTRY</x:v>
      </x:c>
      <x:c r="C156" s="11" t="str">
        <x:v>Complete execution contract for LC-L3</x:v>
      </x:c>
      <x:c r="D156" s="11" t="str">
        <x:v>INT29-017</x:v>
      </x:c>
      <x:c r="E156" s="11" t="str">
        <x:v>docs/upgrade/2026-10-29/product/PRODUCT_EXECUTION_CONTRACTS.json#LC-L3</x:v>
      </x:c>
      <x:c r="F156" s="11" t="str">
        <x:v>NOT_CHECKED</x:v>
      </x:c>
    </x:row>
    <x:row r="157" ht="15" hidden="0" customHeight="1">
      <x:c r="A157" s="11" t="str">
        <x:v>PRODUCT_ID:LC-L4</x:v>
      </x:c>
      <x:c r="B157" s="11" t="str">
        <x:v>CANONICAL_REGISTRY</x:v>
      </x:c>
      <x:c r="C157" s="11" t="str">
        <x:v>Complete execution contract for LC-L4</x:v>
      </x:c>
      <x:c r="D157" s="11" t="str">
        <x:v>INT29-017</x:v>
      </x:c>
      <x:c r="E157" s="11" t="str">
        <x:v>docs/upgrade/2026-10-29/product/PRODUCT_EXECUTION_CONTRACTS.json#LC-L4</x:v>
      </x:c>
      <x:c r="F157" s="11" t="str">
        <x:v>NOT_CHECKED</x:v>
      </x:c>
    </x:row>
    <x:row r="158" ht="15" hidden="0" customHeight="1">
      <x:c r="A158" s="11" t="str">
        <x:v>PRODUCT_ID:LC-L5</x:v>
      </x:c>
      <x:c r="B158" s="11" t="str">
        <x:v>CANONICAL_REGISTRY</x:v>
      </x:c>
      <x:c r="C158" s="11" t="str">
        <x:v>Complete execution contract for LC-L5</x:v>
      </x:c>
      <x:c r="D158" s="11" t="str">
        <x:v>INT29-017</x:v>
      </x:c>
      <x:c r="E158" s="11" t="str">
        <x:v>docs/upgrade/2026-10-29/product/PRODUCT_EXECUTION_CONTRACTS.json#LC-L5</x:v>
      </x:c>
      <x:c r="F158" s="11" t="str">
        <x:v>NOT_CHECKED</x:v>
      </x:c>
    </x:row>
    <x:row r="159" ht="15" hidden="0" customHeight="1">
      <x:c r="A159" s="11" t="str">
        <x:v>PRODUCT_ID:LC-L6</x:v>
      </x:c>
      <x:c r="B159" s="11" t="str">
        <x:v>CANONICAL_REGISTRY</x:v>
      </x:c>
      <x:c r="C159" s="11" t="str">
        <x:v>Complete execution contract for LC-L6</x:v>
      </x:c>
      <x:c r="D159" s="11" t="str">
        <x:v>INT29-017</x:v>
      </x:c>
      <x:c r="E159" s="11" t="str">
        <x:v>docs/upgrade/2026-10-29/product/PRODUCT_EXECUTION_CONTRACTS.json#LC-L6</x:v>
      </x:c>
      <x:c r="F159" s="11" t="str">
        <x:v>NOT_CHECKED</x:v>
      </x:c>
    </x:row>
    <x:row r="160" ht="15" hidden="0" customHeight="1">
      <x:c r="A160" s="11" t="str">
        <x:v>PRODUCT_ID:LC-L7</x:v>
      </x:c>
      <x:c r="B160" s="11" t="str">
        <x:v>CANONICAL_REGISTRY</x:v>
      </x:c>
      <x:c r="C160" s="11" t="str">
        <x:v>Complete execution contract for LC-L7</x:v>
      </x:c>
      <x:c r="D160" s="11" t="str">
        <x:v>INT29-017</x:v>
      </x:c>
      <x:c r="E160" s="11" t="str">
        <x:v>docs/upgrade/2026-10-29/product/PRODUCT_EXECUTION_CONTRACTS.json#LC-L7</x:v>
      </x:c>
      <x:c r="F160" s="11" t="str">
        <x:v>NOT_CHECKED</x:v>
      </x:c>
    </x:row>
    <x:row r="161" ht="15" hidden="0" customHeight="1">
      <x:c r="A161" s="11" t="str">
        <x:v>PRODUCT_ID:LC-L8</x:v>
      </x:c>
      <x:c r="B161" s="11" t="str">
        <x:v>CANONICAL_REGISTRY</x:v>
      </x:c>
      <x:c r="C161" s="11" t="str">
        <x:v>Complete execution contract for LC-L8</x:v>
      </x:c>
      <x:c r="D161" s="11" t="str">
        <x:v>INT29-017</x:v>
      </x:c>
      <x:c r="E161" s="11" t="str">
        <x:v>docs/upgrade/2026-10-29/product/PRODUCT_EXECUTION_CONTRACTS.json#LC-L8</x:v>
      </x:c>
      <x:c r="F161" s="11" t="str">
        <x:v>NOT_CHECKED</x:v>
      </x:c>
    </x:row>
    <x:row r="162" ht="15" hidden="0" customHeight="1">
      <x:c r="A162" s="11" t="str">
        <x:v>PRODUCT_ID:LC-L9</x:v>
      </x:c>
      <x:c r="B162" s="11" t="str">
        <x:v>CANONICAL_REGISTRY</x:v>
      </x:c>
      <x:c r="C162" s="11" t="str">
        <x:v>Complete execution contract for LC-L9</x:v>
      </x:c>
      <x:c r="D162" s="11" t="str">
        <x:v>INT29-017</x:v>
      </x:c>
      <x:c r="E162" s="11" t="str">
        <x:v>docs/upgrade/2026-10-29/product/PRODUCT_EXECUTION_CONTRACTS.json#LC-L9</x:v>
      </x:c>
      <x:c r="F162" s="11" t="str">
        <x:v>NOT_CHECKED</x:v>
      </x:c>
    </x:row>
    <x:row r="163" ht="15" hidden="0" customHeight="1">
      <x:c r="A163" s="11" t="str">
        <x:v>PRODUCT_ID:LC-GUEST</x:v>
      </x:c>
      <x:c r="B163" s="11" t="str">
        <x:v>CANONICAL_REGISTRY</x:v>
      </x:c>
      <x:c r="C163" s="11" t="str">
        <x:v>Complete execution contract for LC-GUEST</x:v>
      </x:c>
      <x:c r="D163" s="11" t="str">
        <x:v>INT29-017</x:v>
      </x:c>
      <x:c r="E163" s="11" t="str">
        <x:v>docs/upgrade/2026-10-29/product/PRODUCT_EXECUTION_CONTRACTS.json#LC-GUEST</x:v>
      </x:c>
      <x:c r="F163" s="11" t="str">
        <x:v>NOT_CHECKED</x:v>
      </x:c>
    </x:row>
    <x:row r="164" ht="15" hidden="0" customHeight="1">
      <x:c r="A164" s="11" t="str">
        <x:v>PRODUCT_ID:LC-FREE</x:v>
      </x:c>
      <x:c r="B164" s="11" t="str">
        <x:v>CANONICAL_REGISTRY</x:v>
      </x:c>
      <x:c r="C164" s="11" t="str">
        <x:v>Complete execution contract for LC-FREE</x:v>
      </x:c>
      <x:c r="D164" s="11" t="str">
        <x:v>INT29-017</x:v>
      </x:c>
      <x:c r="E164" s="11" t="str">
        <x:v>docs/upgrade/2026-10-29/product/PRODUCT_EXECUTION_CONTRACTS.json#LC-FREE</x:v>
      </x:c>
      <x:c r="F164" s="11" t="str">
        <x:v>NOT_CHECKED</x:v>
      </x:c>
    </x:row>
    <x:row r="165" ht="15" hidden="0" customHeight="1">
      <x:c r="A165" s="11" t="str">
        <x:v>PRODUCT_ID:LC-COMPANION</x:v>
      </x:c>
      <x:c r="B165" s="11" t="str">
        <x:v>CANONICAL_REGISTRY</x:v>
      </x:c>
      <x:c r="C165" s="11" t="str">
        <x:v>Complete execution contract for LC-COMPANION</x:v>
      </x:c>
      <x:c r="D165" s="11" t="str">
        <x:v>INT29-017</x:v>
      </x:c>
      <x:c r="E165" s="11" t="str">
        <x:v>docs/upgrade/2026-10-29/product/PRODUCT_EXECUTION_CONTRACTS.json#LC-COMPANION</x:v>
      </x:c>
      <x:c r="F165" s="11" t="str">
        <x:v>NOT_CHECKED</x:v>
      </x:c>
    </x:row>
    <x:row r="166" ht="15" hidden="0" customHeight="1">
      <x:c r="A166" s="11" t="str">
        <x:v>PRODUCT_ID:LC-NUMBERS</x:v>
      </x:c>
      <x:c r="B166" s="11" t="str">
        <x:v>CANONICAL_REGISTRY</x:v>
      </x:c>
      <x:c r="C166" s="11" t="str">
        <x:v>Complete execution contract for LC-NUMBERS</x:v>
      </x:c>
      <x:c r="D166" s="11" t="str">
        <x:v>INT29-017</x:v>
      </x:c>
      <x:c r="E166" s="11" t="str">
        <x:v>docs/upgrade/2026-10-29/product/PRODUCT_EXECUTION_CONTRACTS.json#LC-NUMBERS</x:v>
      </x:c>
      <x:c r="F166" s="11" t="str">
        <x:v>NOT_CHECKED</x:v>
      </x:c>
    </x:row>
    <x:row r="167" ht="15" hidden="0" customHeight="1">
      <x:c r="A167" s="11" t="str">
        <x:v>PRODUCT_ID:LC-EXPERT</x:v>
      </x:c>
      <x:c r="B167" s="11" t="str">
        <x:v>CANONICAL_REGISTRY</x:v>
      </x:c>
      <x:c r="C167" s="11" t="str">
        <x:v>Complete execution contract for LC-EXPERT</x:v>
      </x:c>
      <x:c r="D167" s="11" t="str">
        <x:v>INT29-017</x:v>
      </x:c>
      <x:c r="E167" s="11" t="str">
        <x:v>docs/upgrade/2026-10-29/product/PRODUCT_EXECUTION_CONTRACTS.json#LC-EXPERT</x:v>
      </x:c>
      <x:c r="F167" s="11" t="str">
        <x:v>NOT_CHECKED</x:v>
      </x:c>
    </x:row>
    <x:row r="168" ht="15" hidden="0" customHeight="1">
      <x:c r="A168" s="11" t="str">
        <x:v>PRODUCT_ID:LC-PRACTICE</x:v>
      </x:c>
      <x:c r="B168" s="11" t="str">
        <x:v>CANONICAL_REGISTRY</x:v>
      </x:c>
      <x:c r="C168" s="11" t="str">
        <x:v>Complete execution contract for LC-PRACTICE</x:v>
      </x:c>
      <x:c r="D168" s="11" t="str">
        <x:v>INT29-017</x:v>
      </x:c>
      <x:c r="E168" s="11" t="str">
        <x:v>docs/upgrade/2026-10-29/product/PRODUCT_EXECUTION_CONTRACTS.json#LC-PRACTICE</x:v>
      </x:c>
      <x:c r="F168" s="11" t="str">
        <x:v>NOT_CHECKED</x:v>
      </x:c>
    </x:row>
    <x:row r="169" ht="15" hidden="0" customHeight="1">
      <x:c r="A169" s="11" t="str">
        <x:v>PRODUCT_ID:LC-ACADEMY-FOUNDATION</x:v>
      </x:c>
      <x:c r="B169" s="11" t="str">
        <x:v>CANONICAL_REGISTRY</x:v>
      </x:c>
      <x:c r="C169" s="11" t="str">
        <x:v>Complete execution contract for LC-ACADEMY-FOUNDATION</x:v>
      </x:c>
      <x:c r="D169" s="11" t="str">
        <x:v>INT29-017</x:v>
      </x:c>
      <x:c r="E169" s="11" t="str">
        <x:v>docs/upgrade/2026-10-29/product/PRODUCT_EXECUTION_CONTRACTS.json#LC-ACADEMY-FOUNDATION</x:v>
      </x:c>
      <x:c r="F169" s="11" t="str">
        <x:v>NOT_CHECKED</x:v>
      </x:c>
    </x:row>
    <x:row r="170" ht="15" hidden="0" customHeight="1">
      <x:c r="A170" s="11" t="str">
        <x:v>PRODUCT_ID:LC-ACADEMY-PRO</x:v>
      </x:c>
      <x:c r="B170" s="11" t="str">
        <x:v>CANONICAL_REGISTRY</x:v>
      </x:c>
      <x:c r="C170" s="11" t="str">
        <x:v>Complete execution contract for LC-ACADEMY-PRO</x:v>
      </x:c>
      <x:c r="D170" s="11" t="str">
        <x:v>INT29-017</x:v>
      </x:c>
      <x:c r="E170" s="11" t="str">
        <x:v>docs/upgrade/2026-10-29/product/PRODUCT_EXECUTION_CONTRACTS.json#LC-ACADEMY-PRO</x:v>
      </x:c>
      <x:c r="F170" s="11" t="str">
        <x:v>NOT_CHECKED</x:v>
      </x:c>
    </x:row>
    <x:row r="171" ht="15" hidden="0" customHeight="1">
      <x:c r="A171" s="11" t="str">
        <x:v>PRODUCT_ID:LC-ACADEMY-TRAINER</x:v>
      </x:c>
      <x:c r="B171" s="11" t="str">
        <x:v>CANONICAL_REGISTRY</x:v>
      </x:c>
      <x:c r="C171" s="11" t="str">
        <x:v>Complete execution contract for LC-ACADEMY-TRAINER</x:v>
      </x:c>
      <x:c r="D171" s="11" t="str">
        <x:v>INT29-017</x:v>
      </x:c>
      <x:c r="E171" s="11" t="str">
        <x:v>docs/upgrade/2026-10-29/product/PRODUCT_EXECUTION_CONTRACTS.json#LC-ACADEMY-TRAINER</x:v>
      </x:c>
      <x:c r="F171" s="11" t="str">
        <x:v>NOT_CHECKED</x:v>
      </x:c>
    </x:row>
    <x:row r="172" ht="15" hidden="0" customHeight="1">
      <x:c r="A172" s="11" t="str">
        <x:v>PRODUCT_ID:LC-FAMILY</x:v>
      </x:c>
      <x:c r="B172" s="11" t="str">
        <x:v>CANONICAL_REGISTRY</x:v>
      </x:c>
      <x:c r="C172" s="11" t="str">
        <x:v>Complete execution contract for LC-FAMILY</x:v>
      </x:c>
      <x:c r="D172" s="11" t="str">
        <x:v>INT29-017</x:v>
      </x:c>
      <x:c r="E172" s="11" t="str">
        <x:v>docs/upgrade/2026-10-29/product/PRODUCT_EXECUTION_CONTRACTS.json#LC-FAMILY</x:v>
      </x:c>
      <x:c r="F172" s="11" t="str">
        <x:v>NOT_CHECKED</x:v>
      </x:c>
    </x:row>
    <x:row r="173" ht="15" hidden="0" customHeight="1">
      <x:c r="A173" s="11" t="str">
        <x:v>PRODUCT_ID:LC-ORG</x:v>
      </x:c>
      <x:c r="B173" s="11" t="str">
        <x:v>CANONICAL_REGISTRY</x:v>
      </x:c>
      <x:c r="C173" s="11" t="str">
        <x:v>Complete execution contract for LC-ORG</x:v>
      </x:c>
      <x:c r="D173" s="11" t="str">
        <x:v>INT29-017</x:v>
      </x:c>
      <x:c r="E173" s="11" t="str">
        <x:v>docs/upgrade/2026-10-29/product/PRODUCT_EXECUTION_CONTRACTS.json#LC-ORG</x:v>
      </x:c>
      <x:c r="F173" s="11" t="str">
        <x:v>NOT_CHECKED</x:v>
      </x:c>
    </x:row>
    <x:row r="174" ht="15" hidden="0" customHeight="1">
      <x:c r="A174" s="11" t="str">
        <x:v>PRODUCT_ID:LC-API</x:v>
      </x:c>
      <x:c r="B174" s="11" t="str">
        <x:v>CANONICAL_REGISTRY</x:v>
      </x:c>
      <x:c r="C174" s="11" t="str">
        <x:v>Complete execution contract for LC-API</x:v>
      </x:c>
      <x:c r="D174" s="11" t="str">
        <x:v>INT29-017</x:v>
      </x:c>
      <x:c r="E174" s="11" t="str">
        <x:v>docs/upgrade/2026-10-29/product/PRODUCT_EXECUTION_CONTRACTS.json#LC-API</x:v>
      </x:c>
      <x:c r="F174" s="11" t="str">
        <x:v>NOT_CHECKED</x:v>
      </x:c>
    </x:row>
    <x:row r="175" ht="15" hidden="0" customHeight="1">
      <x:c r="A175" s="11" t="str">
        <x:v>PRODUCT_ID:LC-PUBLISH</x:v>
      </x:c>
      <x:c r="B175" s="11" t="str">
        <x:v>CANONICAL_REGISTRY</x:v>
      </x:c>
      <x:c r="C175" s="11" t="str">
        <x:v>Complete execution contract for LC-PUBLISH</x:v>
      </x:c>
      <x:c r="D175" s="11" t="str">
        <x:v>INT29-017</x:v>
      </x:c>
      <x:c r="E175" s="11" t="str">
        <x:v>docs/upgrade/2026-10-29/product/PRODUCT_EXECUTION_CONTRACTS.json#LC-PUBLISH</x:v>
      </x:c>
      <x:c r="F175" s="11" t="str">
        <x:v>NOT_CHECKED</x:v>
      </x:c>
    </x:row>
    <x:row r="176" ht="15" hidden="0" customHeight="1">
      <x:c r="A176" s="11" t="str">
        <x:v>PRODUCT_ID:LC-REGIONAL</x:v>
      </x:c>
      <x:c r="B176" s="11" t="str">
        <x:v>CANONICAL_REGISTRY</x:v>
      </x:c>
      <x:c r="C176" s="11" t="str">
        <x:v>Complete execution contract for LC-REGIONAL</x:v>
      </x:c>
      <x:c r="D176" s="11" t="str">
        <x:v>INT29-017</x:v>
      </x:c>
      <x:c r="E176" s="11" t="str">
        <x:v>docs/upgrade/2026-10-29/product/PRODUCT_EXECUTION_CONTRACTS.json#LC-REGIONAL</x:v>
      </x:c>
      <x:c r="F176" s="11" t="str">
        <x:v>NOT_CHECKED</x:v>
      </x:c>
    </x:row>
    <x:row r="177" ht="15" hidden="0" customHeight="1">
      <x:c r="A177" s="11" t="str">
        <x:v>PRODUCT_ID:LC-NUM-ATLAS</x:v>
      </x:c>
      <x:c r="B177" s="11" t="str">
        <x:v>CANONICAL_REGISTRY</x:v>
      </x:c>
      <x:c r="C177" s="11" t="str">
        <x:v>Complete execution contract for LC-NUM-ATLAS</x:v>
      </x:c>
      <x:c r="D177" s="11" t="str">
        <x:v>INT29-017</x:v>
      </x:c>
      <x:c r="E177" s="11" t="str">
        <x:v>docs/upgrade/2026-10-29/product/PRODUCT_EXECUTION_CONTRACTS.json#LC-NUM-ATLAS</x:v>
      </x:c>
      <x:c r="F177" s="11" t="str">
        <x:v>NOT_CHECKED</x:v>
      </x:c>
    </x:row>
    <x:row r="178" ht="15" hidden="0" customHeight="1">
      <x:c r="A178" s="11" t="str">
        <x:v>PRODUCT_ID:LC-LIFE-MAP</x:v>
      </x:c>
      <x:c r="B178" s="11" t="str">
        <x:v>CANONICAL_REGISTRY</x:v>
      </x:c>
      <x:c r="C178" s="11" t="str">
        <x:v>Complete execution contract for LC-LIFE-MAP</x:v>
      </x:c>
      <x:c r="D178" s="11" t="str">
        <x:v>INT29-017</x:v>
      </x:c>
      <x:c r="E178" s="11" t="str">
        <x:v>docs/upgrade/2026-10-29/product/PRODUCT_EXECUTION_CONTRACTS.json#LC-LIFE-MAP</x:v>
      </x:c>
      <x:c r="F178" s="11" t="str">
        <x:v>NOT_CHECKED</x:v>
      </x:c>
    </x:row>
    <x:row r="179" ht="15" hidden="0" customHeight="1">
      <x:c r="A179" s="11" t="str">
        <x:v>PRODUCT_ID:LC-LEGACY</x:v>
      </x:c>
      <x:c r="B179" s="11" t="str">
        <x:v>CANONICAL_REGISTRY</x:v>
      </x:c>
      <x:c r="C179" s="11" t="str">
        <x:v>Complete execution contract for LC-LEGACY</x:v>
      </x:c>
      <x:c r="D179" s="11" t="str">
        <x:v>INT29-017</x:v>
      </x:c>
      <x:c r="E179" s="11" t="str">
        <x:v>docs/upgrade/2026-10-29/product/PRODUCT_EXECUTION_CONTRACTS.json#LC-LEGACY</x:v>
      </x:c>
      <x:c r="F179" s="11" t="str">
        <x:v>NOT_CHECKED</x:v>
      </x:c>
    </x:row>
    <x:row r="180" ht="15" hidden="0" customHeight="1">
      <x:c r="A180" s="11" t="str">
        <x:v>PRODUCT_ID:LC-REGION-KIT</x:v>
      </x:c>
      <x:c r="B180" s="11" t="str">
        <x:v>CANONICAL_REGISTRY</x:v>
      </x:c>
      <x:c r="C180" s="11" t="str">
        <x:v>Complete execution contract for LC-REGION-KIT</x:v>
      </x:c>
      <x:c r="D180" s="11" t="str">
        <x:v>INT29-017</x:v>
      </x:c>
      <x:c r="E180" s="11" t="str">
        <x:v>docs/upgrade/2026-10-29/product/PRODUCT_EXECUTION_CONTRACTS.json#LC-REGION-KIT</x:v>
      </x:c>
      <x:c r="F180" s="11" t="str">
        <x:v>NOT_CHECKED</x:v>
      </x:c>
    </x:row>
    <x:row r="181" ht="15" hidden="0" customHeight="1">
      <x:c r="A181" s="11" t="str">
        <x:v>PRODUCT_ID:LC-RESEARCH-STUDIO</x:v>
      </x:c>
      <x:c r="B181" s="11" t="str">
        <x:v>CANONICAL_REGISTRY</x:v>
      </x:c>
      <x:c r="C181" s="11" t="str">
        <x:v>Complete execution contract for LC-RESEARCH-STUDIO</x:v>
      </x:c>
      <x:c r="D181" s="11" t="str">
        <x:v>INT29-017</x:v>
      </x:c>
      <x:c r="E181" s="11" t="str">
        <x:v>docs/upgrade/2026-10-29/product/PRODUCT_EXECUTION_CONTRACTS.json#LC-RESEARCH-STUDIO</x:v>
      </x:c>
      <x:c r="F181" s="11" t="str">
        <x:v>NOT_CHECKED</x:v>
      </x:c>
    </x:row>
    <x:row r="182" ht="15" hidden="0" customHeight="1">
      <x:c r="A182" s="11" t="str">
        <x:v>SCREEN_ID:UI-01</x:v>
      </x:c>
      <x:c r="B182" s="11" t="str">
        <x:v>CANONICAL_REGISTRY</x:v>
      </x:c>
      <x:c r="C182" s="11" t="str">
        <x:v>Complete execution contract for UI-01</x:v>
      </x:c>
      <x:c r="D182" s="11" t="str">
        <x:v>INT29-015</x:v>
      </x:c>
      <x:c r="E182" s="11" t="str">
        <x:v>docs/upgrade/2026-10-29/product/SCREEN_EXECUTION_CONTRACTS.json#UI-01</x:v>
      </x:c>
      <x:c r="F182" s="11" t="str">
        <x:v>NOT_CHECKED</x:v>
      </x:c>
    </x:row>
    <x:row r="183" ht="15" hidden="0" customHeight="1">
      <x:c r="A183" s="11" t="str">
        <x:v>SCREEN_ID:UI-02</x:v>
      </x:c>
      <x:c r="B183" s="11" t="str">
        <x:v>CANONICAL_REGISTRY</x:v>
      </x:c>
      <x:c r="C183" s="11" t="str">
        <x:v>Complete execution contract for UI-02</x:v>
      </x:c>
      <x:c r="D183" s="11" t="str">
        <x:v>INT29-015</x:v>
      </x:c>
      <x:c r="E183" s="11" t="str">
        <x:v>docs/upgrade/2026-10-29/product/SCREEN_EXECUTION_CONTRACTS.json#UI-02</x:v>
      </x:c>
      <x:c r="F183" s="11" t="str">
        <x:v>NOT_CHECKED</x:v>
      </x:c>
    </x:row>
    <x:row r="184" ht="15" hidden="0" customHeight="1">
      <x:c r="A184" s="11" t="str">
        <x:v>SCREEN_ID:UI-03</x:v>
      </x:c>
      <x:c r="B184" s="11" t="str">
        <x:v>CANONICAL_REGISTRY</x:v>
      </x:c>
      <x:c r="C184" s="11" t="str">
        <x:v>Complete execution contract for UI-03</x:v>
      </x:c>
      <x:c r="D184" s="11" t="str">
        <x:v>INT29-015</x:v>
      </x:c>
      <x:c r="E184" s="11" t="str">
        <x:v>docs/upgrade/2026-10-29/product/SCREEN_EXECUTION_CONTRACTS.json#UI-03</x:v>
      </x:c>
      <x:c r="F184" s="11" t="str">
        <x:v>NOT_CHECKED</x:v>
      </x:c>
    </x:row>
    <x:row r="185" ht="15" hidden="0" customHeight="1">
      <x:c r="A185" s="11" t="str">
        <x:v>SCREEN_ID:UI-04</x:v>
      </x:c>
      <x:c r="B185" s="11" t="str">
        <x:v>CANONICAL_REGISTRY</x:v>
      </x:c>
      <x:c r="C185" s="11" t="str">
        <x:v>Complete execution contract for UI-04</x:v>
      </x:c>
      <x:c r="D185" s="11" t="str">
        <x:v>INT29-015</x:v>
      </x:c>
      <x:c r="E185" s="11" t="str">
        <x:v>docs/upgrade/2026-10-29/product/SCREEN_EXECUTION_CONTRACTS.json#UI-04</x:v>
      </x:c>
      <x:c r="F185" s="11" t="str">
        <x:v>NOT_CHECKED</x:v>
      </x:c>
    </x:row>
    <x:row r="186" ht="15" hidden="0" customHeight="1">
      <x:c r="A186" s="11" t="str">
        <x:v>SCREEN_ID:UI-05</x:v>
      </x:c>
      <x:c r="B186" s="11" t="str">
        <x:v>CANONICAL_REGISTRY</x:v>
      </x:c>
      <x:c r="C186" s="11" t="str">
        <x:v>Complete execution contract for UI-05</x:v>
      </x:c>
      <x:c r="D186" s="11" t="str">
        <x:v>INT29-015</x:v>
      </x:c>
      <x:c r="E186" s="11" t="str">
        <x:v>docs/upgrade/2026-10-29/product/SCREEN_EXECUTION_CONTRACTS.json#UI-05</x:v>
      </x:c>
      <x:c r="F186" s="11" t="str">
        <x:v>NOT_CHECKED</x:v>
      </x:c>
    </x:row>
    <x:row r="187" ht="15" hidden="0" customHeight="1">
      <x:c r="A187" s="11" t="str">
        <x:v>SCREEN_ID:UI-06</x:v>
      </x:c>
      <x:c r="B187" s="11" t="str">
        <x:v>CANONICAL_REGISTRY</x:v>
      </x:c>
      <x:c r="C187" s="11" t="str">
        <x:v>Complete execution contract for UI-06</x:v>
      </x:c>
      <x:c r="D187" s="11" t="str">
        <x:v>INT29-015</x:v>
      </x:c>
      <x:c r="E187" s="11" t="str">
        <x:v>docs/upgrade/2026-10-29/product/SCREEN_EXECUTION_CONTRACTS.json#UI-06</x:v>
      </x:c>
      <x:c r="F187" s="11" t="str">
        <x:v>NOT_CHECKED</x:v>
      </x:c>
    </x:row>
    <x:row r="188" ht="15" hidden="0" customHeight="1">
      <x:c r="A188" s="11" t="str">
        <x:v>SCREEN_ID:UI-07</x:v>
      </x:c>
      <x:c r="B188" s="11" t="str">
        <x:v>CANONICAL_REGISTRY</x:v>
      </x:c>
      <x:c r="C188" s="11" t="str">
        <x:v>Complete execution contract for UI-07</x:v>
      </x:c>
      <x:c r="D188" s="11" t="str">
        <x:v>INT29-015</x:v>
      </x:c>
      <x:c r="E188" s="11" t="str">
        <x:v>docs/upgrade/2026-10-29/product/SCREEN_EXECUTION_CONTRACTS.json#UI-07</x:v>
      </x:c>
      <x:c r="F188" s="11" t="str">
        <x:v>NOT_CHECKED</x:v>
      </x:c>
    </x:row>
    <x:row r="189" ht="15" hidden="0" customHeight="1">
      <x:c r="A189" s="11" t="str">
        <x:v>SCREEN_ID:UI-08</x:v>
      </x:c>
      <x:c r="B189" s="11" t="str">
        <x:v>CANONICAL_REGISTRY</x:v>
      </x:c>
      <x:c r="C189" s="11" t="str">
        <x:v>Complete execution contract for UI-08</x:v>
      </x:c>
      <x:c r="D189" s="11" t="str">
        <x:v>INT29-015</x:v>
      </x:c>
      <x:c r="E189" s="11" t="str">
        <x:v>docs/upgrade/2026-10-29/product/SCREEN_EXECUTION_CONTRACTS.json#UI-08</x:v>
      </x:c>
      <x:c r="F189" s="11" t="str">
        <x:v>NOT_CHECKED</x:v>
      </x:c>
    </x:row>
    <x:row r="190" ht="15" hidden="0" customHeight="1">
      <x:c r="A190" s="11" t="str">
        <x:v>SCREEN_ID:UI-09</x:v>
      </x:c>
      <x:c r="B190" s="11" t="str">
        <x:v>CANONICAL_REGISTRY</x:v>
      </x:c>
      <x:c r="C190" s="11" t="str">
        <x:v>Complete execution contract for UI-09</x:v>
      </x:c>
      <x:c r="D190" s="11" t="str">
        <x:v>INT29-015</x:v>
      </x:c>
      <x:c r="E190" s="11" t="str">
        <x:v>docs/upgrade/2026-10-29/product/SCREEN_EXECUTION_CONTRACTS.json#UI-09</x:v>
      </x:c>
      <x:c r="F190" s="11" t="str">
        <x:v>NOT_CHECKED</x:v>
      </x:c>
    </x:row>
    <x:row r="191" ht="15" hidden="0" customHeight="1">
      <x:c r="A191" s="11" t="str">
        <x:v>SCREEN_ID:UI-10</x:v>
      </x:c>
      <x:c r="B191" s="11" t="str">
        <x:v>CANONICAL_REGISTRY</x:v>
      </x:c>
      <x:c r="C191" s="11" t="str">
        <x:v>Complete execution contract for UI-10</x:v>
      </x:c>
      <x:c r="D191" s="11" t="str">
        <x:v>INT29-015</x:v>
      </x:c>
      <x:c r="E191" s="11" t="str">
        <x:v>docs/upgrade/2026-10-29/product/SCREEN_EXECUTION_CONTRACTS.json#UI-10</x:v>
      </x:c>
      <x:c r="F191" s="11" t="str">
        <x:v>NOT_CHECKED</x:v>
      </x:c>
    </x:row>
    <x:row r="192" ht="15" hidden="0" customHeight="1">
      <x:c r="A192" s="11" t="str">
        <x:v>SCREEN_ID:UI-11</x:v>
      </x:c>
      <x:c r="B192" s="11" t="str">
        <x:v>CANONICAL_REGISTRY</x:v>
      </x:c>
      <x:c r="C192" s="11" t="str">
        <x:v>Complete execution contract for UI-11</x:v>
      </x:c>
      <x:c r="D192" s="11" t="str">
        <x:v>INT29-015</x:v>
      </x:c>
      <x:c r="E192" s="11" t="str">
        <x:v>docs/upgrade/2026-10-29/product/SCREEN_EXECUTION_CONTRACTS.json#UI-11</x:v>
      </x:c>
      <x:c r="F192" s="11" t="str">
        <x:v>NOT_CHECKED</x:v>
      </x:c>
    </x:row>
    <x:row r="193" ht="15" hidden="0" customHeight="1">
      <x:c r="A193" s="11" t="str">
        <x:v>SCREEN_ID:UI-12</x:v>
      </x:c>
      <x:c r="B193" s="11" t="str">
        <x:v>CANONICAL_REGISTRY</x:v>
      </x:c>
      <x:c r="C193" s="11" t="str">
        <x:v>Complete execution contract for UI-12</x:v>
      </x:c>
      <x:c r="D193" s="11" t="str">
        <x:v>INT29-015</x:v>
      </x:c>
      <x:c r="E193" s="11" t="str">
        <x:v>docs/upgrade/2026-10-29/product/SCREEN_EXECUTION_CONTRACTS.json#UI-12</x:v>
      </x:c>
      <x:c r="F193" s="11" t="str">
        <x:v>NOT_CHECKED</x:v>
      </x:c>
    </x:row>
    <x:row r="194" ht="15" hidden="0" customHeight="1">
      <x:c r="A194" s="11" t="str">
        <x:v>SCREEN_ID:UI-13</x:v>
      </x:c>
      <x:c r="B194" s="11" t="str">
        <x:v>CANONICAL_REGISTRY</x:v>
      </x:c>
      <x:c r="C194" s="11" t="str">
        <x:v>Complete execution contract for UI-13</x:v>
      </x:c>
      <x:c r="D194" s="11" t="str">
        <x:v>INT29-015</x:v>
      </x:c>
      <x:c r="E194" s="11" t="str">
        <x:v>docs/upgrade/2026-10-29/product/SCREEN_EXECUTION_CONTRACTS.json#UI-13</x:v>
      </x:c>
      <x:c r="F194" s="11" t="str">
        <x:v>NOT_CHECKED</x:v>
      </x:c>
    </x:row>
    <x:row r="195" ht="15" hidden="0" customHeight="1">
      <x:c r="A195" s="11" t="str">
        <x:v>SCREEN_ID:UI-14</x:v>
      </x:c>
      <x:c r="B195" s="11" t="str">
        <x:v>CANONICAL_REGISTRY</x:v>
      </x:c>
      <x:c r="C195" s="11" t="str">
        <x:v>Complete execution contract for UI-14</x:v>
      </x:c>
      <x:c r="D195" s="11" t="str">
        <x:v>INT29-015</x:v>
      </x:c>
      <x:c r="E195" s="11" t="str">
        <x:v>docs/upgrade/2026-10-29/product/SCREEN_EXECUTION_CONTRACTS.json#UI-14</x:v>
      </x:c>
      <x:c r="F195" s="11" t="str">
        <x:v>NOT_CHECKED</x:v>
      </x:c>
    </x:row>
    <x:row r="196" ht="15" hidden="0" customHeight="1">
      <x:c r="A196" s="11" t="str">
        <x:v>SCREEN_ID:UI-15</x:v>
      </x:c>
      <x:c r="B196" s="11" t="str">
        <x:v>CANONICAL_REGISTRY</x:v>
      </x:c>
      <x:c r="C196" s="11" t="str">
        <x:v>Complete execution contract for UI-15</x:v>
      </x:c>
      <x:c r="D196" s="11" t="str">
        <x:v>INT29-015</x:v>
      </x:c>
      <x:c r="E196" s="11" t="str">
        <x:v>docs/upgrade/2026-10-29/product/SCREEN_EXECUTION_CONTRACTS.json#UI-15</x:v>
      </x:c>
      <x:c r="F196" s="11" t="str">
        <x:v>NOT_CHECKED</x:v>
      </x:c>
    </x:row>
    <x:row r="197" ht="15" hidden="0" customHeight="1">
      <x:c r="A197" s="11" t="str">
        <x:v>SCREEN_ID:UI-16</x:v>
      </x:c>
      <x:c r="B197" s="11" t="str">
        <x:v>CANONICAL_REGISTRY</x:v>
      </x:c>
      <x:c r="C197" s="11" t="str">
        <x:v>Complete execution contract for UI-16</x:v>
      </x:c>
      <x:c r="D197" s="11" t="str">
        <x:v>INT29-015</x:v>
      </x:c>
      <x:c r="E197" s="11" t="str">
        <x:v>docs/upgrade/2026-10-29/product/SCREEN_EXECUTION_CONTRACTS.json#UI-16</x:v>
      </x:c>
      <x:c r="F197" s="11" t="str">
        <x:v>NOT_CHECKED</x:v>
      </x:c>
    </x:row>
    <x:row r="198" ht="15" hidden="0" customHeight="1">
      <x:c r="A198" s="11" t="str">
        <x:v>SCREEN_ID:UI-17</x:v>
      </x:c>
      <x:c r="B198" s="11" t="str">
        <x:v>CANONICAL_REGISTRY</x:v>
      </x:c>
      <x:c r="C198" s="11" t="str">
        <x:v>Complete execution contract for UI-17</x:v>
      </x:c>
      <x:c r="D198" s="11" t="str">
        <x:v>INT29-015</x:v>
      </x:c>
      <x:c r="E198" s="11" t="str">
        <x:v>docs/upgrade/2026-10-29/product/SCREEN_EXECUTION_CONTRACTS.json#UI-17</x:v>
      </x:c>
      <x:c r="F198" s="11" t="str">
        <x:v>NOT_CHECKED</x:v>
      </x:c>
    </x:row>
    <x:row r="199" ht="15" hidden="0" customHeight="1">
      <x:c r="A199" s="11" t="str">
        <x:v>SCREEN_ID:UI-18</x:v>
      </x:c>
      <x:c r="B199" s="11" t="str">
        <x:v>CANONICAL_REGISTRY</x:v>
      </x:c>
      <x:c r="C199" s="11" t="str">
        <x:v>Complete execution contract for UI-18</x:v>
      </x:c>
      <x:c r="D199" s="11" t="str">
        <x:v>INT29-015</x:v>
      </x:c>
      <x:c r="E199" s="11" t="str">
        <x:v>docs/upgrade/2026-10-29/product/SCREEN_EXECUTION_CONTRACTS.json#UI-18</x:v>
      </x:c>
      <x:c r="F199" s="11" t="str">
        <x:v>NOT_CHECKED</x:v>
      </x:c>
    </x:row>
    <x:row r="200" ht="15" hidden="0" customHeight="1">
      <x:c r="A200" s="11" t="str">
        <x:v>SCREEN_ID:UI-19</x:v>
      </x:c>
      <x:c r="B200" s="11" t="str">
        <x:v>CANONICAL_REGISTRY</x:v>
      </x:c>
      <x:c r="C200" s="11" t="str">
        <x:v>Complete execution contract for UI-19</x:v>
      </x:c>
      <x:c r="D200" s="11" t="str">
        <x:v>INT29-015</x:v>
      </x:c>
      <x:c r="E200" s="11" t="str">
        <x:v>docs/upgrade/2026-10-29/product/SCREEN_EXECUTION_CONTRACTS.json#UI-19</x:v>
      </x:c>
      <x:c r="F200" s="11" t="str">
        <x:v>NOT_CHECKED</x:v>
      </x:c>
    </x:row>
    <x:row r="201" ht="15" hidden="0" customHeight="1">
      <x:c r="A201" s="11" t="str">
        <x:v>SCREEN_ID:UI-20</x:v>
      </x:c>
      <x:c r="B201" s="11" t="str">
        <x:v>CANONICAL_REGISTRY</x:v>
      </x:c>
      <x:c r="C201" s="11" t="str">
        <x:v>Complete execution contract for UI-20</x:v>
      </x:c>
      <x:c r="D201" s="11" t="str">
        <x:v>INT29-015</x:v>
      </x:c>
      <x:c r="E201" s="11" t="str">
        <x:v>docs/upgrade/2026-10-29/product/SCREEN_EXECUTION_CONTRACTS.json#UI-20</x:v>
      </x:c>
      <x:c r="F201" s="11" t="str">
        <x:v>NOT_CHECKED</x:v>
      </x:c>
    </x:row>
    <x:row r="202" ht="15" hidden="0" customHeight="1">
      <x:c r="A202" s="11" t="str">
        <x:v>SCREEN_ID:UI-21</x:v>
      </x:c>
      <x:c r="B202" s="11" t="str">
        <x:v>CANONICAL_REGISTRY</x:v>
      </x:c>
      <x:c r="C202" s="11" t="str">
        <x:v>Complete execution contract for UI-21</x:v>
      </x:c>
      <x:c r="D202" s="11" t="str">
        <x:v>INT29-015</x:v>
      </x:c>
      <x:c r="E202" s="11" t="str">
        <x:v>docs/upgrade/2026-10-29/product/SCREEN_EXECUTION_CONTRACTS.json#UI-21</x:v>
      </x:c>
      <x:c r="F202" s="11" t="str">
        <x:v>NOT_CHECKED</x:v>
      </x:c>
    </x:row>
    <x:row r="203" ht="15" hidden="0" customHeight="1">
      <x:c r="A203" s="11" t="str">
        <x:v>SCREEN_ID:UI-22</x:v>
      </x:c>
      <x:c r="B203" s="11" t="str">
        <x:v>CANONICAL_REGISTRY</x:v>
      </x:c>
      <x:c r="C203" s="11" t="str">
        <x:v>Complete execution contract for UI-22</x:v>
      </x:c>
      <x:c r="D203" s="11" t="str">
        <x:v>INT29-015</x:v>
      </x:c>
      <x:c r="E203" s="11" t="str">
        <x:v>docs/upgrade/2026-10-29/product/SCREEN_EXECUTION_CONTRACTS.json#UI-22</x:v>
      </x:c>
      <x:c r="F203" s="11" t="str">
        <x:v>NOT_CHECKED</x:v>
      </x:c>
    </x:row>
    <x:row r="204" ht="15" hidden="0" customHeight="1">
      <x:c r="A204" s="11" t="str">
        <x:v>SCREEN_ID:UI-23</x:v>
      </x:c>
      <x:c r="B204" s="11" t="str">
        <x:v>CANONICAL_REGISTRY</x:v>
      </x:c>
      <x:c r="C204" s="11" t="str">
        <x:v>Complete execution contract for UI-23</x:v>
      </x:c>
      <x:c r="D204" s="11" t="str">
        <x:v>INT29-015</x:v>
      </x:c>
      <x:c r="E204" s="11" t="str">
        <x:v>docs/upgrade/2026-10-29/product/SCREEN_EXECUTION_CONTRACTS.json#UI-23</x:v>
      </x:c>
      <x:c r="F204" s="11" t="str">
        <x:v>NOT_CHECKED</x:v>
      </x:c>
    </x:row>
    <x:row r="205" ht="15" hidden="0" customHeight="1">
      <x:c r="A205" s="11" t="str">
        <x:v>SCREEN_ID:UI-24</x:v>
      </x:c>
      <x:c r="B205" s="11" t="str">
        <x:v>CANONICAL_REGISTRY</x:v>
      </x:c>
      <x:c r="C205" s="11" t="str">
        <x:v>Complete execution contract for UI-24</x:v>
      </x:c>
      <x:c r="D205" s="11" t="str">
        <x:v>INT29-015</x:v>
      </x:c>
      <x:c r="E205" s="11" t="str">
        <x:v>docs/upgrade/2026-10-29/product/SCREEN_EXECUTION_CONTRACTS.json#UI-24</x:v>
      </x:c>
      <x:c r="F205" s="11" t="str">
        <x:v>NOT_CHECKED</x:v>
      </x:c>
    </x:row>
    <x:row r="206" ht="15" hidden="0" customHeight="1">
      <x:c r="A206" s="11" t="str">
        <x:v>SCREEN_ID:UI-25</x:v>
      </x:c>
      <x:c r="B206" s="11" t="str">
        <x:v>CANONICAL_REGISTRY</x:v>
      </x:c>
      <x:c r="C206" s="11" t="str">
        <x:v>Complete execution contract for UI-25</x:v>
      </x:c>
      <x:c r="D206" s="11" t="str">
        <x:v>INT29-015</x:v>
      </x:c>
      <x:c r="E206" s="11" t="str">
        <x:v>docs/upgrade/2026-10-29/product/SCREEN_EXECUTION_CONTRACTS.json#UI-25</x:v>
      </x:c>
      <x:c r="F206" s="11" t="str">
        <x:v>NOT_CHECKED</x:v>
      </x:c>
    </x:row>
    <x:row r="207" ht="15" hidden="0" customHeight="1">
      <x:c r="A207" s="11" t="str">
        <x:v>SCREEN_ID:UI-26</x:v>
      </x:c>
      <x:c r="B207" s="11" t="str">
        <x:v>CANONICAL_REGISTRY</x:v>
      </x:c>
      <x:c r="C207" s="11" t="str">
        <x:v>Complete execution contract for UI-26</x:v>
      </x:c>
      <x:c r="D207" s="11" t="str">
        <x:v>INT29-015</x:v>
      </x:c>
      <x:c r="E207" s="11" t="str">
        <x:v>docs/upgrade/2026-10-29/product/SCREEN_EXECUTION_CONTRACTS.json#UI-26</x:v>
      </x:c>
      <x:c r="F207" s="11" t="str">
        <x:v>NOT_CHECKED</x:v>
      </x:c>
    </x:row>
    <x:row r="208" ht="15" hidden="0" customHeight="1">
      <x:c r="A208" s="11" t="str">
        <x:v>SCREEN_ID:UI-27</x:v>
      </x:c>
      <x:c r="B208" s="11" t="str">
        <x:v>CANONICAL_REGISTRY</x:v>
      </x:c>
      <x:c r="C208" s="11" t="str">
        <x:v>Complete execution contract for UI-27</x:v>
      </x:c>
      <x:c r="D208" s="11" t="str">
        <x:v>INT29-015</x:v>
      </x:c>
      <x:c r="E208" s="11" t="str">
        <x:v>docs/upgrade/2026-10-29/product/SCREEN_EXECUTION_CONTRACTS.json#UI-27</x:v>
      </x:c>
      <x:c r="F208" s="11" t="str">
        <x:v>NOT_CHECKED</x:v>
      </x:c>
    </x:row>
    <x:row r="209" ht="15" hidden="0" customHeight="1">
      <x:c r="A209" s="11" t="str">
        <x:v>SCREEN_ID:UI-28</x:v>
      </x:c>
      <x:c r="B209" s="11" t="str">
        <x:v>CANONICAL_REGISTRY</x:v>
      </x:c>
      <x:c r="C209" s="11" t="str">
        <x:v>Complete execution contract for UI-28</x:v>
      </x:c>
      <x:c r="D209" s="11" t="str">
        <x:v>INT29-015</x:v>
      </x:c>
      <x:c r="E209" s="11" t="str">
        <x:v>docs/upgrade/2026-10-29/product/SCREEN_EXECUTION_CONTRACTS.json#UI-28</x:v>
      </x:c>
      <x:c r="F209" s="11" t="str">
        <x:v>NOT_CHECKED</x:v>
      </x:c>
    </x:row>
    <x:row r="210" ht="15" hidden="0" customHeight="1">
      <x:c r="A210" s="11" t="str">
        <x:v>SCREEN_ID:UI-29</x:v>
      </x:c>
      <x:c r="B210" s="11" t="str">
        <x:v>CANONICAL_REGISTRY</x:v>
      </x:c>
      <x:c r="C210" s="11" t="str">
        <x:v>Complete execution contract for UI-29</x:v>
      </x:c>
      <x:c r="D210" s="11" t="str">
        <x:v>INT29-015</x:v>
      </x:c>
      <x:c r="E210" s="11" t="str">
        <x:v>docs/upgrade/2026-10-29/product/SCREEN_EXECUTION_CONTRACTS.json#UI-29</x:v>
      </x:c>
      <x:c r="F210" s="11" t="str">
        <x:v>NOT_CHECKED</x:v>
      </x:c>
    </x:row>
    <x:row r="211" ht="15" hidden="0" customHeight="1">
      <x:c r="A211" s="11" t="str">
        <x:v>SCREEN_ID:UI-30</x:v>
      </x:c>
      <x:c r="B211" s="11" t="str">
        <x:v>CANONICAL_REGISTRY</x:v>
      </x:c>
      <x:c r="C211" s="11" t="str">
        <x:v>Complete execution contract for UI-30</x:v>
      </x:c>
      <x:c r="D211" s="11" t="str">
        <x:v>INT29-015</x:v>
      </x:c>
      <x:c r="E211" s="11" t="str">
        <x:v>docs/upgrade/2026-10-29/product/SCREEN_EXECUTION_CONTRACTS.json#UI-30</x:v>
      </x:c>
      <x:c r="F211" s="11" t="str">
        <x:v>NOT_CHECKED</x:v>
      </x:c>
    </x:row>
    <x:row r="212" ht="15" hidden="0" customHeight="1">
      <x:c r="A212" s="11" t="str">
        <x:v>SCREEN_ID:UI-31</x:v>
      </x:c>
      <x:c r="B212" s="11" t="str">
        <x:v>CANONICAL_REGISTRY</x:v>
      </x:c>
      <x:c r="C212" s="11" t="str">
        <x:v>Complete execution contract for UI-31</x:v>
      </x:c>
      <x:c r="D212" s="11" t="str">
        <x:v>INT29-015</x:v>
      </x:c>
      <x:c r="E212" s="11" t="str">
        <x:v>docs/upgrade/2026-10-29/product/SCREEN_EXECUTION_CONTRACTS.json#UI-31</x:v>
      </x:c>
      <x:c r="F212" s="11" t="str">
        <x:v>NOT_CHECKED</x:v>
      </x:c>
    </x:row>
    <x:row r="213" ht="15" hidden="0" customHeight="1">
      <x:c r="A213" s="11" t="str">
        <x:v>SCREEN_ID:UI-32</x:v>
      </x:c>
      <x:c r="B213" s="11" t="str">
        <x:v>CANONICAL_REGISTRY</x:v>
      </x:c>
      <x:c r="C213" s="11" t="str">
        <x:v>Complete execution contract for UI-32</x:v>
      </x:c>
      <x:c r="D213" s="11" t="str">
        <x:v>INT29-015</x:v>
      </x:c>
      <x:c r="E213" s="11" t="str">
        <x:v>docs/upgrade/2026-10-29/product/SCREEN_EXECUTION_CONTRACTS.json#UI-32</x:v>
      </x:c>
      <x:c r="F213" s="11" t="str">
        <x:v>NOT_CHECKED</x:v>
      </x:c>
    </x:row>
    <x:row r="214" ht="15" hidden="0" customHeight="1">
      <x:c r="A214" s="11" t="str">
        <x:v>SCREEN_ID:UI-33</x:v>
      </x:c>
      <x:c r="B214" s="11" t="str">
        <x:v>CANONICAL_REGISTRY</x:v>
      </x:c>
      <x:c r="C214" s="11" t="str">
        <x:v>Complete execution contract for UI-33</x:v>
      </x:c>
      <x:c r="D214" s="11" t="str">
        <x:v>INT29-015</x:v>
      </x:c>
      <x:c r="E214" s="11" t="str">
        <x:v>docs/upgrade/2026-10-29/product/SCREEN_EXECUTION_CONTRACTS.json#UI-33</x:v>
      </x:c>
      <x:c r="F214" s="11" t="str">
        <x:v>NOT_CHECKED</x:v>
      </x:c>
    </x:row>
    <x:row r="215" ht="15" hidden="0" customHeight="1">
      <x:c r="A215" s="11" t="str">
        <x:v>SCREEN_ID:UI-34</x:v>
      </x:c>
      <x:c r="B215" s="11" t="str">
        <x:v>CANONICAL_REGISTRY</x:v>
      </x:c>
      <x:c r="C215" s="11" t="str">
        <x:v>Complete execution contract for UI-34</x:v>
      </x:c>
      <x:c r="D215" s="11" t="str">
        <x:v>INT29-015</x:v>
      </x:c>
      <x:c r="E215" s="11" t="str">
        <x:v>docs/upgrade/2026-10-29/product/SCREEN_EXECUTION_CONTRACTS.json#UI-34</x:v>
      </x:c>
      <x:c r="F215" s="11" t="str">
        <x:v>NOT_CHECKED</x:v>
      </x:c>
    </x:row>
    <x:row r="216" ht="15" hidden="0" customHeight="1">
      <x:c r="A216" s="11" t="str">
        <x:v>SCREEN_ID:UI-35</x:v>
      </x:c>
      <x:c r="B216" s="11" t="str">
        <x:v>CANONICAL_REGISTRY</x:v>
      </x:c>
      <x:c r="C216" s="11" t="str">
        <x:v>Complete execution contract for UI-35</x:v>
      </x:c>
      <x:c r="D216" s="11" t="str">
        <x:v>INT29-015</x:v>
      </x:c>
      <x:c r="E216" s="11" t="str">
        <x:v>docs/upgrade/2026-10-29/product/SCREEN_EXECUTION_CONTRACTS.json#UI-35</x:v>
      </x:c>
      <x:c r="F216" s="11" t="str">
        <x:v>NOT_CHECKED</x:v>
      </x:c>
    </x:row>
    <x:row r="217" ht="15" hidden="0" customHeight="1">
      <x:c r="A217" s="11" t="str">
        <x:v>SCREEN_ID:UI-36</x:v>
      </x:c>
      <x:c r="B217" s="11" t="str">
        <x:v>CANONICAL_REGISTRY</x:v>
      </x:c>
      <x:c r="C217" s="11" t="str">
        <x:v>Complete execution contract for UI-36</x:v>
      </x:c>
      <x:c r="D217" s="11" t="str">
        <x:v>INT29-015</x:v>
      </x:c>
      <x:c r="E217" s="11" t="str">
        <x:v>docs/upgrade/2026-10-29/product/SCREEN_EXECUTION_CONTRACTS.json#UI-36</x:v>
      </x:c>
      <x:c r="F217" s="11" t="str">
        <x:v>NOT_CHECKED</x:v>
      </x:c>
    </x:row>
    <x:row r="218" ht="15" hidden="0" customHeight="1">
      <x:c r="A218" s="11" t="str">
        <x:v>SCREEN_ID:UI-37</x:v>
      </x:c>
      <x:c r="B218" s="11" t="str">
        <x:v>CANONICAL_REGISTRY</x:v>
      </x:c>
      <x:c r="C218" s="11" t="str">
        <x:v>Complete execution contract for UI-37</x:v>
      </x:c>
      <x:c r="D218" s="11" t="str">
        <x:v>INT29-015</x:v>
      </x:c>
      <x:c r="E218" s="11" t="str">
        <x:v>docs/upgrade/2026-10-29/product/SCREEN_EXECUTION_CONTRACTS.json#UI-37</x:v>
      </x:c>
      <x:c r="F218" s="11" t="str">
        <x:v>NOT_CHECKED</x:v>
      </x:c>
    </x:row>
    <x:row r="219" ht="15" hidden="0" customHeight="1">
      <x:c r="A219" s="11" t="str">
        <x:v>SCREEN_ID:UI-38</x:v>
      </x:c>
      <x:c r="B219" s="11" t="str">
        <x:v>CANONICAL_REGISTRY</x:v>
      </x:c>
      <x:c r="C219" s="11" t="str">
        <x:v>Complete execution contract for UI-38</x:v>
      </x:c>
      <x:c r="D219" s="11" t="str">
        <x:v>INT29-015</x:v>
      </x:c>
      <x:c r="E219" s="11" t="str">
        <x:v>docs/upgrade/2026-10-29/product/SCREEN_EXECUTION_CONTRACTS.json#UI-38</x:v>
      </x:c>
      <x:c r="F219" s="11" t="str">
        <x:v>NOT_CHECKED</x:v>
      </x:c>
    </x:row>
    <x:row r="220" ht="15" hidden="0" customHeight="1">
      <x:c r="A220" s="11" t="str">
        <x:v>SCREEN_ID:UI-39</x:v>
      </x:c>
      <x:c r="B220" s="11" t="str">
        <x:v>CANONICAL_REGISTRY</x:v>
      </x:c>
      <x:c r="C220" s="11" t="str">
        <x:v>Complete execution contract for UI-39</x:v>
      </x:c>
      <x:c r="D220" s="11" t="str">
        <x:v>INT29-015</x:v>
      </x:c>
      <x:c r="E220" s="11" t="str">
        <x:v>docs/upgrade/2026-10-29/product/SCREEN_EXECUTION_CONTRACTS.json#UI-39</x:v>
      </x:c>
      <x:c r="F220" s="11" t="str">
        <x:v>NOT_CHECKED</x:v>
      </x:c>
    </x:row>
    <x:row r="221" ht="15" hidden="0" customHeight="1">
      <x:c r="A221" s="11" t="str">
        <x:v>SCREEN_ID:UI-40</x:v>
      </x:c>
      <x:c r="B221" s="11" t="str">
        <x:v>CANONICAL_REGISTRY</x:v>
      </x:c>
      <x:c r="C221" s="11" t="str">
        <x:v>Complete execution contract for UI-40</x:v>
      </x:c>
      <x:c r="D221" s="11" t="str">
        <x:v>INT29-015</x:v>
      </x:c>
      <x:c r="E221" s="11" t="str">
        <x:v>docs/upgrade/2026-10-29/product/SCREEN_EXECUTION_CONTRACTS.json#UI-40</x:v>
      </x:c>
      <x:c r="F221" s="11" t="str">
        <x:v>NOT_CHECKED</x:v>
      </x:c>
    </x:row>
    <x:row r="222" ht="15" hidden="0" customHeight="1">
      <x:c r="A222" s="11" t="str">
        <x:v>SCREEN_ID:UI-41</x:v>
      </x:c>
      <x:c r="B222" s="11" t="str">
        <x:v>CANONICAL_REGISTRY</x:v>
      </x:c>
      <x:c r="C222" s="11" t="str">
        <x:v>Complete execution contract for UI-41</x:v>
      </x:c>
      <x:c r="D222" s="11" t="str">
        <x:v>INT29-015</x:v>
      </x:c>
      <x:c r="E222" s="11" t="str">
        <x:v>docs/upgrade/2026-10-29/product/SCREEN_EXECUTION_CONTRACTS.json#UI-41</x:v>
      </x:c>
      <x:c r="F222" s="11" t="str">
        <x:v>NOT_CHECKED</x:v>
      </x:c>
    </x:row>
    <x:row r="223" ht="15" hidden="0" customHeight="1">
      <x:c r="A223" s="11" t="str">
        <x:v>SCREEN_ID:UI-42</x:v>
      </x:c>
      <x:c r="B223" s="11" t="str">
        <x:v>CANONICAL_REGISTRY</x:v>
      </x:c>
      <x:c r="C223" s="11" t="str">
        <x:v>Complete execution contract for UI-42</x:v>
      </x:c>
      <x:c r="D223" s="11" t="str">
        <x:v>INT29-015</x:v>
      </x:c>
      <x:c r="E223" s="11" t="str">
        <x:v>docs/upgrade/2026-10-29/product/SCREEN_EXECUTION_CONTRACTS.json#UI-42</x:v>
      </x:c>
      <x:c r="F223" s="11" t="str">
        <x:v>NOT_CHECKED</x:v>
      </x:c>
    </x:row>
    <x:row r="224" ht="15" hidden="0" customHeight="1">
      <x:c r="A224" s="11" t="str">
        <x:v>SCREEN_ID:UI-43</x:v>
      </x:c>
      <x:c r="B224" s="11" t="str">
        <x:v>CANONICAL_REGISTRY</x:v>
      </x:c>
      <x:c r="C224" s="11" t="str">
        <x:v>Complete execution contract for UI-43</x:v>
      </x:c>
      <x:c r="D224" s="11" t="str">
        <x:v>INT29-015</x:v>
      </x:c>
      <x:c r="E224" s="11" t="str">
        <x:v>docs/upgrade/2026-10-29/product/SCREEN_EXECUTION_CONTRACTS.json#UI-43</x:v>
      </x:c>
      <x:c r="F224" s="11" t="str">
        <x:v>NOT_CHECKED</x:v>
      </x:c>
    </x:row>
    <x:row r="225" ht="15" hidden="0" customHeight="1">
      <x:c r="A225" s="11" t="str">
        <x:v>SCREEN_ID:UI-44</x:v>
      </x:c>
      <x:c r="B225" s="11" t="str">
        <x:v>CANONICAL_REGISTRY</x:v>
      </x:c>
      <x:c r="C225" s="11" t="str">
        <x:v>Complete execution contract for UI-44</x:v>
      </x:c>
      <x:c r="D225" s="11" t="str">
        <x:v>INT29-015</x:v>
      </x:c>
      <x:c r="E225" s="11" t="str">
        <x:v>docs/upgrade/2026-10-29/product/SCREEN_EXECUTION_CONTRACTS.json#UI-44</x:v>
      </x:c>
      <x:c r="F225" s="11" t="str">
        <x:v>NOT_CHECKED</x:v>
      </x:c>
    </x:row>
    <x:row r="226" ht="15" hidden="0" customHeight="1">
      <x:c r="A226" s="11" t="str">
        <x:v>SCREEN_ID:UI-45</x:v>
      </x:c>
      <x:c r="B226" s="11" t="str">
        <x:v>CANONICAL_REGISTRY</x:v>
      </x:c>
      <x:c r="C226" s="11" t="str">
        <x:v>Complete execution contract for UI-45</x:v>
      </x:c>
      <x:c r="D226" s="11" t="str">
        <x:v>INT29-015</x:v>
      </x:c>
      <x:c r="E226" s="11" t="str">
        <x:v>docs/upgrade/2026-10-29/product/SCREEN_EXECUTION_CONTRACTS.json#UI-45</x:v>
      </x:c>
      <x:c r="F226" s="11" t="str">
        <x:v>NOT_CHECKED</x:v>
      </x:c>
    </x:row>
    <x:row r="227" ht="15" hidden="0" customHeight="1">
      <x:c r="A227" s="11" t="str">
        <x:v>SCREEN_ID:V2-S01</x:v>
      </x:c>
      <x:c r="B227" s="11" t="str">
        <x:v>CANONICAL_REGISTRY</x:v>
      </x:c>
      <x:c r="C227" s="11" t="str">
        <x:v>Complete execution contract for V2-S01</x:v>
      </x:c>
      <x:c r="D227" s="11" t="str">
        <x:v>INT29-015</x:v>
      </x:c>
      <x:c r="E227" s="11" t="str">
        <x:v>docs/upgrade/2026-10-29/product/SCREEN_EXECUTION_CONTRACTS.json#V2-S01</x:v>
      </x:c>
      <x:c r="F227" s="11" t="str">
        <x:v>NOT_CHECKED</x:v>
      </x:c>
    </x:row>
    <x:row r="228" ht="15" hidden="0" customHeight="1">
      <x:c r="A228" s="11" t="str">
        <x:v>SCREEN_ID:V2-S02</x:v>
      </x:c>
      <x:c r="B228" s="11" t="str">
        <x:v>CANONICAL_REGISTRY</x:v>
      </x:c>
      <x:c r="C228" s="11" t="str">
        <x:v>Complete execution contract for V2-S02</x:v>
      </x:c>
      <x:c r="D228" s="11" t="str">
        <x:v>INT29-015</x:v>
      </x:c>
      <x:c r="E228" s="11" t="str">
        <x:v>docs/upgrade/2026-10-29/product/SCREEN_EXECUTION_CONTRACTS.json#V2-S02</x:v>
      </x:c>
      <x:c r="F228" s="11" t="str">
        <x:v>NOT_CHECKED</x:v>
      </x:c>
    </x:row>
    <x:row r="229" ht="15" hidden="0" customHeight="1">
      <x:c r="A229" s="11" t="str">
        <x:v>SCREEN_ID:V2-S03</x:v>
      </x:c>
      <x:c r="B229" s="11" t="str">
        <x:v>CANONICAL_REGISTRY</x:v>
      </x:c>
      <x:c r="C229" s="11" t="str">
        <x:v>Complete execution contract for V2-S03</x:v>
      </x:c>
      <x:c r="D229" s="11" t="str">
        <x:v>INT29-015</x:v>
      </x:c>
      <x:c r="E229" s="11" t="str">
        <x:v>docs/upgrade/2026-10-29/product/SCREEN_EXECUTION_CONTRACTS.json#V2-S03</x:v>
      </x:c>
      <x:c r="F229" s="11" t="str">
        <x:v>NOT_CHECKED</x:v>
      </x:c>
    </x:row>
    <x:row r="230" ht="15" hidden="0" customHeight="1">
      <x:c r="A230" s="11" t="str">
        <x:v>SCREEN_ID:V2-S04</x:v>
      </x:c>
      <x:c r="B230" s="11" t="str">
        <x:v>CANONICAL_REGISTRY</x:v>
      </x:c>
      <x:c r="C230" s="11" t="str">
        <x:v>Complete execution contract for V2-S04</x:v>
      </x:c>
      <x:c r="D230" s="11" t="str">
        <x:v>INT29-015</x:v>
      </x:c>
      <x:c r="E230" s="11" t="str">
        <x:v>docs/upgrade/2026-10-29/product/SCREEN_EXECUTION_CONTRACTS.json#V2-S04</x:v>
      </x:c>
      <x:c r="F230" s="11" t="str">
        <x:v>NOT_CHECKED</x:v>
      </x:c>
    </x:row>
    <x:row r="231" ht="15" hidden="0" customHeight="1">
      <x:c r="A231" s="11" t="str">
        <x:v>SCREEN_ID:V2-S05</x:v>
      </x:c>
      <x:c r="B231" s="11" t="str">
        <x:v>CANONICAL_REGISTRY</x:v>
      </x:c>
      <x:c r="C231" s="11" t="str">
        <x:v>Complete execution contract for V2-S05</x:v>
      </x:c>
      <x:c r="D231" s="11" t="str">
        <x:v>INT29-015</x:v>
      </x:c>
      <x:c r="E231" s="11" t="str">
        <x:v>docs/upgrade/2026-10-29/product/SCREEN_EXECUTION_CONTRACTS.json#V2-S05</x:v>
      </x:c>
      <x:c r="F231" s="11" t="str">
        <x:v>NOT_CHECKED</x:v>
      </x:c>
    </x:row>
    <x:row r="232" ht="15" hidden="0" customHeight="1">
      <x:c r="A232" s="11" t="str">
        <x:v>SCREEN_ID:V2-S06</x:v>
      </x:c>
      <x:c r="B232" s="11" t="str">
        <x:v>CANONICAL_REGISTRY</x:v>
      </x:c>
      <x:c r="C232" s="11" t="str">
        <x:v>Complete execution contract for V2-S06</x:v>
      </x:c>
      <x:c r="D232" s="11" t="str">
        <x:v>INT29-015</x:v>
      </x:c>
      <x:c r="E232" s="11" t="str">
        <x:v>docs/upgrade/2026-10-29/product/SCREEN_EXECUTION_CONTRACTS.json#V2-S06</x:v>
      </x:c>
      <x:c r="F232" s="11" t="str">
        <x:v>NOT_CHECKED</x:v>
      </x:c>
    </x:row>
    <x:row r="233" ht="15" hidden="0" customHeight="1">
      <x:c r="A233" s="11" t="str">
        <x:v>SCREEN_ID:V2-S07</x:v>
      </x:c>
      <x:c r="B233" s="11" t="str">
        <x:v>CANONICAL_REGISTRY</x:v>
      </x:c>
      <x:c r="C233" s="11" t="str">
        <x:v>Complete execution contract for V2-S07</x:v>
      </x:c>
      <x:c r="D233" s="11" t="str">
        <x:v>INT29-015</x:v>
      </x:c>
      <x:c r="E233" s="11" t="str">
        <x:v>docs/upgrade/2026-10-29/product/SCREEN_EXECUTION_CONTRACTS.json#V2-S07</x:v>
      </x:c>
      <x:c r="F233" s="11" t="str">
        <x:v>NOT_CHECKED</x:v>
      </x:c>
    </x:row>
    <x:row r="234" ht="15" hidden="0" customHeight="1">
      <x:c r="A234" s="11" t="str">
        <x:v>SCREEN_ID:V2-S08</x:v>
      </x:c>
      <x:c r="B234" s="11" t="str">
        <x:v>CANONICAL_REGISTRY</x:v>
      </x:c>
      <x:c r="C234" s="11" t="str">
        <x:v>Complete execution contract for V2-S08</x:v>
      </x:c>
      <x:c r="D234" s="11" t="str">
        <x:v>INT29-015</x:v>
      </x:c>
      <x:c r="E234" s="11" t="str">
        <x:v>docs/upgrade/2026-10-29/product/SCREEN_EXECUTION_CONTRACTS.json#V2-S08</x:v>
      </x:c>
      <x:c r="F234" s="11" t="str">
        <x:v>NOT_CHECKED</x:v>
      </x:c>
    </x:row>
    <x:row r="235" ht="15" hidden="0" customHeight="1">
      <x:c r="A235" s="11" t="str">
        <x:v>SCREEN_ID:V2-S09</x:v>
      </x:c>
      <x:c r="B235" s="11" t="str">
        <x:v>CANONICAL_REGISTRY</x:v>
      </x:c>
      <x:c r="C235" s="11" t="str">
        <x:v>Complete execution contract for V2-S09</x:v>
      </x:c>
      <x:c r="D235" s="11" t="str">
        <x:v>INT29-015</x:v>
      </x:c>
      <x:c r="E235" s="11" t="str">
        <x:v>docs/upgrade/2026-10-29/product/SCREEN_EXECUTION_CONTRACTS.json#V2-S09</x:v>
      </x:c>
      <x:c r="F235" s="11" t="str">
        <x:v>NOT_CHECKED</x:v>
      </x:c>
    </x:row>
    <x:row r="236" ht="15" hidden="0" customHeight="1">
      <x:c r="A236" s="11" t="str">
        <x:v>SCREEN_ID:V2-S10</x:v>
      </x:c>
      <x:c r="B236" s="11" t="str">
        <x:v>CANONICAL_REGISTRY</x:v>
      </x:c>
      <x:c r="C236" s="11" t="str">
        <x:v>Complete execution contract for V2-S10</x:v>
      </x:c>
      <x:c r="D236" s="11" t="str">
        <x:v>INT29-015</x:v>
      </x:c>
      <x:c r="E236" s="11" t="str">
        <x:v>docs/upgrade/2026-10-29/product/SCREEN_EXECUTION_CONTRACTS.json#V2-S10</x:v>
      </x:c>
      <x:c r="F236" s="11" t="str">
        <x:v>NOT_CHECKED</x:v>
      </x:c>
    </x:row>
    <x:row r="237" ht="15" hidden="0" customHeight="1">
      <x:c r="A237" s="11" t="str">
        <x:v>SCREEN_ID:V2-S11</x:v>
      </x:c>
      <x:c r="B237" s="11" t="str">
        <x:v>CANONICAL_REGISTRY</x:v>
      </x:c>
      <x:c r="C237" s="11" t="str">
        <x:v>Complete execution contract for V2-S11</x:v>
      </x:c>
      <x:c r="D237" s="11" t="str">
        <x:v>INT29-015</x:v>
      </x:c>
      <x:c r="E237" s="11" t="str">
        <x:v>docs/upgrade/2026-10-29/product/SCREEN_EXECUTION_CONTRACTS.json#V2-S11</x:v>
      </x:c>
      <x:c r="F237" s="11" t="str">
        <x:v>NOT_CHECKED</x:v>
      </x:c>
    </x:row>
    <x:row r="238" ht="15" hidden="0" customHeight="1">
      <x:c r="A238" s="11" t="str">
        <x:v>SCREEN_ID:V2-S12</x:v>
      </x:c>
      <x:c r="B238" s="11" t="str">
        <x:v>CANONICAL_REGISTRY</x:v>
      </x:c>
      <x:c r="C238" s="11" t="str">
        <x:v>Complete execution contract for V2-S12</x:v>
      </x:c>
      <x:c r="D238" s="11" t="str">
        <x:v>INT29-015</x:v>
      </x:c>
      <x:c r="E238" s="11" t="str">
        <x:v>docs/upgrade/2026-10-29/product/SCREEN_EXECUTION_CONTRACTS.json#V2-S12</x:v>
      </x:c>
      <x:c r="F238" s="11" t="str">
        <x:v>NOT_CHECKED</x:v>
      </x:c>
    </x:row>
    <x:row r="239" ht="15" hidden="0" customHeight="1">
      <x:c r="A239" s="11" t="str">
        <x:v>SCREEN_ID:V3-UI-058</x:v>
      </x:c>
      <x:c r="B239" s="11" t="str">
        <x:v>CANONICAL_REGISTRY</x:v>
      </x:c>
      <x:c r="C239" s="11" t="str">
        <x:v>Complete execution contract for V3-UI-058</x:v>
      </x:c>
      <x:c r="D239" s="11" t="str">
        <x:v>INT29-015</x:v>
      </x:c>
      <x:c r="E239" s="11" t="str">
        <x:v>docs/upgrade/2026-10-29/product/SCREEN_EXECUTION_CONTRACTS.json#V3-UI-058</x:v>
      </x:c>
      <x:c r="F239" s="11" t="str">
        <x:v>NOT_CHECKED</x:v>
      </x:c>
    </x:row>
    <x:row r="240" ht="15" hidden="0" customHeight="1">
      <x:c r="A240" s="11" t="str">
        <x:v>SCREEN_ID:V3-UI-059</x:v>
      </x:c>
      <x:c r="B240" s="11" t="str">
        <x:v>CANONICAL_REGISTRY</x:v>
      </x:c>
      <x:c r="C240" s="11" t="str">
        <x:v>Complete execution contract for V3-UI-059</x:v>
      </x:c>
      <x:c r="D240" s="11" t="str">
        <x:v>INT29-015</x:v>
      </x:c>
      <x:c r="E240" s="11" t="str">
        <x:v>docs/upgrade/2026-10-29/product/SCREEN_EXECUTION_CONTRACTS.json#V3-UI-059</x:v>
      </x:c>
      <x:c r="F240" s="11" t="str">
        <x:v>NOT_CHECKED</x:v>
      </x:c>
    </x:row>
    <x:row r="241" ht="15" hidden="0" customHeight="1">
      <x:c r="A241" s="11" t="str">
        <x:v>SCREEN_ID:V3-UI-060</x:v>
      </x:c>
      <x:c r="B241" s="11" t="str">
        <x:v>CANONICAL_REGISTRY</x:v>
      </x:c>
      <x:c r="C241" s="11" t="str">
        <x:v>Complete execution contract for V3-UI-060</x:v>
      </x:c>
      <x:c r="D241" s="11" t="str">
        <x:v>INT29-015</x:v>
      </x:c>
      <x:c r="E241" s="11" t="str">
        <x:v>docs/upgrade/2026-10-29/product/SCREEN_EXECUTION_CONTRACTS.json#V3-UI-060</x:v>
      </x:c>
      <x:c r="F241" s="11" t="str">
        <x:v>NOT_CHECKED</x:v>
      </x:c>
    </x:row>
    <x:row r="242" ht="15" hidden="0" customHeight="1">
      <x:c r="A242" s="11" t="str">
        <x:v>SCREEN_ID:V3-UI-061</x:v>
      </x:c>
      <x:c r="B242" s="11" t="str">
        <x:v>CANONICAL_REGISTRY</x:v>
      </x:c>
      <x:c r="C242" s="11" t="str">
        <x:v>Complete execution contract for V3-UI-061</x:v>
      </x:c>
      <x:c r="D242" s="11" t="str">
        <x:v>INT29-015</x:v>
      </x:c>
      <x:c r="E242" s="11" t="str">
        <x:v>docs/upgrade/2026-10-29/product/SCREEN_EXECUTION_CONTRACTS.json#V3-UI-061</x:v>
      </x:c>
      <x:c r="F242" s="11" t="str">
        <x:v>NOT_CHECKED</x:v>
      </x:c>
    </x:row>
    <x:row r="243" ht="15" hidden="0" customHeight="1">
      <x:c r="A243" s="11" t="str">
        <x:v>SCREEN_ID:V3-UI-062</x:v>
      </x:c>
      <x:c r="B243" s="11" t="str">
        <x:v>CANONICAL_REGISTRY</x:v>
      </x:c>
      <x:c r="C243" s="11" t="str">
        <x:v>Complete execution contract for V3-UI-062</x:v>
      </x:c>
      <x:c r="D243" s="11" t="str">
        <x:v>INT29-015</x:v>
      </x:c>
      <x:c r="E243" s="11" t="str">
        <x:v>docs/upgrade/2026-10-29/product/SCREEN_EXECUTION_CONTRACTS.json#V3-UI-062</x:v>
      </x:c>
      <x:c r="F243" s="11" t="str">
        <x:v>NOT_CHECKED</x:v>
      </x:c>
    </x:row>
    <x:row r="244" ht="15" hidden="0" customHeight="1">
      <x:c r="A244" s="11" t="str">
        <x:v>SCREEN_ID:V3-UI-063</x:v>
      </x:c>
      <x:c r="B244" s="11" t="str">
        <x:v>CANONICAL_REGISTRY</x:v>
      </x:c>
      <x:c r="C244" s="11" t="str">
        <x:v>Complete execution contract for V3-UI-063</x:v>
      </x:c>
      <x:c r="D244" s="11" t="str">
        <x:v>INT29-015</x:v>
      </x:c>
      <x:c r="E244" s="11" t="str">
        <x:v>docs/upgrade/2026-10-29/product/SCREEN_EXECUTION_CONTRACTS.json#V3-UI-063</x:v>
      </x:c>
      <x:c r="F244" s="11" t="str">
        <x:v>NOT_CHECKED</x:v>
      </x:c>
    </x:row>
    <x:row r="245" ht="15" hidden="0" customHeight="1">
      <x:c r="A245" s="11" t="str">
        <x:v>SCREEN_ID:V3-UI-064</x:v>
      </x:c>
      <x:c r="B245" s="11" t="str">
        <x:v>CANONICAL_REGISTRY</x:v>
      </x:c>
      <x:c r="C245" s="11" t="str">
        <x:v>Complete execution contract for V3-UI-064</x:v>
      </x:c>
      <x:c r="D245" s="11" t="str">
        <x:v>INT29-015</x:v>
      </x:c>
      <x:c r="E245" s="11" t="str">
        <x:v>docs/upgrade/2026-10-29/product/SCREEN_EXECUTION_CONTRACTS.json#V3-UI-064</x:v>
      </x:c>
      <x:c r="F245" s="11" t="str">
        <x:v>NOT_CHECKED</x:v>
      </x:c>
    </x:row>
    <x:row r="246" ht="15" hidden="0" customHeight="1">
      <x:c r="A246" s="11" t="str">
        <x:v>SCREEN_ID:V3-UI-065</x:v>
      </x:c>
      <x:c r="B246" s="11" t="str">
        <x:v>CANONICAL_REGISTRY</x:v>
      </x:c>
      <x:c r="C246" s="11" t="str">
        <x:v>Complete execution contract for V3-UI-065</x:v>
      </x:c>
      <x:c r="D246" s="11" t="str">
        <x:v>INT29-015</x:v>
      </x:c>
      <x:c r="E246" s="11" t="str">
        <x:v>docs/upgrade/2026-10-29/product/SCREEN_EXECUTION_CONTRACTS.json#V3-UI-065</x:v>
      </x:c>
      <x:c r="F246" s="11" t="str">
        <x:v>NOT_CHECKED</x:v>
      </x:c>
    </x:row>
    <x:row r="247" ht="15" hidden="0" customHeight="1">
      <x:c r="A247" s="11" t="str">
        <x:v>SCREEN_ID:V3-UI-066</x:v>
      </x:c>
      <x:c r="B247" s="11" t="str">
        <x:v>CANONICAL_REGISTRY</x:v>
      </x:c>
      <x:c r="C247" s="11" t="str">
        <x:v>Complete execution contract for V3-UI-066</x:v>
      </x:c>
      <x:c r="D247" s="11" t="str">
        <x:v>INT29-015</x:v>
      </x:c>
      <x:c r="E247" s="11" t="str">
        <x:v>docs/upgrade/2026-10-29/product/SCREEN_EXECUTION_CONTRACTS.json#V3-UI-066</x:v>
      </x:c>
      <x:c r="F247" s="11" t="str">
        <x:v>NOT_CHECKED</x:v>
      </x:c>
    </x:row>
    <x:row r="248" ht="15" hidden="0" customHeight="1">
      <x:c r="A248" s="11" t="str">
        <x:v>SCREEN_ID:V3-UI-067</x:v>
      </x:c>
      <x:c r="B248" s="11" t="str">
        <x:v>CANONICAL_REGISTRY</x:v>
      </x:c>
      <x:c r="C248" s="11" t="str">
        <x:v>Complete execution contract for V3-UI-067</x:v>
      </x:c>
      <x:c r="D248" s="11" t="str">
        <x:v>INT29-015</x:v>
      </x:c>
      <x:c r="E248" s="11" t="str">
        <x:v>docs/upgrade/2026-10-29/product/SCREEN_EXECUTION_CONTRACTS.json#V3-UI-067</x:v>
      </x:c>
      <x:c r="F248" s="11" t="str">
        <x:v>NOT_CHECKED</x:v>
      </x:c>
    </x:row>
    <x:row r="249" ht="15" hidden="0" customHeight="1">
      <x:c r="A249" s="11" t="str">
        <x:v>SCREEN_ID:V3-UI-068</x:v>
      </x:c>
      <x:c r="B249" s="11" t="str">
        <x:v>CANONICAL_REGISTRY</x:v>
      </x:c>
      <x:c r="C249" s="11" t="str">
        <x:v>Complete execution contract for V3-UI-068</x:v>
      </x:c>
      <x:c r="D249" s="11" t="str">
        <x:v>INT29-015</x:v>
      </x:c>
      <x:c r="E249" s="11" t="str">
        <x:v>docs/upgrade/2026-10-29/product/SCREEN_EXECUTION_CONTRACTS.json#V3-UI-068</x:v>
      </x:c>
      <x:c r="F249" s="11" t="str">
        <x:v>NOT_CHECKED</x:v>
      </x:c>
    </x:row>
    <x:row r="250" ht="15" hidden="0" customHeight="1">
      <x:c r="A250" s="11" t="str">
        <x:v>SCREEN_ID:V3-UI-069</x:v>
      </x:c>
      <x:c r="B250" s="11" t="str">
        <x:v>CANONICAL_REGISTRY</x:v>
      </x:c>
      <x:c r="C250" s="11" t="str">
        <x:v>Complete execution contract for V3-UI-069</x:v>
      </x:c>
      <x:c r="D250" s="11" t="str">
        <x:v>INT29-015</x:v>
      </x:c>
      <x:c r="E250" s="11" t="str">
        <x:v>docs/upgrade/2026-10-29/product/SCREEN_EXECUTION_CONTRACTS.json#V3-UI-069</x:v>
      </x:c>
      <x:c r="F250" s="11" t="str">
        <x:v>NOT_CHECKED</x:v>
      </x:c>
    </x:row>
    <x:row r="251" ht="15" hidden="0" customHeight="1">
      <x:c r="A251" s="11" t="str">
        <x:v>METHOD:CAL-CIVIL</x:v>
      </x:c>
      <x:c r="B251" s="11" t="str">
        <x:v>CANONICAL_REGISTRY</x:v>
      </x:c>
      <x:c r="C251" s="11" t="str">
        <x:v>Lịch và múi giờ</x:v>
      </x:c>
      <x:c r="D251" s="11" t="str">
        <x:v>INT29-005; V3-MTH-001</x:v>
      </x:c>
      <x:c r="E251" s="11" t="str">
        <x:v>backend/FORMULA_METHOD_EXECUTION_MATRIX.json#CAL-CIVIL</x:v>
      </x:c>
      <x:c r="F251" s="11" t="str">
        <x:v>NOT_CHECKED</x:v>
      </x:c>
    </x:row>
    <x:row r="252" ht="15" hidden="0" customHeight="1">
      <x:c r="A252" s="11" t="str">
        <x:v>METHOD:CAL-TERMS</x:v>
      </x:c>
      <x:c r="B252" s="11" t="str">
        <x:v>CANONICAL_REGISTRY</x:v>
      </x:c>
      <x:c r="C252" s="11" t="str">
        <x:v>24 tiết khí</x:v>
      </x:c>
      <x:c r="D252" s="11" t="str">
        <x:v>INT29-005; V3-MTH-002</x:v>
      </x:c>
      <x:c r="E252" s="11" t="str">
        <x:v>backend/FORMULA_METHOD_EXECUTION_MATRIX.json#CAL-TERMS</x:v>
      </x:c>
      <x:c r="F252" s="11" t="str">
        <x:v>NOT_CHECKED</x:v>
      </x:c>
    </x:row>
    <x:row r="253" ht="15" hidden="0" customHeight="1">
      <x:c r="A253" s="11" t="str">
        <x:v>METHOD:CAL-LUNAR</x:v>
      </x:c>
      <x:c r="B253" s="11" t="str">
        <x:v>CANONICAL_REGISTRY</x:v>
      </x:c>
      <x:c r="C253" s="11" t="str">
        <x:v>Âm–dương lịch</x:v>
      </x:c>
      <x:c r="D253" s="11" t="str">
        <x:v>INT29-005; V3-MTH-003</x:v>
      </x:c>
      <x:c r="E253" s="11" t="str">
        <x:v>backend/FORMULA_METHOD_EXECUTION_MATRIX.json#CAL-LUNAR</x:v>
      </x:c>
      <x:c r="F253" s="11" t="str">
        <x:v>NOT_CHECKED</x:v>
      </x:c>
    </x:row>
    <x:row r="254" ht="15" hidden="0" customHeight="1">
      <x:c r="A254" s="11" t="str">
        <x:v>METHOD:BAZI-PILLARS</x:v>
      </x:c>
      <x:c r="B254" s="11" t="str">
        <x:v>CANONICAL_REGISTRY</x:v>
      </x:c>
      <x:c r="C254" s="11" t="str">
        <x:v>Bốn trụ</x:v>
      </x:c>
      <x:c r="D254" s="11" t="str">
        <x:v>INT29-005; V3-MTH-004</x:v>
      </x:c>
      <x:c r="E254" s="11" t="str">
        <x:v>backend/FORMULA_METHOD_EXECUTION_MATRIX.json#BAZI-PILLARS</x:v>
      </x:c>
      <x:c r="F254" s="11" t="str">
        <x:v>NOT_CHECKED</x:v>
      </x:c>
    </x:row>
    <x:row r="255" ht="15" hidden="0" customHeight="1">
      <x:c r="A255" s="11" t="str">
        <x:v>METHOD:BAZI-RELATIONS</x:v>
      </x:c>
      <x:c r="B255" s="11" t="str">
        <x:v>CANONICAL_REGISTRY</x:v>
      </x:c>
      <x:c r="C255" s="11" t="str">
        <x:v>Tàng can, thập thần, quan hệ</x:v>
      </x:c>
      <x:c r="D255" s="11" t="str">
        <x:v>INT29-005; V3-MTH-005</x:v>
      </x:c>
      <x:c r="E255" s="11" t="str">
        <x:v>backend/FORMULA_METHOD_EXECUTION_MATRIX.json#BAZI-RELATIONS</x:v>
      </x:c>
      <x:c r="F255" s="11" t="str">
        <x:v>NOT_CHECKED</x:v>
      </x:c>
    </x:row>
    <x:row r="256" ht="15" hidden="0" customHeight="1">
      <x:c r="A256" s="11" t="str">
        <x:v>METHOD:BAZI-LUCK</x:v>
      </x:c>
      <x:c r="B256" s="11" t="str">
        <x:v>CANONICAL_REGISTRY</x:v>
      </x:c>
      <x:c r="C256" s="11" t="str">
        <x:v>Khởi vận và đại vận</x:v>
      </x:c>
      <x:c r="D256" s="11" t="str">
        <x:v>INT29-005; V3-MTH-006</x:v>
      </x:c>
      <x:c r="E256" s="11" t="str">
        <x:v>backend/FORMULA_METHOD_EXECUTION_MATRIX.json#BAZI-LUCK</x:v>
      </x:c>
      <x:c r="F256" s="11" t="str">
        <x:v>NOT_CHECKED</x:v>
      </x:c>
    </x:row>
    <x:row r="257" ht="15" hidden="0" customHeight="1">
      <x:c r="A257" s="11" t="str">
        <x:v>METHOD:ZIWEI-CHART</x:v>
      </x:c>
      <x:c r="B257" s="11" t="str">
        <x:v>CANONICAL_REGISTRY</x:v>
      </x:c>
      <x:c r="C257" s="11" t="str">
        <x:v>An cung và sao</x:v>
      </x:c>
      <x:c r="D257" s="11" t="str">
        <x:v>INT29-005; V3-MTH-007</x:v>
      </x:c>
      <x:c r="E257" s="11" t="str">
        <x:v>backend/FORMULA_METHOD_EXECUTION_MATRIX.json#ZIWEI-CHART</x:v>
      </x:c>
      <x:c r="F257" s="11" t="str">
        <x:v>NOT_CHECKED</x:v>
      </x:c>
    </x:row>
    <x:row r="258" ht="15" hidden="0" customHeight="1">
      <x:c r="A258" s="11" t="str">
        <x:v>METHOD:ZIWEI-TRANSFORM</x:v>
      </x:c>
      <x:c r="B258" s="11" t="str">
        <x:v>CANONICAL_REGISTRY</x:v>
      </x:c>
      <x:c r="C258" s="11" t="str">
        <x:v>Tứ hóa và hạn</x:v>
      </x:c>
      <x:c r="D258" s="11" t="str">
        <x:v>INT29-005; V3-MTH-008</x:v>
      </x:c>
      <x:c r="E258" s="11" t="str">
        <x:v>backend/FORMULA_METHOD_EXECUTION_MATRIX.json#ZIWEI-TRANSFORM</x:v>
      </x:c>
      <x:c r="F258" s="11" t="str">
        <x:v>NOT_CHECKED</x:v>
      </x:c>
    </x:row>
    <x:row r="259" ht="15" hidden="0" customHeight="1">
      <x:c r="A259" s="11" t="str">
        <x:v>METHOD:HELAC-IRON</x:v>
      </x:c>
      <x:c r="B259" s="11" t="str">
        <x:v>CANONICAL_REGISTRY</x:v>
      </x:c>
      <x:c r="C259" s="11" t="str">
        <x:v>Hà Lạc/Thiết Bản</x:v>
      </x:c>
      <x:c r="D259" s="11" t="str">
        <x:v>INT29-005; V3-MTH-009</x:v>
      </x:c>
      <x:c r="E259" s="11" t="str">
        <x:v>backend/FORMULA_METHOD_EXECUTION_MATRIX.json#HELAC-IRON</x:v>
      </x:c>
      <x:c r="F259" s="11" t="str">
        <x:v>NOT_CHECKED</x:v>
      </x:c>
    </x:row>
    <x:row r="260" ht="15" hidden="0" customHeight="1">
      <x:c r="A260" s="11" t="str">
        <x:v>METHOD:ICHING-LINES</x:v>
      </x:c>
      <x:c r="B260" s="11" t="str">
        <x:v>CANONICAL_REGISTRY</x:v>
      </x:c>
      <x:c r="C260" s="11" t="str">
        <x:v>Sáu hào và quẻ biến</x:v>
      </x:c>
      <x:c r="D260" s="11" t="str">
        <x:v>INT29-005; V3-MTH-010</x:v>
      </x:c>
      <x:c r="E260" s="11" t="str">
        <x:v>backend/FORMULA_METHOD_EXECUTION_MATRIX.json#ICHING-LINES</x:v>
      </x:c>
      <x:c r="F260" s="11" t="str">
        <x:v>NOT_CHECKED</x:v>
      </x:c>
    </x:row>
    <x:row r="261" ht="15" hidden="0" customHeight="1">
      <x:c r="A261" s="11" t="str">
        <x:v>METHOD:ICHING-TEXT</x:v>
      </x:c>
      <x:c r="B261" s="11" t="str">
        <x:v>CANONICAL_REGISTRY</x:v>
      </x:c>
      <x:c r="C261" s="11" t="str">
        <x:v>Quẻ/hào và văn bản</x:v>
      </x:c>
      <x:c r="D261" s="11" t="str">
        <x:v>INT29-005; V3-MTH-011</x:v>
      </x:c>
      <x:c r="E261" s="11" t="str">
        <x:v>backend/FORMULA_METHOD_EXECUTION_MATRIX.json#ICHING-TEXT</x:v>
      </x:c>
      <x:c r="F261" s="11" t="str">
        <x:v>NOT_CHECKED</x:v>
      </x:c>
    </x:row>
    <x:row r="262" ht="15" hidden="0" customHeight="1">
      <x:c r="A262" s="11" t="str">
        <x:v>METHOD:LIUYAO-MAIHOA</x:v>
      </x:c>
      <x:c r="B262" s="11" t="str">
        <x:v>CANONICAL_REGISTRY</x:v>
      </x:c>
      <x:c r="C262" s="11" t="str">
        <x:v>Lục Hào/Mai Hoa</x:v>
      </x:c>
      <x:c r="D262" s="11" t="str">
        <x:v>INT29-005; V3-MTH-012</x:v>
      </x:c>
      <x:c r="E262" s="11" t="str">
        <x:v>backend/FORMULA_METHOD_EXECUTION_MATRIX.json#LIUYAO-MAIHOA</x:v>
      </x:c>
      <x:c r="F262" s="11" t="str">
        <x:v>NOT_CHECKED</x:v>
      </x:c>
    </x:row>
    <x:row r="263" ht="15" hidden="0" customHeight="1">
      <x:c r="A263" s="11" t="str">
        <x:v>METHOD:QIMEN</x:v>
      </x:c>
      <x:c r="B263" s="11" t="str">
        <x:v>CANONICAL_REGISTRY</x:v>
      </x:c>
      <x:c r="C263" s="11" t="str">
        <x:v>Kỳ Môn</x:v>
      </x:c>
      <x:c r="D263" s="11" t="str">
        <x:v>INT29-005; V3-MTH-013</x:v>
      </x:c>
      <x:c r="E263" s="11" t="str">
        <x:v>backend/FORMULA_METHOD_EXECUTION_MATRIX.json#QIMEN</x:v>
      </x:c>
      <x:c r="F263" s="11" t="str">
        <x:v>NOT_CHECKED</x:v>
      </x:c>
    </x:row>
    <x:row r="264" ht="15" hidden="0" customHeight="1">
      <x:c r="A264" s="11" t="str">
        <x:v>METHOD:LIUREN</x:v>
      </x:c>
      <x:c r="B264" s="11" t="str">
        <x:v>CANONICAL_REGISTRY</x:v>
      </x:c>
      <x:c r="C264" s="11" t="str">
        <x:v>Đại Lục Nhâm</x:v>
      </x:c>
      <x:c r="D264" s="11" t="str">
        <x:v>INT29-005; V3-MTH-014</x:v>
      </x:c>
      <x:c r="E264" s="11" t="str">
        <x:v>backend/FORMULA_METHOD_EXECUTION_MATRIX.json#LIUREN</x:v>
      </x:c>
      <x:c r="F264" s="11" t="str">
        <x:v>NOT_CHECKED</x:v>
      </x:c>
    </x:row>
    <x:row r="265" ht="15" hidden="0" customHeight="1">
      <x:c r="A265" s="11" t="str">
        <x:v>METHOD:TAIYI</x:v>
      </x:c>
      <x:c r="B265" s="11" t="str">
        <x:v>CANONICAL_REGISTRY</x:v>
      </x:c>
      <x:c r="C265" s="11" t="str">
        <x:v>Thái Ất</x:v>
      </x:c>
      <x:c r="D265" s="11" t="str">
        <x:v>INT29-005; V3-MTH-015</x:v>
      </x:c>
      <x:c r="E265" s="11" t="str">
        <x:v>backend/FORMULA_METHOD_EXECUTION_MATRIX.json#TAIYI</x:v>
      </x:c>
      <x:c r="F265" s="11" t="str">
        <x:v>NOT_CHECKED</x:v>
      </x:c>
    </x:row>
    <x:row r="266" ht="15" hidden="0" customHeight="1">
      <x:c r="A266" s="11" t="str">
        <x:v>METHOD:FENGSHUI</x:v>
      </x:c>
      <x:c r="B266" s="11" t="str">
        <x:v>CANONICAL_REGISTRY</x:v>
      </x:c>
      <x:c r="C266" s="11" t="str">
        <x:v>Phong thủy không gian</x:v>
      </x:c>
      <x:c r="D266" s="11" t="str">
        <x:v>INT29-005; V3-MTH-016</x:v>
      </x:c>
      <x:c r="E266" s="11" t="str">
        <x:v>backend/FORMULA_METHOD_EXECUTION_MATRIX.json#FENGSHUI</x:v>
      </x:c>
      <x:c r="F266" s="11" t="str">
        <x:v>NOT_CHECKED</x:v>
      </x:c>
    </x:row>
    <x:row r="267" ht="15" hidden="0" customHeight="1">
      <x:c r="A267" s="11" t="str">
        <x:v>METHOD:VASTU</x:v>
      </x:c>
      <x:c r="B267" s="11" t="str">
        <x:v>CANONICAL_REGISTRY</x:v>
      </x:c>
      <x:c r="C267" s="11" t="str">
        <x:v>Vastu</x:v>
      </x:c>
      <x:c r="D267" s="11" t="str">
        <x:v>INT29-005; V3-MTH-017</x:v>
      </x:c>
      <x:c r="E267" s="11" t="str">
        <x:v>backend/FORMULA_METHOD_EXECUTION_MATRIX.json#VASTU</x:v>
      </x:c>
      <x:c r="F267" s="11" t="str">
        <x:v>NOT_CHECKED</x:v>
      </x:c>
    </x:row>
    <x:row r="268" ht="15" hidden="0" customHeight="1">
      <x:c r="A268" s="11" t="str">
        <x:v>METHOD:PLACE-OBSERVE</x:v>
      </x:c>
      <x:c r="B268" s="11" t="str">
        <x:v>CANONICAL_REGISTRY</x:v>
      </x:c>
      <x:c r="C268" s="11" t="str">
        <x:v>Không gian thực tế</x:v>
      </x:c>
      <x:c r="D268" s="11" t="str">
        <x:v>INT29-005; V3-MTH-018</x:v>
      </x:c>
      <x:c r="E268" s="11" t="str">
        <x:v>backend/FORMULA_METHOD_EXECUTION_MATRIX.json#PLACE-OBSERVE</x:v>
      </x:c>
      <x:c r="F268" s="11" t="str">
        <x:v>NOT_CHECKED</x:v>
      </x:c>
    </x:row>
    <x:row r="269" ht="15" hidden="0" customHeight="1">
      <x:c r="A269" s="11" t="str">
        <x:v>METHOD:JYOTISH</x:v>
      </x:c>
      <x:c r="B269" s="11" t="str">
        <x:v>CANONICAL_REGISTRY</x:v>
      </x:c>
      <x:c r="C269" s="11" t="str">
        <x:v>Jyotish lá số</x:v>
      </x:c>
      <x:c r="D269" s="11" t="str">
        <x:v>INT29-005; V3-MTH-019</x:v>
      </x:c>
      <x:c r="E269" s="11" t="str">
        <x:v>backend/FORMULA_METHOD_EXECUTION_MATRIX.json#JYOTISH</x:v>
      </x:c>
      <x:c r="F269" s="11" t="str">
        <x:v>NOT_CHECKED</x:v>
      </x:c>
    </x:row>
    <x:row r="270" ht="15" hidden="0" customHeight="1">
      <x:c r="A270" s="11" t="str">
        <x:v>METHOD:DASHA</x:v>
      </x:c>
      <x:c r="B270" s="11" t="str">
        <x:v>CANONICAL_REGISTRY</x:v>
      </x:c>
      <x:c r="C270" s="11" t="str">
        <x:v>Daśā và quá cảnh</x:v>
      </x:c>
      <x:c r="D270" s="11" t="str">
        <x:v>INT29-005; V3-MTH-020</x:v>
      </x:c>
      <x:c r="E270" s="11" t="str">
        <x:v>backend/FORMULA_METHOD_EXECUTION_MATRIX.json#DASHA</x:v>
      </x:c>
      <x:c r="F270" s="11" t="str">
        <x:v>NOT_CHECKED</x:v>
      </x:c>
    </x:row>
    <x:row r="271" ht="15" hidden="0" customHeight="1">
      <x:c r="A271" s="11" t="str">
        <x:v>METHOD:NADI</x:v>
      </x:c>
      <x:c r="B271" s="11" t="str">
        <x:v>CANONICAL_REGISTRY</x:v>
      </x:c>
      <x:c r="C271" s="11" t="str">
        <x:v>Nadi văn bản</x:v>
      </x:c>
      <x:c r="D271" s="11" t="str">
        <x:v>INT29-005; V3-MTH-021</x:v>
      </x:c>
      <x:c r="E271" s="11" t="str">
        <x:v>backend/FORMULA_METHOD_EXECUTION_MATRIX.json#NADI</x:v>
      </x:c>
      <x:c r="F271" s="11" t="str">
        <x:v>NOT_CHECKED</x:v>
      </x:c>
    </x:row>
    <x:row r="272" ht="15" hidden="0" customHeight="1">
      <x:c r="A272" s="11" t="str">
        <x:v>METHOD:ASTRO-EPHEMERIS</x:v>
      </x:c>
      <x:c r="B272" s="11" t="str">
        <x:v>CANONICAL_REGISTRY</x:v>
      </x:c>
      <x:c r="C272" s="11" t="str">
        <x:v>Thiên thể và hệ nhà</x:v>
      </x:c>
      <x:c r="D272" s="11" t="str">
        <x:v>INT29-005; V3-MTH-022</x:v>
      </x:c>
      <x:c r="E272" s="11" t="str">
        <x:v>backend/FORMULA_METHOD_EXECUTION_MATRIX.json#ASTRO-EPHEMERIS</x:v>
      </x:c>
      <x:c r="F272" s="11" t="str">
        <x:v>NOT_CHECKED</x:v>
      </x:c>
    </x:row>
    <x:row r="273" ht="15" hidden="0" customHeight="1">
      <x:c r="A273" s="11" t="str">
        <x:v>METHOD:ASTRO-CYCLES</x:v>
      </x:c>
      <x:c r="B273" s="11" t="str">
        <x:v>CANONICAL_REGISTRY</x:v>
      </x:c>
      <x:c r="C273" s="11" t="str">
        <x:v>Quá cảnh/tiến triển</x:v>
      </x:c>
      <x:c r="D273" s="11" t="str">
        <x:v>INT29-005; V3-MTH-023</x:v>
      </x:c>
      <x:c r="E273" s="11" t="str">
        <x:v>backend/FORMULA_METHOD_EXECUTION_MATRIX.json#ASTRO-CYCLES</x:v>
      </x:c>
      <x:c r="F273" s="11" t="str">
        <x:v>NOT_CHECKED</x:v>
      </x:c>
    </x:row>
    <x:row r="274" ht="15" hidden="0" customHeight="1">
      <x:c r="A274" s="11" t="str">
        <x:v>METHOD:ASTRO-HISTORICAL</x:v>
      </x:c>
      <x:c r="B274" s="11" t="str">
        <x:v>CANONICAL_REGISTRY</x:v>
      </x:c>
      <x:c r="C274" s="11" t="str">
        <x:v>Hy Lạp/Latin/Ả Rập</x:v>
      </x:c>
      <x:c r="D274" s="11" t="str">
        <x:v>INT29-005; V3-MTH-024</x:v>
      </x:c>
      <x:c r="E274" s="11" t="str">
        <x:v>backend/FORMULA_METHOD_EXECUTION_MATRIX.json#ASTRO-HISTORICAL</x:v>
      </x:c>
      <x:c r="F274" s="11" t="str">
        <x:v>NOT_CHECKED</x:v>
      </x:c>
    </x:row>
    <x:row r="275" ht="15" hidden="0" customHeight="1">
      <x:c r="A275" s="11" t="str">
        <x:v>METHOD:REGIONAL-ASIAN</x:v>
      </x:c>
      <x:c r="B275" s="11" t="str">
        <x:v>CANONICAL_REGISTRY</x:v>
      </x:c>
      <x:c r="C275" s="11" t="str">
        <x:v>Saju, Shichū Suimei, Tây Tạng</x:v>
      </x:c>
      <x:c r="D275" s="11" t="str">
        <x:v>INT29-005; V3-MTH-025</x:v>
      </x:c>
      <x:c r="E275" s="11" t="str">
        <x:v>backend/FORMULA_METHOD_EXECUTION_MATRIX.json#REGIONAL-ASIAN</x:v>
      </x:c>
      <x:c r="F275" s="11" t="str">
        <x:v>NOT_CHECKED</x:v>
      </x:c>
    </x:row>
    <x:row r="276" ht="15" hidden="0" customHeight="1">
      <x:c r="A276" s="11" t="str">
        <x:v>METHOD:REGIONAL-SEA</x:v>
      </x:c>
      <x:c r="B276" s="11" t="str">
        <x:v>CANONICAL_REGISTRY</x:v>
      </x:c>
      <x:c r="C276" s="11" t="str">
        <x:v>Thái, Myanmar, Weton/Pawukon</x:v>
      </x:c>
      <x:c r="D276" s="11" t="str">
        <x:v>INT29-005; V3-MTH-026</x:v>
      </x:c>
      <x:c r="E276" s="11" t="str">
        <x:v>backend/FORMULA_METHOD_EXECUTION_MATRIX.json#REGIONAL-SEA</x:v>
      </x:c>
      <x:c r="F276" s="11" t="str">
        <x:v>NOT_CHECKED</x:v>
      </x:c>
    </x:row>
    <x:row r="277" ht="15" hidden="0" customHeight="1">
      <x:c r="A277" s="11" t="str">
        <x:v>METHOD:MAYA</x:v>
      </x:c>
      <x:c r="B277" s="11" t="str">
        <x:v>CANONICAL_REGISTRY</x:v>
      </x:c>
      <x:c r="C277" s="11" t="str">
        <x:v>Lịch Maya</x:v>
      </x:c>
      <x:c r="D277" s="11" t="str">
        <x:v>INT29-005; V3-MTH-027</x:v>
      </x:c>
      <x:c r="E277" s="11" t="str">
        <x:v>backend/FORMULA_METHOD_EXECUTION_MATRIX.json#MAYA</x:v>
      </x:c>
      <x:c r="F277" s="11" t="str">
        <x:v>NOT_CHECKED</x:v>
      </x:c>
    </x:row>
    <x:row r="278" ht="15" hidden="0" customHeight="1">
      <x:c r="A278" s="11" t="str">
        <x:v>METHOD:NUM23</x:v>
      </x:c>
      <x:c r="B278" s="11" t="str">
        <x:v>CANONICAL_REGISTRY</x:v>
      </x:c>
      <x:c r="C278" s="11" t="str">
        <x:v>23 chỉ số số–tên</x:v>
      </x:c>
      <x:c r="D278" s="11" t="str">
        <x:v>INT29-005; V3-MTH-028</x:v>
      </x:c>
      <x:c r="E278" s="11" t="str">
        <x:v>backend/FORMULA_METHOD_EXECUTION_MATRIX.json#NUM23</x:v>
      </x:c>
      <x:c r="F278" s="11" t="str">
        <x:v>NOT_CHECKED</x:v>
      </x:c>
    </x:row>
    <x:row r="279" ht="15" hidden="0" customHeight="1">
      <x:c r="A279" s="11" t="str">
        <x:v>METHOD:PSYCHO17</x:v>
      </x:c>
      <x:c r="B279" s="11" t="str">
        <x:v>CANONICAL_REGISTRY</x:v>
      </x:c>
      <x:c r="C279" s="11" t="str">
        <x:v>Psychomatrix 17 vị trí</x:v>
      </x:c>
      <x:c r="D279" s="11" t="str">
        <x:v>INT29-005; V3-MTH-029</x:v>
      </x:c>
      <x:c r="E279" s="11" t="str">
        <x:v>backend/FORMULA_METHOD_EXECUTION_MATRIX.json#PSYCHO17</x:v>
      </x:c>
      <x:c r="F279" s="11" t="str">
        <x:v>NOT_CHECKED</x:v>
      </x:c>
    </x:row>
    <x:row r="280" ht="15" hidden="0" customHeight="1">
      <x:c r="A280" s="11" t="str">
        <x:v>METHOD:NUM-LIFE-CYCLES</x:v>
      </x:c>
      <x:c r="B280" s="11" t="str">
        <x:v>CANONICAL_REGISTRY</x:v>
      </x:c>
      <x:c r="C280" s="11" t="str">
        <x:v>Chu kỳ, đỉnh cao và thử thách</x:v>
      </x:c>
      <x:c r="D280" s="11" t="str">
        <x:v>INT29-005; V3-MTH-030</x:v>
      </x:c>
      <x:c r="E280" s="11" t="str">
        <x:v>backend/FORMULA_METHOD_EXECUTION_MATRIX.json#NUM-LIFE-CYCLES</x:v>
      </x:c>
      <x:c r="F280" s="11" t="str">
        <x:v>NOT_CHECKED</x:v>
      </x:c>
    </x:row>
    <x:row r="281" ht="15" hidden="0" customHeight="1">
      <x:c r="A281" s="11" t="str">
        <x:v>METHOD:LETTER-NONLATIN</x:v>
      </x:c>
      <x:c r="B281" s="11" t="str">
        <x:v>CANONICAL_REGISTRY</x:v>
      </x:c>
      <x:c r="C281" s="11" t="str">
        <x:v>Gematria/Abjad/Isopsephy</x:v>
      </x:c>
      <x:c r="D281" s="11" t="str">
        <x:v>INT29-005; V3-MTH-031</x:v>
      </x:c>
      <x:c r="E281" s="11" t="str">
        <x:v>backend/FORMULA_METHOD_EXECUTION_MATRIX.json#LETTER-NONLATIN</x:v>
      </x:c>
      <x:c r="F281" s="11" t="str">
        <x:v>NOT_CHECKED</x:v>
      </x:c>
    </x:row>
    <x:row r="282" ht="15" hidden="0" customHeight="1">
      <x:c r="A282" s="11" t="str">
        <x:v>METHOD:BCLC64</x:v>
      </x:c>
      <x:c r="B282" s="11" t="str">
        <x:v>CANONICAL_REGISTRY</x:v>
      </x:c>
      <x:c r="C282" s="11" t="str">
        <x:v>Bát Cực 64 cặp</x:v>
      </x:c>
      <x:c r="D282" s="11" t="str">
        <x:v>INT29-005; V3-MTH-032</x:v>
      </x:c>
      <x:c r="E282" s="11" t="str">
        <x:v>backend/FORMULA_METHOD_EXECUTION_MATRIX.json#BCLC64</x:v>
      </x:c>
      <x:c r="F282" s="11" t="str">
        <x:v>NOT_CHECKED</x:v>
      </x:c>
    </x:row>
    <x:row r="283" ht="15" hidden="0" customHeight="1">
      <x:c r="A283" s="11" t="str">
        <x:v>METHOD:BCLC-MODIFIERS</x:v>
      </x:c>
      <x:c r="B283" s="11" t="str">
        <x:v>CANONICAL_REGISTRY</x:v>
      </x:c>
      <x:c r="C283" s="11" t="str">
        <x:v>Số 0 và 5</x:v>
      </x:c>
      <x:c r="D283" s="11" t="str">
        <x:v>INT29-005; V3-MTH-033</x:v>
      </x:c>
      <x:c r="E283" s="11" t="str">
        <x:v>backend/FORMULA_METHOD_EXECUTION_MATRIX.json#BCLC-MODIFIERS</x:v>
      </x:c>
      <x:c r="F283" s="11" t="str">
        <x:v>NOT_CHECKED</x:v>
      </x:c>
    </x:row>
    <x:row r="284" ht="15" hidden="0" customHeight="1">
      <x:c r="A284" s="11" t="str">
        <x:v>METHOD:BCLC-COMBINATION</x:v>
      </x:c>
      <x:c r="B284" s="11" t="str">
        <x:v>CANONICAL_REGISTRY</x:v>
      </x:c>
      <x:c r="C284" s="11" t="str">
        <x:v>Tổ hợp và chế hóa</x:v>
      </x:c>
      <x:c r="D284" s="11" t="str">
        <x:v>INT29-005; V3-MTH-034</x:v>
      </x:c>
      <x:c r="E284" s="11" t="str">
        <x:v>backend/FORMULA_METHOD_EXECUTION_MATRIX.json#BCLC-COMBINATION</x:v>
      </x:c>
      <x:c r="F284" s="11" t="str">
        <x:v>NOT_CHECKED</x:v>
      </x:c>
    </x:row>
    <x:row r="285" ht="15" hidden="0" customHeight="1">
      <x:c r="A285" s="11" t="str">
        <x:v>METHOD:TAIL80</x:v>
      </x:c>
      <x:c r="B285" s="11" t="str">
        <x:v>CANONICAL_REGISTRY</x:v>
      </x:c>
      <x:c r="C285" s="11" t="str">
        <x:v>Mã đuôi 80</x:v>
      </x:c>
      <x:c r="D285" s="11" t="str">
        <x:v>INT29-005; V3-MTH-035</x:v>
      </x:c>
      <x:c r="E285" s="11" t="str">
        <x:v>backend/FORMULA_METHOD_EXECUTION_MATRIX.json#TAIL80</x:v>
      </x:c>
      <x:c r="F285" s="11" t="str">
        <x:v>NOT_CHECKED</x:v>
      </x:c>
    </x:row>
    <x:row r="286" ht="15" hidden="0" customHeight="1">
      <x:c r="A286" s="11" t="str">
        <x:v>METHOD:NUMBER-CONTEXT</x:v>
      </x:c>
      <x:c r="B286" s="11" t="str">
        <x:v>CANONICAL_REGISTRY</x:v>
      </x:c>
      <x:c r="C286" s="11" t="str">
        <x:v>SIM/serial/biển/địa chỉ</x:v>
      </x:c>
      <x:c r="D286" s="11" t="str">
        <x:v>INT29-005; V3-MTH-036</x:v>
      </x:c>
      <x:c r="E286" s="11" t="str">
        <x:v>backend/FORMULA_METHOD_EXECUTION_MATRIX.json#NUMBER-CONTEXT</x:v>
      </x:c>
      <x:c r="F286" s="11" t="str">
        <x:v>NOT_CHECKED</x:v>
      </x:c>
    </x:row>
    <x:row r="287" ht="15" hidden="0" customHeight="1">
      <x:c r="A287" s="11" t="str">
        <x:v>METHOD:NAME-UNICODE</x:v>
      </x:c>
      <x:c r="B287" s="11" t="str">
        <x:v>CANONICAL_REGISTRY</x:v>
      </x:c>
      <x:c r="C287" s="11" t="str">
        <x:v>Tên và Unicode</x:v>
      </x:c>
      <x:c r="D287" s="11" t="str">
        <x:v>INT29-005; V3-MTH-037</x:v>
      </x:c>
      <x:c r="E287" s="11" t="str">
        <x:v>backend/FORMULA_METHOD_EXECUTION_MATRIX.json#NAME-UNICODE</x:v>
      </x:c>
      <x:c r="F287" s="11" t="str">
        <x:v>NOT_CHECKED</x:v>
      </x:c>
    </x:row>
    <x:row r="288" ht="15" hidden="0" customHeight="1">
      <x:c r="A288" s="11" t="str">
        <x:v>METHOD:NAME-SEMANTICS</x:v>
      </x:c>
      <x:c r="B288" s="11" t="str">
        <x:v>CANONICAL_REGISTRY</x:v>
      </x:c>
      <x:c r="C288" s="11" t="str">
        <x:v>Ngữ nghĩa tên</x:v>
      </x:c>
      <x:c r="D288" s="11" t="str">
        <x:v>INT29-005; V3-MTH-038</x:v>
      </x:c>
      <x:c r="E288" s="11" t="str">
        <x:v>backend/FORMULA_METHOD_EXECUTION_MATRIX.json#NAME-SEMANTICS</x:v>
      </x:c>
      <x:c r="F288" s="11" t="str">
        <x:v>NOT_CHECKED</x:v>
      </x:c>
    </x:row>
    <x:row r="289" ht="15" hidden="0" customHeight="1">
      <x:c r="A289" s="11" t="str">
        <x:v>METHOD:NAME-BRAND</x:v>
      </x:c>
      <x:c r="B289" s="11" t="str">
        <x:v>CANONICAL_REGISTRY</x:v>
      </x:c>
      <x:c r="C289" s="11" t="str">
        <x:v>Tên thường dùng/doanh nghiệp</x:v>
      </x:c>
      <x:c r="D289" s="11" t="str">
        <x:v>INT29-005; V3-MTH-039</x:v>
      </x:c>
      <x:c r="E289" s="11" t="str">
        <x:v>backend/FORMULA_METHOD_EXECUTION_MATRIX.json#NAME-BRAND</x:v>
      </x:c>
      <x:c r="F289" s="11" t="str">
        <x:v>NOT_CHECKED</x:v>
      </x:c>
    </x:row>
    <x:row r="290" ht="15" hidden="0" customHeight="1">
      <x:c r="A290" s="11" t="str">
        <x:v>METHOD:HAND</x:v>
      </x:c>
      <x:c r="B290" s="11" t="str">
        <x:v>CANONICAL_REGISTRY</x:v>
      </x:c>
      <x:c r="C290" s="11" t="str">
        <x:v>Bàn tay</x:v>
      </x:c>
      <x:c r="D290" s="11" t="str">
        <x:v>INT29-005; V3-MTH-040</x:v>
      </x:c>
      <x:c r="E290" s="11" t="str">
        <x:v>backend/FORMULA_METHOD_EXECUTION_MATRIX.json#HAND</x:v>
      </x:c>
      <x:c r="F290" s="11" t="str">
        <x:v>NOT_CHECKED</x:v>
      </x:c>
    </x:row>
    <x:row r="291" ht="15" hidden="0" customHeight="1">
      <x:c r="A291" s="11" t="str">
        <x:v>METHOD:FACE</x:v>
      </x:c>
      <x:c r="B291" s="11" t="str">
        <x:v>CANONICAL_REGISTRY</x:v>
      </x:c>
      <x:c r="C291" s="11" t="str">
        <x:v>Khuôn mặt</x:v>
      </x:c>
      <x:c r="D291" s="11" t="str">
        <x:v>INT29-005; V3-MTH-041</x:v>
      </x:c>
      <x:c r="E291" s="11" t="str">
        <x:v>backend/FORMULA_METHOD_EXECUTION_MATRIX.json#FACE</x:v>
      </x:c>
      <x:c r="F291" s="11" t="str">
        <x:v>NOT_CHECKED</x:v>
      </x:c>
    </x:row>
    <x:row r="292" ht="15" hidden="0" customHeight="1">
      <x:c r="A292" s="11" t="str">
        <x:v>METHOD:FOOT-VOICE</x:v>
      </x:c>
      <x:c r="B292" s="11" t="str">
        <x:v>CANONICAL_REGISTRY</x:v>
      </x:c>
      <x:c r="C292" s="11" t="str">
        <x:v>Chân, giọng và dáng</x:v>
      </x:c>
      <x:c r="D292" s="11" t="str">
        <x:v>INT29-005; V3-MTH-042</x:v>
      </x:c>
      <x:c r="E292" s="11" t="str">
        <x:v>backend/FORMULA_METHOD_EXECUTION_MATRIX.json#FOOT-VOICE</x:v>
      </x:c>
      <x:c r="F292" s="11" t="str">
        <x:v>NOT_CHECKED</x:v>
      </x:c>
    </x:row>
    <x:row r="293" ht="15" hidden="0" customHeight="1">
      <x:c r="A293" s="11" t="str">
        <x:v>METHOD:TAROT</x:v>
      </x:c>
      <x:c r="B293" s="11" t="str">
        <x:v>CANONICAL_REGISTRY</x:v>
      </x:c>
      <x:c r="C293" s="11" t="str">
        <x:v>Tarot/Lenormand/Oracle</x:v>
      </x:c>
      <x:c r="D293" s="11" t="str">
        <x:v>INT29-005; V3-MTH-043</x:v>
      </x:c>
      <x:c r="E293" s="11" t="str">
        <x:v>backend/FORMULA_METHOD_EXECUTION_MATRIX.json#TAROT</x:v>
      </x:c>
      <x:c r="F293" s="11" t="str">
        <x:v>NOT_CHECKED</x:v>
      </x:c>
    </x:row>
    <x:row r="294" ht="15" hidden="0" customHeight="1">
      <x:c r="A294" s="11" t="str">
        <x:v>METHOD:RUNE-GEOMANCY</x:v>
      </x:c>
      <x:c r="B294" s="11" t="str">
        <x:v>CANONICAL_REGISTRY</x:v>
      </x:c>
      <x:c r="C294" s="11" t="str">
        <x:v>Rune/geomancy</x:v>
      </x:c>
      <x:c r="D294" s="11" t="str">
        <x:v>INT29-005; V3-MTH-044</x:v>
      </x:c>
      <x:c r="E294" s="11" t="str">
        <x:v>backend/FORMULA_METHOD_EXECUTION_MATRIX.json#RUNE-GEOMANCY</x:v>
      </x:c>
      <x:c r="F294" s="11" t="str">
        <x:v>NOT_CHECKED</x:v>
      </x:c>
    </x:row>
    <x:row r="295" ht="15" hidden="0" customHeight="1">
      <x:c r="A295" s="11" t="str">
        <x:v>METHOD:IFA-DREAM</x:v>
      </x:c>
      <x:c r="B295" s="11" t="str">
        <x:v>CANONICAL_REGISTRY</x:v>
      </x:c>
      <x:c r="C295" s="11" t="str">
        <x:v>Ifá và giấc mơ</x:v>
      </x:c>
      <x:c r="D295" s="11" t="str">
        <x:v>INT29-005; V3-MTH-045</x:v>
      </x:c>
      <x:c r="E295" s="11" t="str">
        <x:v>backend/FORMULA_METHOD_EXECUTION_MATRIX.json#IFA-DREAM</x:v>
      </x:c>
      <x:c r="F295" s="11" t="str">
        <x:v>NOT_CHECKED</x:v>
      </x:c>
    </x:row>
    <x:row r="296" ht="15" hidden="0" customHeight="1">
      <x:c r="A296" s="11" t="str">
        <x:v>METHOD:HUMAN-DESIGN</x:v>
      </x:c>
      <x:c r="B296" s="11" t="str">
        <x:v>CANONICAL_REGISTRY</x:v>
      </x:c>
      <x:c r="C296" s="11" t="str">
        <x:v>Human Design</x:v>
      </x:c>
      <x:c r="D296" s="11" t="str">
        <x:v>INT29-005; V3-MTH-046</x:v>
      </x:c>
      <x:c r="E296" s="11" t="str">
        <x:v>backend/FORMULA_METHOD_EXECUTION_MATRIX.json#HUMAN-DESIGN</x:v>
      </x:c>
      <x:c r="F296" s="11" t="str">
        <x:v>NOT_CHECKED</x:v>
      </x:c>
    </x:row>
    <x:row r="297" ht="15" hidden="0" customHeight="1">
      <x:c r="A297" s="11" t="str">
        <x:v>METHOD:GENE-KEYS</x:v>
      </x:c>
      <x:c r="B297" s="11" t="str">
        <x:v>CANONICAL_REGISTRY</x:v>
      </x:c>
      <x:c r="C297" s="11" t="str">
        <x:v>Gene Keys</x:v>
      </x:c>
      <x:c r="D297" s="11" t="str">
        <x:v>INT29-005; V3-MTH-047</x:v>
      </x:c>
      <x:c r="E297" s="11" t="str">
        <x:v>backend/FORMULA_METHOD_EXECUTION_MATRIX.json#GENE-KEYS</x:v>
      </x:c>
      <x:c r="F297" s="11" t="str">
        <x:v>NOT_CHECKED</x:v>
      </x:c>
    </x:row>
    <x:row r="298" ht="15" hidden="0" customHeight="1">
      <x:c r="A298" s="11" t="str">
        <x:v>METHOD:HNH-REFLECTION</x:v>
      </x:c>
      <x:c r="B298" s="11" t="str">
        <x:v>CANONICAL_REGISTRY</x:v>
      </x:c>
      <x:c r="C298" s="11" t="str">
        <x:v>Ngữ pháp HNH</x:v>
      </x:c>
      <x:c r="D298" s="11" t="str">
        <x:v>INT29-005; V3-MTH-048</x:v>
      </x:c>
      <x:c r="E298" s="11" t="str">
        <x:v>backend/FORMULA_METHOD_EXECUTION_MATRIX.json#HNH-REFLECTION</x:v>
      </x:c>
      <x:c r="F298" s="11" t="str">
        <x:v>NOT_CHECKED</x:v>
      </x:c>
    </x:row>
    <x:row r="299" ht="15" hidden="0" customHeight="1">
      <x:c r="A299" s="11" t="str">
        <x:v>METHOD:CONTEMPLATION</x:v>
      </x:c>
      <x:c r="B299" s="11" t="str">
        <x:v>CANONICAL_REGISTRY</x:v>
      </x:c>
      <x:c r="C299" s="11" t="str">
        <x:v>Tu tập và thực hành nội tâm</x:v>
      </x:c>
      <x:c r="D299" s="11" t="str">
        <x:v>INT29-005; V3-MTH-049</x:v>
      </x:c>
      <x:c r="E299" s="11" t="str">
        <x:v>backend/FORMULA_METHOD_EXECUTION_MATRIX.json#CONTEMPLATION</x:v>
      </x:c>
      <x:c r="F299" s="11" t="str">
        <x:v>NOT_CHECKED</x:v>
      </x:c>
    </x:row>
    <x:row r="300" ht="15" hidden="0" customHeight="1">
      <x:c r="A300" s="11" t="str">
        <x:v>METHOD:IPIP</x:v>
      </x:c>
      <x:c r="B300" s="11" t="str">
        <x:v>CANONICAL_REGISTRY</x:v>
      </x:c>
      <x:c r="C300" s="11" t="str">
        <x:v>Nhân cách và bảng hỏi</x:v>
      </x:c>
      <x:c r="D300" s="11" t="str">
        <x:v>INT29-005; V3-MTH-050</x:v>
      </x:c>
      <x:c r="E300" s="11" t="str">
        <x:v>backend/FORMULA_METHOD_EXECUTION_MATRIX.json#IPIP</x:v>
      </x:c>
      <x:c r="F300" s="11" t="str">
        <x:v>NOT_CHECKED</x:v>
      </x:c>
    </x:row>
    <x:row r="301" ht="15" hidden="0" customHeight="1">
      <x:c r="A301" s="11" t="str">
        <x:v>METHOD:VALUES-INTEREST</x:v>
      </x:c>
      <x:c r="B301" s="11" t="str">
        <x:v>CANONICAL_REGISTRY</x:v>
      </x:c>
      <x:c r="C301" s="11" t="str">
        <x:v>Giá trị/hứng thú</x:v>
      </x:c>
      <x:c r="D301" s="11" t="str">
        <x:v>INT29-005; V3-MTH-051</x:v>
      </x:c>
      <x:c r="E301" s="11" t="str">
        <x:v>backend/FORMULA_METHOD_EXECUTION_MATRIX.json#VALUES-INTEREST</x:v>
      </x:c>
      <x:c r="F301" s="11" t="str">
        <x:v>NOT_CHECKED</x:v>
      </x:c>
    </x:row>
    <x:row r="302" ht="15" hidden="0" customHeight="1">
      <x:c r="A302" s="11" t="str">
        <x:v>METHOD:PSYCHOMETRIC</x:v>
      </x:c>
      <x:c r="B302" s="11" t="str">
        <x:v>CANONICAL_REGISTRY</x:v>
      </x:c>
      <x:c r="C302" s="11" t="str">
        <x:v>Đánh giá đo lường</x:v>
      </x:c>
      <x:c r="D302" s="11" t="str">
        <x:v>INT29-005; V3-MTH-052</x:v>
      </x:c>
      <x:c r="E302" s="11" t="str">
        <x:v>backend/FORMULA_METHOD_EXECUTION_MATRIX.json#PSYCHOMETRIC</x:v>
      </x:c>
      <x:c r="F302" s="11" t="str">
        <x:v>NOT_CHECKED</x:v>
      </x:c>
    </x:row>
    <x:row r="303" ht="15" hidden="0" customHeight="1">
      <x:c r="A303" s="11" t="str">
        <x:v>METHOD:CAREER</x:v>
      </x:c>
      <x:c r="B303" s="11" t="str">
        <x:v>CANONICAL_REGISTRY</x:v>
      </x:c>
      <x:c r="C303" s="11" t="str">
        <x:v>Nghề, vai trò và kỹ năng</x:v>
      </x:c>
      <x:c r="D303" s="11" t="str">
        <x:v>INT29-005; V3-MTH-053</x:v>
      </x:c>
      <x:c r="E303" s="11" t="str">
        <x:v>backend/FORMULA_METHOD_EXECUTION_MATRIX.json#CAREER</x:v>
      </x:c>
      <x:c r="F303" s="11" t="str">
        <x:v>NOT_CHECKED</x:v>
      </x:c>
    </x:row>
    <x:row r="304" ht="15" hidden="0" customHeight="1">
      <x:c r="A304" s="11" t="str">
        <x:v>METHOD:CASHFLOW</x:v>
      </x:c>
      <x:c r="B304" s="11" t="str">
        <x:v>CANONICAL_REGISTRY</x:v>
      </x:c>
      <x:c r="C304" s="11" t="str">
        <x:v>Nguồn lực và dòng tiền</x:v>
      </x:c>
      <x:c r="D304" s="11" t="str">
        <x:v>INT29-005; V3-MTH-054</x:v>
      </x:c>
      <x:c r="E304" s="11" t="str">
        <x:v>backend/FORMULA_METHOD_EXECUTION_MATRIX.json#CASHFLOW</x:v>
      </x:c>
      <x:c r="F304" s="11" t="str">
        <x:v>NOT_CHECKED</x:v>
      </x:c>
    </x:row>
    <x:row r="305" ht="15" hidden="0" customHeight="1">
      <x:c r="A305" s="11" t="str">
        <x:v>METHOD:RELATIONSHIPS</x:v>
      </x:c>
      <x:c r="B305" s="11" t="str">
        <x:v>CANONICAL_REGISTRY</x:v>
      </x:c>
      <x:c r="C305" s="11" t="str">
        <x:v>Quan hệ nhiều chủ thể</x:v>
      </x:c>
      <x:c r="D305" s="11" t="str">
        <x:v>INT29-005; V3-MTH-055</x:v>
      </x:c>
      <x:c r="E305" s="11" t="str">
        <x:v>backend/FORMULA_METHOD_EXECUTION_MATRIX.json#RELATIONSHIPS</x:v>
      </x:c>
      <x:c r="F305" s="11" t="str">
        <x:v>NOT_CHECKED</x:v>
      </x:c>
    </x:row>
    <x:row r="306" ht="15" hidden="0" customHeight="1">
      <x:c r="A306" s="11" t="str">
        <x:v>METHOD:RESONANCE</x:v>
      </x:c>
      <x:c r="B306" s="11" t="str">
        <x:v>CANONICAL_REGISTRY</x:v>
      </x:c>
      <x:c r="C306" s="11" t="str">
        <x:v>12 trường đồng nhịp</x:v>
      </x:c>
      <x:c r="D306" s="11" t="str">
        <x:v>INT29-005; V3-MTH-056</x:v>
      </x:c>
      <x:c r="E306" s="11" t="str">
        <x:v>backend/FORMULA_METHOD_EXECUTION_MATRIX.json#RESONANCE</x:v>
      </x:c>
      <x:c r="F306" s="11" t="str">
        <x:v>NOT_CHECKED</x:v>
      </x:c>
    </x:row>
    <x:row r="307" ht="15" hidden="0" customHeight="1">
      <x:c r="A307" s="11" t="str">
        <x:v>METHOD:NUTRITION-LIFESTYLE</x:v>
      </x:c>
      <x:c r="B307" s="11" t="str">
        <x:v>CANONICAL_REGISTRY</x:v>
      </x:c>
      <x:c r="C307" s="11" t="str">
        <x:v>Ăn gần nguồn, lịch sinh hoạt</x:v>
      </x:c>
      <x:c r="D307" s="11" t="str">
        <x:v>INT29-005; V3-MTH-057</x:v>
      </x:c>
      <x:c r="E307" s="11" t="str">
        <x:v>backend/FORMULA_METHOD_EXECUTION_MATRIX.json#NUTRITION-LIFESTYLE</x:v>
      </x:c>
      <x:c r="F307" s="11" t="str">
        <x:v>NOT_CHECKED</x:v>
      </x:c>
    </x:row>
    <x:row r="308" ht="15" hidden="0" customHeight="1">
      <x:c r="A308" s="11" t="str">
        <x:v>METHOD:LIFE-DESIGN</x:v>
      </x:c>
      <x:c r="B308" s="11" t="str">
        <x:v>CANONICAL_REGISTRY</x:v>
      </x:c>
      <x:c r="C308" s="11" t="str">
        <x:v>30/90 ngày và chuyển giao</x:v>
      </x:c>
      <x:c r="D308" s="11" t="str">
        <x:v>INT29-005; V3-MTH-058</x:v>
      </x:c>
      <x:c r="E308" s="11" t="str">
        <x:v>backend/FORMULA_METHOD_EXECUTION_MATRIX.json#LIFE-DESIGN</x:v>
      </x:c>
      <x:c r="F308" s="11" t="str">
        <x:v>NOT_CHECKED</x:v>
      </x:c>
    </x:row>
    <x:row r="309" ht="15" hidden="0" customHeight="1">
      <x:c r="A309" s="11" t="str">
        <x:v>METHOD:LINEAGE</x:v>
      </x:c>
      <x:c r="B309" s="11" t="str">
        <x:v>CANONICAL_REGISTRY</x:v>
      </x:c>
      <x:c r="C309" s="11" t="str">
        <x:v>Đồ thị nguồn và nhận định</x:v>
      </x:c>
      <x:c r="D309" s="11" t="str">
        <x:v>INT29-005; V3-MTH-059</x:v>
      </x:c>
      <x:c r="E309" s="11" t="str">
        <x:v>backend/FORMULA_METHOD_EXECUTION_MATRIX.json#LINEAGE</x:v>
      </x:c>
      <x:c r="F309" s="11" t="str">
        <x:v>NOT_CHECKED</x:v>
      </x:c>
    </x:row>
    <x:row r="310" ht="15" hidden="0" customHeight="1">
      <x:c r="A310" s="11" t="str">
        <x:v>METHOD:POLICY</x:v>
      </x:c>
      <x:c r="B310" s="11" t="str">
        <x:v>CANONICAL_REGISTRY</x:v>
      </x:c>
      <x:c r="C310" s="11" t="str">
        <x:v>Quyền và tự động hóa</x:v>
      </x:c>
      <x:c r="D310" s="11" t="str">
        <x:v>INT29-005; V3-MTH-060</x:v>
      </x:c>
      <x:c r="E310" s="11" t="str">
        <x:v>backend/FORMULA_METHOD_EXECUTION_MATRIX.json#POLICY</x:v>
      </x:c>
      <x:c r="F310" s="11" t="str">
        <x:v>NOT_CHECKED</x:v>
      </x:c>
    </x:row>
    <x:row r="311" ht="15" hidden="0" customHeight="1">
      <x:c r="A311" s="11" t="str">
        <x:v>METHOD:REPORT</x:v>
      </x:c>
      <x:c r="B311" s="11" t="str">
        <x:v>CANONICAL_REGISTRY</x:v>
      </x:c>
      <x:c r="C311" s="11" t="str">
        <x:v>Báo cáo và bản sách</x:v>
      </x:c>
      <x:c r="D311" s="11" t="str">
        <x:v>INT29-005; V3-MTH-061</x:v>
      </x:c>
      <x:c r="E311" s="11" t="str">
        <x:v>backend/FORMULA_METHOD_EXECUTION_MATRIX.json#REPORT</x:v>
      </x:c>
      <x:c r="F311" s="11" t="str">
        <x:v>NOT_CHECKED</x:v>
      </x:c>
    </x:row>
    <x:row r="312" ht="15" hidden="0" customHeight="1">
      <x:c r="A312" s="11" t="str">
        <x:v>METHOD:EVALUATION</x:v>
      </x:c>
      <x:c r="B312" s="11" t="str">
        <x:v>CANONICAL_REGISTRY</x:v>
      </x:c>
      <x:c r="C312" s="11" t="str">
        <x:v>Kiểm thử và hiệu chỉnh</x:v>
      </x:c>
      <x:c r="D312" s="11" t="str">
        <x:v>INT29-005; V3-MTH-062</x:v>
      </x:c>
      <x:c r="E312" s="11" t="str">
        <x:v>backend/FORMULA_METHOD_EXECUTION_MATRIX.json#EVALUATION</x:v>
      </x:c>
      <x:c r="F312" s="11" t="str">
        <x:v>NOT_CHECKED</x:v>
      </x:c>
    </x:row>
    <x:row r="313" ht="15" hidden="0" customHeight="1">
      <x:c r="A313" s="11" t="str">
        <x:v>API:health</x:v>
      </x:c>
      <x:c r="B313" s="11" t="str">
        <x:v>CANONICAL_REGISTRY</x:v>
      </x:c>
      <x:c r="C313" s="11" t="str">
        <x:v>GET /health</x:v>
      </x:c>
      <x:c r="D313" s="11" t="str">
        <x:v>INT29-010</x:v>
      </x:c>
      <x:c r="E313" s="11" t="str">
        <x:v>backend/OPENAPI_UNIFIED_TARGET.json#health</x:v>
      </x:c>
      <x:c r="F313" s="11" t="str">
        <x:v>NOT_CHECKED</x:v>
      </x:c>
    </x:row>
    <x:row r="314" ht="15" hidden="0" customHeight="1">
      <x:c r="A314" s="11" t="str">
        <x:v>API:catalog</x:v>
      </x:c>
      <x:c r="B314" s="11" t="str">
        <x:v>CANONICAL_REGISTRY</x:v>
      </x:c>
      <x:c r="C314" s="11" t="str">
        <x:v>GET /catalog</x:v>
      </x:c>
      <x:c r="D314" s="11" t="str">
        <x:v>INT29-010</x:v>
      </x:c>
      <x:c r="E314" s="11" t="str">
        <x:v>backend/OPENAPI_UNIFIED_TARGET.json#catalog</x:v>
      </x:c>
      <x:c r="F314" s="11" t="str">
        <x:v>NOT_CHECKED</x:v>
      </x:c>
    </x:row>
    <x:row r="315" ht="15" hidden="0" customHeight="1">
      <x:c r="A315" s="11" t="str">
        <x:v>API:methods</x:v>
      </x:c>
      <x:c r="B315" s="11" t="str">
        <x:v>CANONICAL_REGISTRY</x:v>
      </x:c>
      <x:c r="C315" s="11" t="str">
        <x:v>GET /methods</x:v>
      </x:c>
      <x:c r="D315" s="11" t="str">
        <x:v>INT29-010</x:v>
      </x:c>
      <x:c r="E315" s="11" t="str">
        <x:v>backend/OPENAPI_UNIFIED_TARGET.json#methods</x:v>
      </x:c>
      <x:c r="F315" s="11" t="str">
        <x:v>NOT_CHECKED</x:v>
      </x:c>
    </x:row>
    <x:row r="316" ht="15" hidden="0" customHeight="1">
      <x:c r="A316" s="11" t="str">
        <x:v>API:methodDetail</x:v>
      </x:c>
      <x:c r="B316" s="11" t="str">
        <x:v>CANONICAL_REGISTRY</x:v>
      </x:c>
      <x:c r="C316" s="11" t="str">
        <x:v>GET /methods/{methodId}</x:v>
      </x:c>
      <x:c r="D316" s="11" t="str">
        <x:v>INT29-010</x:v>
      </x:c>
      <x:c r="E316" s="11" t="str">
        <x:v>backend/OPENAPI_UNIFIED_TARGET.json#methodDetail</x:v>
      </x:c>
      <x:c r="F316" s="11" t="str">
        <x:v>NOT_CHECKED</x:v>
      </x:c>
    </x:row>
    <x:row r="317" ht="15" hidden="0" customHeight="1">
      <x:c r="A317" s="11" t="str">
        <x:v>API:login</x:v>
      </x:c>
      <x:c r="B317" s="11" t="str">
        <x:v>CANONICAL_REGISTRY</x:v>
      </x:c>
      <x:c r="C317" s="11" t="str">
        <x:v>GET /auth/login</x:v>
      </x:c>
      <x:c r="D317" s="11" t="str">
        <x:v>INT29-010</x:v>
      </x:c>
      <x:c r="E317" s="11" t="str">
        <x:v>backend/OPENAPI_UNIFIED_TARGET.json#login</x:v>
      </x:c>
      <x:c r="F317" s="11" t="str">
        <x:v>NOT_CHECKED</x:v>
      </x:c>
    </x:row>
    <x:row r="318" ht="15" hidden="0" customHeight="1">
      <x:c r="A318" s="11" t="str">
        <x:v>API:authCallback</x:v>
      </x:c>
      <x:c r="B318" s="11" t="str">
        <x:v>CANONICAL_REGISTRY</x:v>
      </x:c>
      <x:c r="C318" s="11" t="str">
        <x:v>GET /auth/callback</x:v>
      </x:c>
      <x:c r="D318" s="11" t="str">
        <x:v>INT29-010</x:v>
      </x:c>
      <x:c r="E318" s="11" t="str">
        <x:v>backend/OPENAPI_UNIFIED_TARGET.json#authCallback</x:v>
      </x:c>
      <x:c r="F318" s="11" t="str">
        <x:v>NOT_CHECKED</x:v>
      </x:c>
    </x:row>
    <x:row r="319" ht="15" hidden="0" customHeight="1">
      <x:c r="A319" s="11" t="str">
        <x:v>API:logout</x:v>
      </x:c>
      <x:c r="B319" s="11" t="str">
        <x:v>CANONICAL_REGISTRY</x:v>
      </x:c>
      <x:c r="C319" s="11" t="str">
        <x:v>POST /auth/logout</x:v>
      </x:c>
      <x:c r="D319" s="11" t="str">
        <x:v>INT29-010</x:v>
      </x:c>
      <x:c r="E319" s="11" t="str">
        <x:v>backend/OPENAPI_UNIFIED_TARGET.json#logout</x:v>
      </x:c>
      <x:c r="F319" s="11" t="str">
        <x:v>NOT_CHECKED</x:v>
      </x:c>
    </x:row>
    <x:row r="320" ht="15" hidden="0" customHeight="1">
      <x:c r="A320" s="11" t="str">
        <x:v>API:subjects</x:v>
      </x:c>
      <x:c r="B320" s="11" t="str">
        <x:v>CANONICAL_REGISTRY</x:v>
      </x:c>
      <x:c r="C320" s="11" t="str">
        <x:v>GET /subjects</x:v>
      </x:c>
      <x:c r="D320" s="11" t="str">
        <x:v>INT29-010</x:v>
      </x:c>
      <x:c r="E320" s="11" t="str">
        <x:v>backend/OPENAPI_UNIFIED_TARGET.json#subjects</x:v>
      </x:c>
      <x:c r="F320" s="11" t="str">
        <x:v>NOT_CHECKED</x:v>
      </x:c>
    </x:row>
    <x:row r="321" ht="15" hidden="0" customHeight="1">
      <x:c r="A321" s="11" t="str">
        <x:v>API:createSubject</x:v>
      </x:c>
      <x:c r="B321" s="11" t="str">
        <x:v>CANONICAL_REGISTRY</x:v>
      </x:c>
      <x:c r="C321" s="11" t="str">
        <x:v>POST /subjects</x:v>
      </x:c>
      <x:c r="D321" s="11" t="str">
        <x:v>INT29-010</x:v>
      </x:c>
      <x:c r="E321" s="11" t="str">
        <x:v>backend/OPENAPI_UNIFIED_TARGET.json#createSubject</x:v>
      </x:c>
      <x:c r="F321" s="11" t="str">
        <x:v>NOT_CHECKED</x:v>
      </x:c>
    </x:row>
    <x:row r="322" ht="15" hidden="0" customHeight="1">
      <x:c r="A322" s="11" t="str">
        <x:v>API:subject</x:v>
      </x:c>
      <x:c r="B322" s="11" t="str">
        <x:v>CANONICAL_REGISTRY</x:v>
      </x:c>
      <x:c r="C322" s="11" t="str">
        <x:v>GET /subjects/{subjectId}</x:v>
      </x:c>
      <x:c r="D322" s="11" t="str">
        <x:v>INT29-010</x:v>
      </x:c>
      <x:c r="E322" s="11" t="str">
        <x:v>backend/OPENAPI_UNIFIED_TARGET.json#subject</x:v>
      </x:c>
      <x:c r="F322" s="11" t="str">
        <x:v>NOT_CHECKED</x:v>
      </x:c>
    </x:row>
    <x:row r="323" ht="15" hidden="0" customHeight="1">
      <x:c r="A323" s="11" t="str">
        <x:v>API:overview</x:v>
      </x:c>
      <x:c r="B323" s="11" t="str">
        <x:v>CANONICAL_REGISTRY</x:v>
      </x:c>
      <x:c r="C323" s="11" t="str">
        <x:v>GET /subjects/{subjectId}/overview</x:v>
      </x:c>
      <x:c r="D323" s="11" t="str">
        <x:v>INT29-010</x:v>
      </x:c>
      <x:c r="E323" s="11" t="str">
        <x:v>backend/OPENAPI_UNIFIED_TARGET.json#overview</x:v>
      </x:c>
      <x:c r="F323" s="11" t="str">
        <x:v>NOT_CHECKED</x:v>
      </x:c>
    </x:row>
    <x:row r="324" ht="15" hidden="0" customHeight="1">
      <x:c r="A324" s="11" t="str">
        <x:v>API:newProfileVersion</x:v>
      </x:c>
      <x:c r="B324" s="11" t="str">
        <x:v>CANONICAL_REGISTRY</x:v>
      </x:c>
      <x:c r="C324" s="11" t="str">
        <x:v>POST /subjects/{subjectId}/profile-versions</x:v>
      </x:c>
      <x:c r="D324" s="11" t="str">
        <x:v>INT29-010</x:v>
      </x:c>
      <x:c r="E324" s="11" t="str">
        <x:v>backend/OPENAPI_UNIFIED_TARGET.json#newProfileVersion</x:v>
      </x:c>
      <x:c r="F324" s="11" t="str">
        <x:v>NOT_CHECKED</x:v>
      </x:c>
    </x:row>
    <x:row r="325" ht="15" hidden="0" customHeight="1">
      <x:c r="A325" s="11" t="str">
        <x:v>API:profileVersion</x:v>
      </x:c>
      <x:c r="B325" s="11" t="str">
        <x:v>CANONICAL_REGISTRY</x:v>
      </x:c>
      <x:c r="C325" s="11" t="str">
        <x:v>GET /subjects/{subjectId}/profile-versions/{versionId}</x:v>
      </x:c>
      <x:c r="D325" s="11" t="str">
        <x:v>INT29-010</x:v>
      </x:c>
      <x:c r="E325" s="11" t="str">
        <x:v>backend/OPENAPI_UNIFIED_TARGET.json#profileVersion</x:v>
      </x:c>
      <x:c r="F325" s="11" t="str">
        <x:v>NOT_CHECKED</x:v>
      </x:c>
    </x:row>
    <x:row r="326" ht="15" hidden="0" customHeight="1">
      <x:c r="A326" s="11" t="str">
        <x:v>API:newHypothesis</x:v>
      </x:c>
      <x:c r="B326" s="11" t="str">
        <x:v>CANONICAL_REGISTRY</x:v>
      </x:c>
      <x:c r="C326" s="11" t="str">
        <x:v>POST /subjects/{subjectId}/hypotheses</x:v>
      </x:c>
      <x:c r="D326" s="11" t="str">
        <x:v>INT29-010</x:v>
      </x:c>
      <x:c r="E326" s="11" t="str">
        <x:v>backend/OPENAPI_UNIFIED_TARGET.json#newHypothesis</x:v>
      </x:c>
      <x:c r="F326" s="11" t="str">
        <x:v>NOT_CHECKED</x:v>
      </x:c>
    </x:row>
    <x:row r="327" ht="15" hidden="0" customHeight="1">
      <x:c r="A327" s="11" t="str">
        <x:v>API:listHypotheses</x:v>
      </x:c>
      <x:c r="B327" s="11" t="str">
        <x:v>CANONICAL_REGISTRY</x:v>
      </x:c>
      <x:c r="C327" s="11" t="str">
        <x:v>GET /subjects/{subjectId}/hypotheses</x:v>
      </x:c>
      <x:c r="D327" s="11" t="str">
        <x:v>INT29-010</x:v>
      </x:c>
      <x:c r="E327" s="11" t="str">
        <x:v>backend/OPENAPI_UNIFIED_TARGET.json#listHypotheses</x:v>
      </x:c>
      <x:c r="F327" s="11" t="str">
        <x:v>NOT_CHECKED</x:v>
      </x:c>
    </x:row>
    <x:row r="328" ht="15" hidden="0" customHeight="1">
      <x:c r="A328" s="11" t="str">
        <x:v>API:consents</x:v>
      </x:c>
      <x:c r="B328" s="11" t="str">
        <x:v>CANONICAL_REGISTRY</x:v>
      </x:c>
      <x:c r="C328" s="11" t="str">
        <x:v>GET /subjects/{subjectId}/consents</x:v>
      </x:c>
      <x:c r="D328" s="11" t="str">
        <x:v>INT29-010</x:v>
      </x:c>
      <x:c r="E328" s="11" t="str">
        <x:v>backend/OPENAPI_UNIFIED_TARGET.json#consents</x:v>
      </x:c>
      <x:c r="F328" s="11" t="str">
        <x:v>NOT_CHECKED</x:v>
      </x:c>
    </x:row>
    <x:row r="329" ht="15" hidden="0" customHeight="1">
      <x:c r="A329" s="11" t="str">
        <x:v>API:consentDecision</x:v>
      </x:c>
      <x:c r="B329" s="11" t="str">
        <x:v>CANONICAL_REGISTRY</x:v>
      </x:c>
      <x:c r="C329" s="11" t="str">
        <x:v>POST /subjects/{subjectId}/consents</x:v>
      </x:c>
      <x:c r="D329" s="11" t="str">
        <x:v>INT29-010</x:v>
      </x:c>
      <x:c r="E329" s="11" t="str">
        <x:v>backend/OPENAPI_UNIFIED_TARGET.json#consentDecision</x:v>
      </x:c>
      <x:c r="F329" s="11" t="str">
        <x:v>NOT_CHECKED</x:v>
      </x:c>
    </x:row>
    <x:row r="330" ht="15" hidden="0" customHeight="1">
      <x:c r="A330" s="11" t="str">
        <x:v>API:grants</x:v>
      </x:c>
      <x:c r="B330" s="11" t="str">
        <x:v>CANONICAL_REGISTRY</x:v>
      </x:c>
      <x:c r="C330" s="11" t="str">
        <x:v>GET /subjects/{subjectId}/grants</x:v>
      </x:c>
      <x:c r="D330" s="11" t="str">
        <x:v>INT29-010</x:v>
      </x:c>
      <x:c r="E330" s="11" t="str">
        <x:v>backend/OPENAPI_UNIFIED_TARGET.json#grants</x:v>
      </x:c>
      <x:c r="F330" s="11" t="str">
        <x:v>NOT_CHECKED</x:v>
      </x:c>
    </x:row>
    <x:row r="331" ht="15" hidden="0" customHeight="1">
      <x:c r="A331" s="11" t="str">
        <x:v>API:grant</x:v>
      </x:c>
      <x:c r="B331" s="11" t="str">
        <x:v>CANONICAL_REGISTRY</x:v>
      </x:c>
      <x:c r="C331" s="11" t="str">
        <x:v>POST /subjects/{subjectId}/grants</x:v>
      </x:c>
      <x:c r="D331" s="11" t="str">
        <x:v>INT29-010</x:v>
      </x:c>
      <x:c r="E331" s="11" t="str">
        <x:v>backend/OPENAPI_UNIFIED_TARGET.json#grant</x:v>
      </x:c>
      <x:c r="F331" s="11" t="str">
        <x:v>NOT_CHECKED</x:v>
      </x:c>
    </x:row>
    <x:row r="332" ht="15" hidden="0" customHeight="1">
      <x:c r="A332" s="11" t="str">
        <x:v>API:revokeGrant</x:v>
      </x:c>
      <x:c r="B332" s="11" t="str">
        <x:v>CANONICAL_REGISTRY</x:v>
      </x:c>
      <x:c r="C332" s="11" t="str">
        <x:v>DELETE /grants/{grantId}</x:v>
      </x:c>
      <x:c r="D332" s="11" t="str">
        <x:v>INT29-010</x:v>
      </x:c>
      <x:c r="E332" s="11" t="str">
        <x:v>backend/OPENAPI_UNIFIED_TARGET.json#revokeGrant</x:v>
      </x:c>
      <x:c r="F332" s="11" t="str">
        <x:v>NOT_CHECKED</x:v>
      </x:c>
    </x:row>
    <x:row r="333" ht="15" hidden="0" customHeight="1">
      <x:c r="A333" s="11" t="str">
        <x:v>API:observations</x:v>
      </x:c>
      <x:c r="B333" s="11" t="str">
        <x:v>CANONICAL_REGISTRY</x:v>
      </x:c>
      <x:c r="C333" s="11" t="str">
        <x:v>GET /subjects/{subjectId}/observations</x:v>
      </x:c>
      <x:c r="D333" s="11" t="str">
        <x:v>INT29-010</x:v>
      </x:c>
      <x:c r="E333" s="11" t="str">
        <x:v>backend/OPENAPI_UNIFIED_TARGET.json#observations</x:v>
      </x:c>
      <x:c r="F333" s="11" t="str">
        <x:v>NOT_CHECKED</x:v>
      </x:c>
    </x:row>
    <x:row r="334" ht="15" hidden="0" customHeight="1">
      <x:c r="A334" s="11" t="str">
        <x:v>API:observation</x:v>
      </x:c>
      <x:c r="B334" s="11" t="str">
        <x:v>CANONICAL_REGISTRY</x:v>
      </x:c>
      <x:c r="C334" s="11" t="str">
        <x:v>POST /subjects/{subjectId}/observations</x:v>
      </x:c>
      <x:c r="D334" s="11" t="str">
        <x:v>INT29-010</x:v>
      </x:c>
      <x:c r="E334" s="11" t="str">
        <x:v>backend/OPENAPI_UNIFIED_TARGET.json#observation</x:v>
      </x:c>
      <x:c r="F334" s="11" t="str">
        <x:v>NOT_CHECKED</x:v>
      </x:c>
    </x:row>
    <x:row r="335" ht="15" hidden="0" customHeight="1">
      <x:c r="A335" s="11" t="str">
        <x:v>API:questionnaireResponse</x:v>
      </x:c>
      <x:c r="B335" s="11" t="str">
        <x:v>CANONICAL_REGISTRY</x:v>
      </x:c>
      <x:c r="C335" s="11" t="str">
        <x:v>POST /subjects/{subjectId}/questionnaire-responses</x:v>
      </x:c>
      <x:c r="D335" s="11" t="str">
        <x:v>INT29-010</x:v>
      </x:c>
      <x:c r="E335" s="11" t="str">
        <x:v>backend/OPENAPI_UNIFIED_TARGET.json#questionnaireResponse</x:v>
      </x:c>
      <x:c r="F335" s="11" t="str">
        <x:v>NOT_CHECKED</x:v>
      </x:c>
    </x:row>
    <x:row r="336" ht="15" hidden="0" customHeight="1">
      <x:c r="A336" s="11" t="str">
        <x:v>API:createPlan</x:v>
      </x:c>
      <x:c r="B336" s="11" t="str">
        <x:v>CANONICAL_REGISTRY</x:v>
      </x:c>
      <x:c r="C336" s="11" t="str">
        <x:v>POST /subjects/{subjectId}/plans</x:v>
      </x:c>
      <x:c r="D336" s="11" t="str">
        <x:v>INT29-010</x:v>
      </x:c>
      <x:c r="E336" s="11" t="str">
        <x:v>backend/OPENAPI_UNIFIED_TARGET.json#createPlan</x:v>
      </x:c>
      <x:c r="F336" s="11" t="str">
        <x:v>NOT_CHECKED</x:v>
      </x:c>
    </x:row>
    <x:row r="337" ht="15" hidden="0" customHeight="1">
      <x:c r="A337" s="11" t="str">
        <x:v>API:plans</x:v>
      </x:c>
      <x:c r="B337" s="11" t="str">
        <x:v>CANONICAL_REGISTRY</x:v>
      </x:c>
      <x:c r="C337" s="11" t="str">
        <x:v>GET /subjects/{subjectId}/plans</x:v>
      </x:c>
      <x:c r="D337" s="11" t="str">
        <x:v>INT29-010</x:v>
      </x:c>
      <x:c r="E337" s="11" t="str">
        <x:v>backend/OPENAPI_UNIFIED_TARGET.json#plans</x:v>
      </x:c>
      <x:c r="F337" s="11" t="str">
        <x:v>NOT_CHECKED</x:v>
      </x:c>
    </x:row>
    <x:row r="338" ht="15" hidden="0" customHeight="1">
      <x:c r="A338" s="11" t="str">
        <x:v>API:checkin</x:v>
      </x:c>
      <x:c r="B338" s="11" t="str">
        <x:v>CANONICAL_REGISTRY</x:v>
      </x:c>
      <x:c r="C338" s="11" t="str">
        <x:v>POST /actions/{actionId}/check-ins</x:v>
      </x:c>
      <x:c r="D338" s="11" t="str">
        <x:v>INT29-010</x:v>
      </x:c>
      <x:c r="E338" s="11" t="str">
        <x:v>backend/OPENAPI_UNIFIED_TARGET.json#checkin</x:v>
      </x:c>
      <x:c r="F338" s="11" t="str">
        <x:v>NOT_CHECKED</x:v>
      </x:c>
    </x:row>
    <x:row r="339" ht="15" hidden="0" customHeight="1">
      <x:c r="A339" s="11" t="str">
        <x:v>API:timeline</x:v>
      </x:c>
      <x:c r="B339" s="11" t="str">
        <x:v>CANONICAL_REGISTRY</x:v>
      </x:c>
      <x:c r="C339" s="11" t="str">
        <x:v>GET /subjects/{subjectId}/timeline</x:v>
      </x:c>
      <x:c r="D339" s="11" t="str">
        <x:v>INT29-010</x:v>
      </x:c>
      <x:c r="E339" s="11" t="str">
        <x:v>backend/OPENAPI_UNIFIED_TARGET.json#timeline</x:v>
      </x:c>
      <x:c r="F339" s="11" t="str">
        <x:v>NOT_CHECKED</x:v>
      </x:c>
    </x:row>
    <x:row r="340" ht="15" hidden="0" customHeight="1">
      <x:c r="A340" s="11" t="str">
        <x:v>API:analyze</x:v>
      </x:c>
      <x:c r="B340" s="11" t="str">
        <x:v>CANONICAL_REGISTRY</x:v>
      </x:c>
      <x:c r="C340" s="11" t="str">
        <x:v>POST /analysis-runs</x:v>
      </x:c>
      <x:c r="D340" s="11" t="str">
        <x:v>INT29-010</x:v>
      </x:c>
      <x:c r="E340" s="11" t="str">
        <x:v>backend/OPENAPI_UNIFIED_TARGET.json#analyze</x:v>
      </x:c>
      <x:c r="F340" s="11" t="str">
        <x:v>NOT_CHECKED</x:v>
      </x:c>
    </x:row>
    <x:row r="341" ht="15" hidden="0" customHeight="1">
      <x:c r="A341" s="11" t="str">
        <x:v>API:analysisStatus</x:v>
      </x:c>
      <x:c r="B341" s="11" t="str">
        <x:v>CANONICAL_REGISTRY</x:v>
      </x:c>
      <x:c r="C341" s="11" t="str">
        <x:v>GET /analysis-runs/{runId}</x:v>
      </x:c>
      <x:c r="D341" s="11" t="str">
        <x:v>INT29-010</x:v>
      </x:c>
      <x:c r="E341" s="11" t="str">
        <x:v>backend/OPENAPI_UNIFIED_TARGET.json#analysisStatus</x:v>
      </x:c>
      <x:c r="F341" s="11" t="str">
        <x:v>NOT_CHECKED</x:v>
      </x:c>
    </x:row>
    <x:row r="342" ht="15" hidden="0" customHeight="1">
      <x:c r="A342" s="11" t="str">
        <x:v>API:cancelAnalysis</x:v>
      </x:c>
      <x:c r="B342" s="11" t="str">
        <x:v>CANONICAL_REGISTRY</x:v>
      </x:c>
      <x:c r="C342" s="11" t="str">
        <x:v>POST /analysis-runs/{runId}/cancel</x:v>
      </x:c>
      <x:c r="D342" s="11" t="str">
        <x:v>INT29-010</x:v>
      </x:c>
      <x:c r="E342" s="11" t="str">
        <x:v>backend/OPENAPI_UNIFIED_TARGET.json#cancelAnalysis</x:v>
      </x:c>
      <x:c r="F342" s="11" t="str">
        <x:v>NOT_CHECKED</x:v>
      </x:c>
    </x:row>
    <x:row r="343" ht="15" hidden="0" customHeight="1">
      <x:c r="A343" s="11" t="str">
        <x:v>API:analysisResults</x:v>
      </x:c>
      <x:c r="B343" s="11" t="str">
        <x:v>CANONICAL_REGISTRY</x:v>
      </x:c>
      <x:c r="C343" s="11" t="str">
        <x:v>GET /analysis-runs/{runId}/results</x:v>
      </x:c>
      <x:c r="D343" s="11" t="str">
        <x:v>INT29-010</x:v>
      </x:c>
      <x:c r="E343" s="11" t="str">
        <x:v>backend/OPENAPI_UNIFIED_TARGET.json#analysisResults</x:v>
      </x:c>
      <x:c r="F343" s="11" t="str">
        <x:v>NOT_CHECKED</x:v>
      </x:c>
    </x:row>
    <x:row r="344" ht="15" hidden="0" customHeight="1">
      <x:c r="A344" s="11" t="str">
        <x:v>API:methodResult</x:v>
      </x:c>
      <x:c r="B344" s="11" t="str">
        <x:v>CANONICAL_REGISTRY</x:v>
      </x:c>
      <x:c r="C344" s="11" t="str">
        <x:v>GET /results/{resultId}</x:v>
      </x:c>
      <x:c r="D344" s="11" t="str">
        <x:v>INT29-010</x:v>
      </x:c>
      <x:c r="E344" s="11" t="str">
        <x:v>backend/OPENAPI_UNIFIED_TARGET.json#methodResult</x:v>
      </x:c>
      <x:c r="F344" s="11" t="str">
        <x:v>NOT_CHECKED</x:v>
      </x:c>
    </x:row>
    <x:row r="345" ht="15" hidden="0" customHeight="1">
      <x:c r="A345" s="11" t="str">
        <x:v>API:createReport</x:v>
      </x:c>
      <x:c r="B345" s="11" t="str">
        <x:v>CANONICAL_REGISTRY</x:v>
      </x:c>
      <x:c r="C345" s="11" t="str">
        <x:v>POST /reports</x:v>
      </x:c>
      <x:c r="D345" s="11" t="str">
        <x:v>INT29-010</x:v>
      </x:c>
      <x:c r="E345" s="11" t="str">
        <x:v>backend/OPENAPI_UNIFIED_TARGET.json#createReport</x:v>
      </x:c>
      <x:c r="F345" s="11" t="str">
        <x:v>NOT_CHECKED</x:v>
      </x:c>
    </x:row>
    <x:row r="346" ht="15" hidden="0" customHeight="1">
      <x:c r="A346" s="11" t="str">
        <x:v>API:reports</x:v>
      </x:c>
      <x:c r="B346" s="11" t="str">
        <x:v>CANONICAL_REGISTRY</x:v>
      </x:c>
      <x:c r="C346" s="11" t="str">
        <x:v>GET /subjects/{subjectId}/reports</x:v>
      </x:c>
      <x:c r="D346" s="11" t="str">
        <x:v>INT29-010</x:v>
      </x:c>
      <x:c r="E346" s="11" t="str">
        <x:v>backend/OPENAPI_UNIFIED_TARGET.json#reports</x:v>
      </x:c>
      <x:c r="F346" s="11" t="str">
        <x:v>NOT_CHECKED</x:v>
      </x:c>
    </x:row>
    <x:row r="347" ht="15" hidden="0" customHeight="1">
      <x:c r="A347" s="11" t="str">
        <x:v>API:report</x:v>
      </x:c>
      <x:c r="B347" s="11" t="str">
        <x:v>CANONICAL_REGISTRY</x:v>
      </x:c>
      <x:c r="C347" s="11" t="str">
        <x:v>GET /reports/{reportId}</x:v>
      </x:c>
      <x:c r="D347" s="11" t="str">
        <x:v>INT29-010</x:v>
      </x:c>
      <x:c r="E347" s="11" t="str">
        <x:v>backend/OPENAPI_UNIFIED_TARGET.json#report</x:v>
      </x:c>
      <x:c r="F347" s="11" t="str">
        <x:v>NOT_CHECKED</x:v>
      </x:c>
    </x:row>
    <x:row r="348" ht="15" hidden="0" customHeight="1">
      <x:c r="A348" s="11" t="str">
        <x:v>API:reportRevisions</x:v>
      </x:c>
      <x:c r="B348" s="11" t="str">
        <x:v>CANONICAL_REGISTRY</x:v>
      </x:c>
      <x:c r="C348" s="11" t="str">
        <x:v>GET /reports/{reportId}/revisions</x:v>
      </x:c>
      <x:c r="D348" s="11" t="str">
        <x:v>INT29-010</x:v>
      </x:c>
      <x:c r="E348" s="11" t="str">
        <x:v>backend/OPENAPI_UNIFIED_TARGET.json#reportRevisions</x:v>
      </x:c>
      <x:c r="F348" s="11" t="str">
        <x:v>NOT_CHECKED</x:v>
      </x:c>
    </x:row>
    <x:row r="349" ht="15" hidden="0" customHeight="1">
      <x:c r="A349" s="11" t="str">
        <x:v>API:review</x:v>
      </x:c>
      <x:c r="B349" s="11" t="str">
        <x:v>CANONICAL_REGISTRY</x:v>
      </x:c>
      <x:c r="C349" s="11" t="str">
        <x:v>POST /reports/{reportId}/reviews</x:v>
      </x:c>
      <x:c r="D349" s="11" t="str">
        <x:v>INT29-010</x:v>
      </x:c>
      <x:c r="E349" s="11" t="str">
        <x:v>backend/OPENAPI_UNIFIED_TARGET.json#review</x:v>
      </x:c>
      <x:c r="F349" s="11" t="str">
        <x:v>NOT_CHECKED</x:v>
      </x:c>
    </x:row>
    <x:row r="350" ht="15" hidden="0" customHeight="1">
      <x:c r="A350" s="11" t="str">
        <x:v>API:publish</x:v>
      </x:c>
      <x:c r="B350" s="11" t="str">
        <x:v>CANONICAL_REGISTRY</x:v>
      </x:c>
      <x:c r="C350" s="11" t="str">
        <x:v>POST /reports/{reportId}/publish</x:v>
      </x:c>
      <x:c r="D350" s="11" t="str">
        <x:v>INT29-010</x:v>
      </x:c>
      <x:c r="E350" s="11" t="str">
        <x:v>backend/OPENAPI_UNIFIED_TARGET.json#publish</x:v>
      </x:c>
      <x:c r="F350" s="11" t="str">
        <x:v>NOT_CHECKED</x:v>
      </x:c>
    </x:row>
    <x:row r="351" ht="15" hidden="0" customHeight="1">
      <x:c r="A351" s="11" t="str">
        <x:v>API:exportReport</x:v>
      </x:c>
      <x:c r="B351" s="11" t="str">
        <x:v>CANONICAL_REGISTRY</x:v>
      </x:c>
      <x:c r="C351" s="11" t="str">
        <x:v>POST /reports/{reportId}/exports</x:v>
      </x:c>
      <x:c r="D351" s="11" t="str">
        <x:v>INT29-010</x:v>
      </x:c>
      <x:c r="E351" s="11" t="str">
        <x:v>backend/OPENAPI_UNIFIED_TARGET.json#exportReport</x:v>
      </x:c>
      <x:c r="F351" s="11" t="str">
        <x:v>NOT_CHECKED</x:v>
      </x:c>
    </x:row>
    <x:row r="352" ht="15" hidden="0" customHeight="1">
      <x:c r="A352" s="11" t="str">
        <x:v>API:downloadArtifact</x:v>
      </x:c>
      <x:c r="B352" s="11" t="str">
        <x:v>CANONICAL_REGISTRY</x:v>
      </x:c>
      <x:c r="C352" s="11" t="str">
        <x:v>GET /artifacts/{artifactId}/download</x:v>
      </x:c>
      <x:c r="D352" s="11" t="str">
        <x:v>INT29-010</x:v>
      </x:c>
      <x:c r="E352" s="11" t="str">
        <x:v>backend/OPENAPI_UNIFIED_TARGET.json#downloadArtifact</x:v>
      </x:c>
      <x:c r="F352" s="11" t="str">
        <x:v>NOT_CHECKED</x:v>
      </x:c>
    </x:row>
    <x:row r="353" ht="15" hidden="0" customHeight="1">
      <x:c r="A353" s="11" t="str">
        <x:v>API:order</x:v>
      </x:c>
      <x:c r="B353" s="11" t="str">
        <x:v>CANONICAL_REGISTRY</x:v>
      </x:c>
      <x:c r="C353" s="11" t="str">
        <x:v>POST /orders</x:v>
      </x:c>
      <x:c r="D353" s="11" t="str">
        <x:v>INT29-010</x:v>
      </x:c>
      <x:c r="E353" s="11" t="str">
        <x:v>backend/OPENAPI_UNIFIED_TARGET.json#order</x:v>
      </x:c>
      <x:c r="F353" s="11" t="str">
        <x:v>NOT_CHECKED</x:v>
      </x:c>
    </x:row>
    <x:row r="354" ht="15" hidden="0" customHeight="1">
      <x:c r="A354" s="11" t="str">
        <x:v>API:orderStatus</x:v>
      </x:c>
      <x:c r="B354" s="11" t="str">
        <x:v>CANONICAL_REGISTRY</x:v>
      </x:c>
      <x:c r="C354" s="11" t="str">
        <x:v>GET /orders/{orderId}</x:v>
      </x:c>
      <x:c r="D354" s="11" t="str">
        <x:v>INT29-010</x:v>
      </x:c>
      <x:c r="E354" s="11" t="str">
        <x:v>backend/OPENAPI_UNIFIED_TARGET.json#orderStatus</x:v>
      </x:c>
      <x:c r="F354" s="11" t="str">
        <x:v>NOT_CHECKED</x:v>
      </x:c>
    </x:row>
    <x:row r="355" ht="15" hidden="0" customHeight="1">
      <x:c r="A355" s="11" t="str">
        <x:v>API:checkout</x:v>
      </x:c>
      <x:c r="B355" s="11" t="str">
        <x:v>CANONICAL_REGISTRY</x:v>
      </x:c>
      <x:c r="C355" s="11" t="str">
        <x:v>POST /orders/{orderId}/checkout</x:v>
      </x:c>
      <x:c r="D355" s="11" t="str">
        <x:v>INT29-010</x:v>
      </x:c>
      <x:c r="E355" s="11" t="str">
        <x:v>backend/OPENAPI_UNIFIED_TARGET.json#checkout</x:v>
      </x:c>
      <x:c r="F355" s="11" t="str">
        <x:v>NOT_CHECKED</x:v>
      </x:c>
    </x:row>
    <x:row r="356" ht="15" hidden="0" customHeight="1">
      <x:c r="A356" s="11" t="str">
        <x:v>API:requestRefund</x:v>
      </x:c>
      <x:c r="B356" s="11" t="str">
        <x:v>CANONICAL_REGISTRY</x:v>
      </x:c>
      <x:c r="C356" s="11" t="str">
        <x:v>POST /orders/{orderId}/refund-requests</x:v>
      </x:c>
      <x:c r="D356" s="11" t="str">
        <x:v>INT29-010</x:v>
      </x:c>
      <x:c r="E356" s="11" t="str">
        <x:v>backend/OPENAPI_UNIFIED_TARGET.json#requestRefund</x:v>
      </x:c>
      <x:c r="F356" s="11" t="str">
        <x:v>NOT_CHECKED</x:v>
      </x:c>
    </x:row>
    <x:row r="357" ht="15" hidden="0" customHeight="1">
      <x:c r="A357" s="11" t="str">
        <x:v>API:paymentWebhook</x:v>
      </x:c>
      <x:c r="B357" s="11" t="str">
        <x:v>CANONICAL_REGISTRY</x:v>
      </x:c>
      <x:c r="C357" s="11" t="str">
        <x:v>POST /webhooks/payments/{providerId}</x:v>
      </x:c>
      <x:c r="D357" s="11" t="str">
        <x:v>INT29-010</x:v>
      </x:c>
      <x:c r="E357" s="11" t="str">
        <x:v>backend/OPENAPI_UNIFIED_TARGET.json#paymentWebhook</x:v>
      </x:c>
      <x:c r="F357" s="11" t="str">
        <x:v>NOT_CHECKED</x:v>
      </x:c>
    </x:row>
    <x:row r="358" ht="15" hidden="0" customHeight="1">
      <x:c r="A358" s="11" t="str">
        <x:v>API:entitlements</x:v>
      </x:c>
      <x:c r="B358" s="11" t="str">
        <x:v>CANONICAL_REGISTRY</x:v>
      </x:c>
      <x:c r="C358" s="11" t="str">
        <x:v>GET /entitlements</x:v>
      </x:c>
      <x:c r="D358" s="11" t="str">
        <x:v>INT29-010</x:v>
      </x:c>
      <x:c r="E358" s="11" t="str">
        <x:v>backend/OPENAPI_UNIFIED_TARGET.json#entitlements</x:v>
      </x:c>
      <x:c r="F358" s="11" t="str">
        <x:v>NOT_CHECKED</x:v>
      </x:c>
    </x:row>
    <x:row r="359" ht="15" hidden="0" customHeight="1">
      <x:c r="A359" s="11" t="str">
        <x:v>API:ticket</x:v>
      </x:c>
      <x:c r="B359" s="11" t="str">
        <x:v>CANONICAL_REGISTRY</x:v>
      </x:c>
      <x:c r="C359" s="11" t="str">
        <x:v>POST /support/tickets</x:v>
      </x:c>
      <x:c r="D359" s="11" t="str">
        <x:v>INT29-010</x:v>
      </x:c>
      <x:c r="E359" s="11" t="str">
        <x:v>backend/OPENAPI_UNIFIED_TARGET.json#ticket</x:v>
      </x:c>
      <x:c r="F359" s="11" t="str">
        <x:v>NOT_CHECKED</x:v>
      </x:c>
    </x:row>
    <x:row r="360" ht="15" hidden="0" customHeight="1">
      <x:c r="A360" s="11" t="str">
        <x:v>API:ticketStatus</x:v>
      </x:c>
      <x:c r="B360" s="11" t="str">
        <x:v>CANONICAL_REGISTRY</x:v>
      </x:c>
      <x:c r="C360" s="11" t="str">
        <x:v>GET /support/tickets/{ticketId}</x:v>
      </x:c>
      <x:c r="D360" s="11" t="str">
        <x:v>INT29-010</x:v>
      </x:c>
      <x:c r="E360" s="11" t="str">
        <x:v>backend/OPENAPI_UNIFIED_TARGET.json#ticketStatus</x:v>
      </x:c>
      <x:c r="F360" s="11" t="str">
        <x:v>NOT_CHECKED</x:v>
      </x:c>
    </x:row>
    <x:row r="361" ht="15" hidden="0" customHeight="1">
      <x:c r="A361" s="11" t="str">
        <x:v>API:privacyExport</x:v>
      </x:c>
      <x:c r="B361" s="11" t="str">
        <x:v>CANONICAL_REGISTRY</x:v>
      </x:c>
      <x:c r="C361" s="11" t="str">
        <x:v>POST /subjects/{subjectId}/data-exports</x:v>
      </x:c>
      <x:c r="D361" s="11" t="str">
        <x:v>INT29-010</x:v>
      </x:c>
      <x:c r="E361" s="11" t="str">
        <x:v>backend/OPENAPI_UNIFIED_TARGET.json#privacyExport</x:v>
      </x:c>
      <x:c r="F361" s="11" t="str">
        <x:v>NOT_CHECKED</x:v>
      </x:c>
    </x:row>
    <x:row r="362" ht="15" hidden="0" customHeight="1">
      <x:c r="A362" s="11" t="str">
        <x:v>API:deleteSubject</x:v>
      </x:c>
      <x:c r="B362" s="11" t="str">
        <x:v>CANONICAL_REGISTRY</x:v>
      </x:c>
      <x:c r="C362" s="11" t="str">
        <x:v>POST /subjects/{subjectId}/deletion-jobs</x:v>
      </x:c>
      <x:c r="D362" s="11" t="str">
        <x:v>INT29-010</x:v>
      </x:c>
      <x:c r="E362" s="11" t="str">
        <x:v>backend/OPENAPI_UNIFIED_TARGET.json#deleteSubject</x:v>
      </x:c>
      <x:c r="F362" s="11" t="str">
        <x:v>NOT_CHECKED</x:v>
      </x:c>
    </x:row>
    <x:row r="363" ht="15" hidden="0" customHeight="1">
      <x:c r="A363" s="11" t="str">
        <x:v>API:deletionStatus</x:v>
      </x:c>
      <x:c r="B363" s="11" t="str">
        <x:v>CANONICAL_REGISTRY</x:v>
      </x:c>
      <x:c r="C363" s="11" t="str">
        <x:v>GET /deletion-jobs/{jobId}</x:v>
      </x:c>
      <x:c r="D363" s="11" t="str">
        <x:v>INT29-010</x:v>
      </x:c>
      <x:c r="E363" s="11" t="str">
        <x:v>backend/OPENAPI_UNIFIED_TARGET.json#deletionStatus</x:v>
      </x:c>
      <x:c r="F363" s="11" t="str">
        <x:v>NOT_CHECKED</x:v>
      </x:c>
    </x:row>
    <x:row r="364" ht="15" hidden="0" customHeight="1">
      <x:c r="A364" s="11" t="str">
        <x:v>API:jobStatus</x:v>
      </x:c>
      <x:c r="B364" s="11" t="str">
        <x:v>CANONICAL_REGISTRY</x:v>
      </x:c>
      <x:c r="C364" s="11" t="str">
        <x:v>GET /jobs/{jobId}</x:v>
      </x:c>
      <x:c r="D364" s="11" t="str">
        <x:v>INT29-010</x:v>
      </x:c>
      <x:c r="E364" s="11" t="str">
        <x:v>backend/OPENAPI_UNIFIED_TARGET.json#jobStatus</x:v>
      </x:c>
      <x:c r="F364" s="11" t="str">
        <x:v>NOT_CHECKED</x:v>
      </x:c>
    </x:row>
    <x:row r="365" ht="15" hidden="0" customHeight="1">
      <x:c r="A365" s="11" t="str">
        <x:v>API:newAutomation</x:v>
      </x:c>
      <x:c r="B365" s="11" t="str">
        <x:v>CANONICAL_REGISTRY</x:v>
      </x:c>
      <x:c r="C365" s="11" t="str">
        <x:v>POST /automations</x:v>
      </x:c>
      <x:c r="D365" s="11" t="str">
        <x:v>INT29-010</x:v>
      </x:c>
      <x:c r="E365" s="11" t="str">
        <x:v>backend/OPENAPI_UNIFIED_TARGET.json#newAutomation</x:v>
      </x:c>
      <x:c r="F365" s="11" t="str">
        <x:v>NOT_CHECKED</x:v>
      </x:c>
    </x:row>
    <x:row r="366" ht="15" hidden="0" customHeight="1">
      <x:c r="A366" s="11" t="str">
        <x:v>API:stopAutomation</x:v>
      </x:c>
      <x:c r="B366" s="11" t="str">
        <x:v>CANONICAL_REGISTRY</x:v>
      </x:c>
      <x:c r="C366" s="11" t="str">
        <x:v>DELETE /automations/{automationId}</x:v>
      </x:c>
      <x:c r="D366" s="11" t="str">
        <x:v>INT29-010</x:v>
      </x:c>
      <x:c r="E366" s="11" t="str">
        <x:v>backend/OPENAPI_UNIFIED_TARGET.json#stopAutomation</x:v>
      </x:c>
      <x:c r="F366" s="11" t="str">
        <x:v>NOT_CHECKED</x:v>
      </x:c>
    </x:row>
    <x:row r="367" ht="15" hidden="0" customHeight="1">
      <x:c r="A367" s="11" t="str">
        <x:v>API:cases</x:v>
      </x:c>
      <x:c r="B367" s="11" t="str">
        <x:v>CANONICAL_REGISTRY</x:v>
      </x:c>
      <x:c r="C367" s="11" t="str">
        <x:v>GET /practice/cases</x:v>
      </x:c>
      <x:c r="D367" s="11" t="str">
        <x:v>INT29-010</x:v>
      </x:c>
      <x:c r="E367" s="11" t="str">
        <x:v>backend/OPENAPI_UNIFIED_TARGET.json#cases</x:v>
      </x:c>
      <x:c r="F367" s="11" t="str">
        <x:v>NOT_CHECKED</x:v>
      </x:c>
    </x:row>
    <x:row r="368" ht="15" hidden="0" customHeight="1">
      <x:c r="A368" s="11" t="str">
        <x:v>API:caseDetail</x:v>
      </x:c>
      <x:c r="B368" s="11" t="str">
        <x:v>CANONICAL_REGISTRY</x:v>
      </x:c>
      <x:c r="C368" s="11" t="str">
        <x:v>GET /practice/cases/{caseId}</x:v>
      </x:c>
      <x:c r="D368" s="11" t="str">
        <x:v>INT29-010</x:v>
      </x:c>
      <x:c r="E368" s="11" t="str">
        <x:v>backend/OPENAPI_UNIFIED_TARGET.json#caseDetail</x:v>
      </x:c>
      <x:c r="F368" s="11" t="str">
        <x:v>NOT_CHECKED</x:v>
      </x:c>
    </x:row>
    <x:row r="369" ht="15" hidden="0" customHeight="1">
      <x:c r="A369" s="11" t="str">
        <x:v>API:courses</x:v>
      </x:c>
      <x:c r="B369" s="11" t="str">
        <x:v>CANONICAL_REGISTRY</x:v>
      </x:c>
      <x:c r="C369" s="11" t="str">
        <x:v>GET /academy/courses</x:v>
      </x:c>
      <x:c r="D369" s="11" t="str">
        <x:v>INT29-010</x:v>
      </x:c>
      <x:c r="E369" s="11" t="str">
        <x:v>backend/OPENAPI_UNIFIED_TARGET.json#courses</x:v>
      </x:c>
      <x:c r="F369" s="11" t="str">
        <x:v>NOT_CHECKED</x:v>
      </x:c>
    </x:row>
    <x:row r="370" ht="15" hidden="0" customHeight="1">
      <x:c r="A370" s="11" t="str">
        <x:v>API:assignment</x:v>
      </x:c>
      <x:c r="B370" s="11" t="str">
        <x:v>CANONICAL_REGISTRY</x:v>
      </x:c>
      <x:c r="C370" s="11" t="str">
        <x:v>POST /academy/assignments</x:v>
      </x:c>
      <x:c r="D370" s="11" t="str">
        <x:v>INT29-010</x:v>
      </x:c>
      <x:c r="E370" s="11" t="str">
        <x:v>backend/OPENAPI_UNIFIED_TARGET.json#assignment</x:v>
      </x:c>
      <x:c r="F370" s="11" t="str">
        <x:v>NOT_CHECKED</x:v>
      </x:c>
    </x:row>
    <x:row r="371" ht="15" hidden="0" customHeight="1">
      <x:c r="A371" s="11" t="str">
        <x:v>API:verifyCertificate</x:v>
      </x:c>
      <x:c r="B371" s="11" t="str">
        <x:v>CANONICAL_REGISTRY</x:v>
      </x:c>
      <x:c r="C371" s="11" t="str">
        <x:v>GET /certificates/{certificateId}</x:v>
      </x:c>
      <x:c r="D371" s="11" t="str">
        <x:v>INT29-010</x:v>
      </x:c>
      <x:c r="E371" s="11" t="str">
        <x:v>backend/OPENAPI_UNIFIED_TARGET.json#verifyCertificate</x:v>
      </x:c>
      <x:c r="F371" s="11" t="str">
        <x:v>NOT_CHECKED</x:v>
      </x:c>
    </x:row>
    <x:row r="372" ht="15" hidden="0" customHeight="1">
      <x:c r="A372" s="11" t="str">
        <x:v>API:organizationOverview</x:v>
      </x:c>
      <x:c r="B372" s="11" t="str">
        <x:v>CANONICAL_REGISTRY</x:v>
      </x:c>
      <x:c r="C372" s="11" t="str">
        <x:v>GET /organizations/{organizationId}/overview</x:v>
      </x:c>
      <x:c r="D372" s="11" t="str">
        <x:v>INT29-010</x:v>
      </x:c>
      <x:c r="E372" s="11" t="str">
        <x:v>backend/OPENAPI_UNIFIED_TARGET.json#organizationOverview</x:v>
      </x:c>
      <x:c r="F372" s="11" t="str">
        <x:v>NOT_CHECKED</x:v>
      </x:c>
    </x:row>
    <x:row r="373" ht="15" hidden="0" customHeight="1">
      <x:c r="A373" s="11" t="str">
        <x:v>API:partner</x:v>
      </x:c>
      <x:c r="B373" s="11" t="str">
        <x:v>CANONICAL_REGISTRY</x:v>
      </x:c>
      <x:c r="C373" s="11" t="str">
        <x:v>GET /partners/{partnerId}</x:v>
      </x:c>
      <x:c r="D373" s="11" t="str">
        <x:v>INT29-010</x:v>
      </x:c>
      <x:c r="E373" s="11" t="str">
        <x:v>backend/OPENAPI_UNIFIED_TARGET.json#partner</x:v>
      </x:c>
      <x:c r="F373" s="11" t="str">
        <x:v>NOT_CHECKED</x:v>
      </x:c>
    </x:row>
    <x:row r="374" ht="15" hidden="0" customHeight="1">
      <x:c r="A374" s="11" t="str">
        <x:v>API:methodReleaseDraft</x:v>
      </x:c>
      <x:c r="B374" s="11" t="str">
        <x:v>CANONICAL_REGISTRY</x:v>
      </x:c>
      <x:c r="C374" s="11" t="str">
        <x:v>POST /admin/method-releases</x:v>
      </x:c>
      <x:c r="D374" s="11" t="str">
        <x:v>INT29-010</x:v>
      </x:c>
      <x:c r="E374" s="11" t="str">
        <x:v>backend/OPENAPI_UNIFIED_TARGET.json#methodReleaseDraft</x:v>
      </x:c>
      <x:c r="F374" s="11" t="str">
        <x:v>NOT_CHECKED</x:v>
      </x:c>
    </x:row>
    <x:row r="375" ht="15" hidden="0" customHeight="1">
      <x:c r="A375" s="11" t="str">
        <x:v>API:countryPackReview</x:v>
      </x:c>
      <x:c r="B375" s="11" t="str">
        <x:v>CANONICAL_REGISTRY</x:v>
      </x:c>
      <x:c r="C375" s="11" t="str">
        <x:v>POST /admin/country-packs</x:v>
      </x:c>
      <x:c r="D375" s="11" t="str">
        <x:v>INT29-010</x:v>
      </x:c>
      <x:c r="E375" s="11" t="str">
        <x:v>backend/OPENAPI_UNIFIED_TARGET.json#countryPackReview</x:v>
      </x:c>
      <x:c r="F375" s="11" t="str">
        <x:v>NOT_CHECKED</x:v>
      </x:c>
    </x:row>
    <x:row r="376" ht="15" hidden="0" customHeight="1">
      <x:c r="A376" s="11" t="str">
        <x:v>API:quality</x:v>
      </x:c>
      <x:c r="B376" s="11" t="str">
        <x:v>CANONICAL_REGISTRY</x:v>
      </x:c>
      <x:c r="C376" s="11" t="str">
        <x:v>GET /admin/quality</x:v>
      </x:c>
      <x:c r="D376" s="11" t="str">
        <x:v>INT29-010</x:v>
      </x:c>
      <x:c r="E376" s="11" t="str">
        <x:v>backend/OPENAPI_UNIFIED_TARGET.json#quality</x:v>
      </x:c>
      <x:c r="F376" s="11" t="str">
        <x:v>NOT_CHECKED</x:v>
      </x:c>
    </x:row>
    <x:row r="377" ht="15" hidden="0" customHeight="1">
      <x:c r="A377" s="11" t="str">
        <x:v>API:operations</x:v>
      </x:c>
      <x:c r="B377" s="11" t="str">
        <x:v>CANONICAL_REGISTRY</x:v>
      </x:c>
      <x:c r="C377" s="11" t="str">
        <x:v>GET /admin/operations</x:v>
      </x:c>
      <x:c r="D377" s="11" t="str">
        <x:v>INT29-010</x:v>
      </x:c>
      <x:c r="E377" s="11" t="str">
        <x:v>backend/OPENAPI_UNIFIED_TARGET.json#operations</x:v>
      </x:c>
      <x:c r="F377" s="11" t="str">
        <x:v>NOT_CHECKED</x:v>
      </x:c>
    </x:row>
    <x:row r="378" ht="15" hidden="0" customHeight="1">
      <x:c r="A378" s="11" t="str">
        <x:v>API:compareRuns</x:v>
      </x:c>
      <x:c r="B378" s="11" t="str">
        <x:v>CANONICAL_REGISTRY</x:v>
      </x:c>
      <x:c r="C378" s="11" t="str">
        <x:v>POST /analysis-runs/compare</x:v>
      </x:c>
      <x:c r="D378" s="11" t="str">
        <x:v>INT29-010</x:v>
      </x:c>
      <x:c r="E378" s="11" t="str">
        <x:v>backend/OPENAPI_UNIFIED_TARGET.json#compareRuns</x:v>
      </x:c>
      <x:c r="F378" s="11" t="str">
        <x:v>NOT_CHECKED</x:v>
      </x:c>
    </x:row>
    <x:row r="379" ht="15" hidden="0" customHeight="1">
      <x:c r="A379" s="11" t="str">
        <x:v>API:previewMethod</x:v>
      </x:c>
      <x:c r="B379" s="11" t="str">
        <x:v>CANONICAL_REGISTRY</x:v>
      </x:c>
      <x:c r="C379" s="11" t="str">
        <x:v>POST /methods/{methodId}/preview</x:v>
      </x:c>
      <x:c r="D379" s="11" t="str">
        <x:v>INT29-010</x:v>
      </x:c>
      <x:c r="E379" s="11" t="str">
        <x:v>backend/OPENAPI_UNIFIED_TARGET.json#previewMethod</x:v>
      </x:c>
      <x:c r="F379" s="11" t="str">
        <x:v>NOT_CHECKED</x:v>
      </x:c>
    </x:row>
    <x:row r="380" ht="15" hidden="0" customHeight="1">
      <x:c r="A380" s="11" t="str">
        <x:v>API:methodDependencies</x:v>
      </x:c>
      <x:c r="B380" s="11" t="str">
        <x:v>CANONICAL_REGISTRY</x:v>
      </x:c>
      <x:c r="C380" s="11" t="str">
        <x:v>GET /methods/{methodId}/dependencies</x:v>
      </x:c>
      <x:c r="D380" s="11" t="str">
        <x:v>INT29-010</x:v>
      </x:c>
      <x:c r="E380" s="11" t="str">
        <x:v>backend/OPENAPI_UNIFIED_TARGET.json#methodDependencies</x:v>
      </x:c>
      <x:c r="F380" s="11" t="str">
        <x:v>NOT_CHECKED</x:v>
      </x:c>
    </x:row>
    <x:row r="381" ht="15" hidden="0" customHeight="1">
      <x:c r="A381" s="11" t="str">
        <x:v>API:methodTestVectors</x:v>
      </x:c>
      <x:c r="B381" s="11" t="str">
        <x:v>CANONICAL_REGISTRY</x:v>
      </x:c>
      <x:c r="C381" s="11" t="str">
        <x:v>GET /methods/{methodId}/test-vectors</x:v>
      </x:c>
      <x:c r="D381" s="11" t="str">
        <x:v>INT29-010</x:v>
      </x:c>
      <x:c r="E381" s="11" t="str">
        <x:v>backend/OPENAPI_UNIFIED_TARGET.json#methodTestVectors</x:v>
      </x:c>
      <x:c r="F381" s="11" t="str">
        <x:v>NOT_CHECKED</x:v>
      </x:c>
    </x:row>
    <x:row r="382" ht="15" hidden="0" customHeight="1">
      <x:c r="A382" s="11" t="str">
        <x:v>API:resolveHypotheses</x:v>
      </x:c>
      <x:c r="B382" s="11" t="str">
        <x:v>CANONICAL_REGISTRY</x:v>
      </x:c>
      <x:c r="C382" s="11" t="str">
        <x:v>POST /subjects/{subjectId}/hypotheses/resolve</x:v>
      </x:c>
      <x:c r="D382" s="11" t="str">
        <x:v>INT29-010</x:v>
      </x:c>
      <x:c r="E382" s="11" t="str">
        <x:v>backend/OPENAPI_UNIFIED_TARGET.json#resolveHypotheses</x:v>
      </x:c>
      <x:c r="F382" s="11" t="str">
        <x:v>NOT_CHECKED</x:v>
      </x:c>
    </x:row>
    <x:row r="383" ht="15" hidden="0" customHeight="1">
      <x:c r="A383" s="11" t="str">
        <x:v>API:runTrace</x:v>
      </x:c>
      <x:c r="B383" s="11" t="str">
        <x:v>CANONICAL_REGISTRY</x:v>
      </x:c>
      <x:c r="C383" s="11" t="str">
        <x:v>GET /analysis-runs/{runId}/trace</x:v>
      </x:c>
      <x:c r="D383" s="11" t="str">
        <x:v>INT29-010</x:v>
      </x:c>
      <x:c r="E383" s="11" t="str">
        <x:v>backend/OPENAPI_UNIFIED_TARGET.json#runTrace</x:v>
      </x:c>
      <x:c r="F383" s="11" t="str">
        <x:v>NOT_CHECKED</x:v>
      </x:c>
    </x:row>
    <x:row r="384" ht="15" hidden="0" customHeight="1">
      <x:c r="A384" s="11" t="str">
        <x:v>API:runDependencies</x:v>
      </x:c>
      <x:c r="B384" s="11" t="str">
        <x:v>CANONICAL_REGISTRY</x:v>
      </x:c>
      <x:c r="C384" s="11" t="str">
        <x:v>GET /analysis-runs/{runId}/dependencies</x:v>
      </x:c>
      <x:c r="D384" s="11" t="str">
        <x:v>INT29-010</x:v>
      </x:c>
      <x:c r="E384" s="11" t="str">
        <x:v>backend/OPENAPI_UNIFIED_TARGET.json#runDependencies</x:v>
      </x:c>
      <x:c r="F384" s="11" t="str">
        <x:v>NOT_CHECKED</x:v>
      </x:c>
    </x:row>
    <x:row r="385" ht="15" hidden="0" customHeight="1">
      <x:c r="A385" s="11" t="str">
        <x:v>API:claimProvenance</x:v>
      </x:c>
      <x:c r="B385" s="11" t="str">
        <x:v>CANONICAL_REGISTRY</x:v>
      </x:c>
      <x:c r="C385" s="11" t="str">
        <x:v>GET /claims/{claimId}/provenance</x:v>
      </x:c>
      <x:c r="D385" s="11" t="str">
        <x:v>INT29-010</x:v>
      </x:c>
      <x:c r="E385" s="11" t="str">
        <x:v>backend/OPENAPI_UNIFIED_TARGET.json#claimProvenance</x:v>
      </x:c>
      <x:c r="F385" s="11" t="str">
        <x:v>NOT_CHECKED</x:v>
      </x:c>
    </x:row>
    <x:row r="386" ht="15" hidden="0" customHeight="1">
      <x:c r="A386" s="11" t="str">
        <x:v>API:reviewReportV2</x:v>
      </x:c>
      <x:c r="B386" s="11" t="str">
        <x:v>CANONICAL_REGISTRY</x:v>
      </x:c>
      <x:c r="C386" s="11" t="str">
        <x:v>POST /reports/{reportId}/review</x:v>
      </x:c>
      <x:c r="D386" s="11" t="str">
        <x:v>INT29-010</x:v>
      </x:c>
      <x:c r="E386" s="11" t="str">
        <x:v>backend/OPENAPI_UNIFIED_TARGET.json#reviewReportV2</x:v>
      </x:c>
      <x:c r="F386" s="11" t="str">
        <x:v>NOT_CHECKED</x:v>
      </x:c>
    </x:row>
    <x:row r="387" ht="15" hidden="0" customHeight="1">
      <x:c r="A387" s="11" t="str">
        <x:v>API:withdrawReportV2</x:v>
      </x:c>
      <x:c r="B387" s="11" t="str">
        <x:v>CANONICAL_REGISTRY</x:v>
      </x:c>
      <x:c r="C387" s="11" t="str">
        <x:v>POST /reports/{reportId}/withdraw</x:v>
      </x:c>
      <x:c r="D387" s="11" t="str">
        <x:v>INT29-010</x:v>
      </x:c>
      <x:c r="E387" s="11" t="str">
        <x:v>backend/OPENAPI_UNIFIED_TARGET.json#withdrawReportV2</x:v>
      </x:c>
      <x:c r="F387" s="11" t="str">
        <x:v>NOT_CHECKED</x:v>
      </x:c>
    </x:row>
    <x:row r="388" ht="15" hidden="0" customHeight="1">
      <x:c r="A388" s="11" t="str">
        <x:v>API:reportDiff</x:v>
      </x:c>
      <x:c r="B388" s="11" t="str">
        <x:v>CANONICAL_REGISTRY</x:v>
      </x:c>
      <x:c r="C388" s="11" t="str">
        <x:v>GET /reports/{reportId}/diff/{previousId}</x:v>
      </x:c>
      <x:c r="D388" s="11" t="str">
        <x:v>INT29-010</x:v>
      </x:c>
      <x:c r="E388" s="11" t="str">
        <x:v>backend/OPENAPI_UNIFIED_TARGET.json#reportDiff</x:v>
      </x:c>
      <x:c r="F388" s="11" t="str">
        <x:v>NOT_CHECKED</x:v>
      </x:c>
    </x:row>
    <x:row r="389" ht="15" hidden="0" customHeight="1">
      <x:c r="A389" s="11" t="str">
        <x:v>API:newDeletionV2</x:v>
      </x:c>
      <x:c r="B389" s="11" t="str">
        <x:v>CANONICAL_REGISTRY</x:v>
      </x:c>
      <x:c r="C389" s="11" t="str">
        <x:v>POST /privacy/deletion-requests</x:v>
      </x:c>
      <x:c r="D389" s="11" t="str">
        <x:v>INT29-010</x:v>
      </x:c>
      <x:c r="E389" s="11" t="str">
        <x:v>backend/OPENAPI_UNIFIED_TARGET.json#newDeletionV2</x:v>
      </x:c>
      <x:c r="F389" s="11" t="str">
        <x:v>NOT_CHECKED</x:v>
      </x:c>
    </x:row>
    <x:row r="390" ht="15" hidden="0" customHeight="1">
      <x:c r="A390" s="11" t="str">
        <x:v>API:deletionStatusV2</x:v>
      </x:c>
      <x:c r="B390" s="11" t="str">
        <x:v>CANONICAL_REGISTRY</x:v>
      </x:c>
      <x:c r="C390" s="11" t="str">
        <x:v>GET /privacy/deletion-requests/{requestId}</x:v>
      </x:c>
      <x:c r="D390" s="11" t="str">
        <x:v>INT29-010</x:v>
      </x:c>
      <x:c r="E390" s="11" t="str">
        <x:v>backend/OPENAPI_UNIFIED_TARGET.json#deletionStatusV2</x:v>
      </x:c>
      <x:c r="F390" s="11" t="str">
        <x:v>NOT_CHECKED</x:v>
      </x:c>
    </x:row>
    <x:row r="391" ht="15" hidden="0" customHeight="1">
      <x:c r="A391" s="11" t="str">
        <x:v>API:countryEligibility</x:v>
      </x:c>
      <x:c r="B391" s="11" t="str">
        <x:v>CANONICAL_REGISTRY</x:v>
      </x:c>
      <x:c r="C391" s="11" t="str">
        <x:v>GET /country-packs/{countryId}/eligibility</x:v>
      </x:c>
      <x:c r="D391" s="11" t="str">
        <x:v>INT29-010</x:v>
      </x:c>
      <x:c r="E391" s="11" t="str">
        <x:v>backend/OPENAPI_UNIFIED_TARGET.json#countryEligibility</x:v>
      </x:c>
      <x:c r="F391" s="11" t="str">
        <x:v>NOT_CHECKED</x:v>
      </x:c>
    </x:row>
    <x:row r="392" ht="15" hidden="0" customHeight="1">
      <x:c r="A392" s="11" t="str">
        <x:v>API:releaseImpact</x:v>
      </x:c>
      <x:c r="B392" s="11" t="str">
        <x:v>CANONICAL_REGISTRY</x:v>
      </x:c>
      <x:c r="C392" s="11" t="str">
        <x:v>GET /operations/method-releases/{releaseId}/impact</x:v>
      </x:c>
      <x:c r="D392" s="11" t="str">
        <x:v>INT29-010</x:v>
      </x:c>
      <x:c r="E392" s="11" t="str">
        <x:v>backend/OPENAPI_UNIFIED_TARGET.json#releaseImpact</x:v>
      </x:c>
      <x:c r="F392" s="11" t="str">
        <x:v>NOT_CHECKED</x:v>
      </x:c>
    </x:row>
    <x:row r="393" ht="15" hidden="0" customHeight="1">
      <x:c r="A393" s="11" t="str">
        <x:v>API:freezeMethod</x:v>
      </x:c>
      <x:c r="B393" s="11" t="str">
        <x:v>CANONICAL_REGISTRY</x:v>
      </x:c>
      <x:c r="C393" s="11" t="str">
        <x:v>POST /operations/method-releases/{releaseId}/freeze</x:v>
      </x:c>
      <x:c r="D393" s="11" t="str">
        <x:v>INT29-010</x:v>
      </x:c>
      <x:c r="E393" s="11" t="str">
        <x:v>backend/OPENAPI_UNIFIED_TARGET.json#freezeMethod</x:v>
      </x:c>
      <x:c r="F393" s="11" t="str">
        <x:v>NOT_CHECKED</x:v>
      </x:c>
    </x:row>
    <x:row r="394" ht="15" hidden="0" customHeight="1">
      <x:c r="A394" s="11" t="str">
        <x:v>API:resonanceSummaryV2</x:v>
      </x:c>
      <x:c r="B394" s="11" t="str">
        <x:v>CANONICAL_REGISTRY</x:v>
      </x:c>
      <x:c r="C394" s="11" t="str">
        <x:v>GET /subjects/{subjectId}/resonance/summary</x:v>
      </x:c>
      <x:c r="D394" s="11" t="str">
        <x:v>INT29-010</x:v>
      </x:c>
      <x:c r="E394" s="11" t="str">
        <x:v>backend/OPENAPI_UNIFIED_TARGET.json#resonanceSummaryV2</x:v>
      </x:c>
      <x:c r="F394" s="11" t="str">
        <x:v>NOT_CHECKED</x:v>
      </x:c>
    </x:row>
    <x:row r="395" ht="15" hidden="0" customHeight="1">
      <x:c r="A395" s="11" t="str">
        <x:v>API:syncOfflineBatch</x:v>
      </x:c>
      <x:c r="B395" s="11" t="str">
        <x:v>CANONICAL_REGISTRY</x:v>
      </x:c>
      <x:c r="C395" s="11" t="str">
        <x:v>POST /subjects/{subjectId}/offline-batches</x:v>
      </x:c>
      <x:c r="D395" s="11" t="str">
        <x:v>INT29-010</x:v>
      </x:c>
      <x:c r="E395" s="11" t="str">
        <x:v>backend/OPENAPI_UNIFIED_TARGET.json#syncOfflineBatch</x:v>
      </x:c>
      <x:c r="F395" s="11" t="str">
        <x:v>NOT_CHECKED</x:v>
      </x:c>
    </x:row>
    <x:row r="396" ht="15" hidden="0" customHeight="1">
      <x:c r="A396" s="11" t="str">
        <x:v>API:computeNumerologyFull</x:v>
      </x:c>
      <x:c r="B396" s="11" t="str">
        <x:v>CANONICAL_REGISTRY</x:v>
      </x:c>
      <x:c r="C396" s="11" t="str">
        <x:v>POST /numbers/numerology-full</x:v>
      </x:c>
      <x:c r="D396" s="11" t="str">
        <x:v>INT29-010</x:v>
      </x:c>
      <x:c r="E396" s="11" t="str">
        <x:v>backend/OPENAPI_UNIFIED_TARGET.json#computeNumerologyFull</x:v>
      </x:c>
      <x:c r="F396" s="11" t="str">
        <x:v>NOT_CHECKED</x:v>
      </x:c>
    </x:row>
    <x:row r="397" ht="15" hidden="0" customHeight="1">
      <x:c r="A397" s="11" t="str">
        <x:v>API:computeBatCuc</x:v>
      </x:c>
      <x:c r="B397" s="11" t="str">
        <x:v>CANONICAL_REGISTRY</x:v>
      </x:c>
      <x:c r="C397" s="11" t="str">
        <x:v>POST /numbers/bat-cuc</x:v>
      </x:c>
      <x:c r="D397" s="11" t="str">
        <x:v>INT29-010</x:v>
      </x:c>
      <x:c r="E397" s="11" t="str">
        <x:v>backend/OPENAPI_UNIFIED_TARGET.json#computeBatCuc</x:v>
      </x:c>
      <x:c r="F397" s="11" t="str">
        <x:v>NOT_CHECKED</x:v>
      </x:c>
    </x:row>
    <x:row r="398" ht="15" hidden="0" customHeight="1">
      <x:c r="A398" s="11" t="str">
        <x:v>API:computePsychomatrix</x:v>
      </x:c>
      <x:c r="B398" s="11" t="str">
        <x:v>CANONICAL_REGISTRY</x:v>
      </x:c>
      <x:c r="C398" s="11" t="str">
        <x:v>POST /numbers/psychomatrix</x:v>
      </x:c>
      <x:c r="D398" s="11" t="str">
        <x:v>INT29-010</x:v>
      </x:c>
      <x:c r="E398" s="11" t="str">
        <x:v>backend/OPENAPI_UNIFIED_TARGET.json#computePsychomatrix</x:v>
      </x:c>
      <x:c r="F398" s="11" t="str">
        <x:v>NOT_CHECKED</x:v>
      </x:c>
    </x:row>
    <x:row r="399" ht="15" hidden="0" customHeight="1">
      <x:c r="A399" s="11" t="str">
        <x:v>API:compareNumberAssets</x:v>
      </x:c>
      <x:c r="B399" s="11" t="str">
        <x:v>CANONICAL_REGISTRY</x:v>
      </x:c>
      <x:c r="C399" s="11" t="str">
        <x:v>POST /numbers/compare</x:v>
      </x:c>
      <x:c r="D399" s="11" t="str">
        <x:v>INT29-010</x:v>
      </x:c>
      <x:c r="E399" s="11" t="str">
        <x:v>backend/OPENAPI_UNIFIED_TARGET.json#compareNumberAssets</x:v>
      </x:c>
      <x:c r="F399" s="11" t="str">
        <x:v>NOT_CHECKED</x:v>
      </x:c>
    </x:row>
    <x:row r="400" ht="15" hidden="0" customHeight="1">
      <x:c r="A400" s="11" t="str">
        <x:v>API:compareNameVariants</x:v>
      </x:c>
      <x:c r="B400" s="11" t="str">
        <x:v>CANONICAL_REGISTRY</x:v>
      </x:c>
      <x:c r="C400" s="11" t="str">
        <x:v>POST /names/compare</x:v>
      </x:c>
      <x:c r="D400" s="11" t="str">
        <x:v>INT29-010</x:v>
      </x:c>
      <x:c r="E400" s="11" t="str">
        <x:v>backend/OPENAPI_UNIFIED_TARGET.json#compareNameVariants</x:v>
      </x:c>
      <x:c r="F400" s="11" t="str">
        <x:v>NOT_CHECKED</x:v>
      </x:c>
    </x:row>
    <x:row r="401" ht="15" hidden="0" customHeight="1">
      <x:c r="A401" s="11" t="str">
        <x:v>API:composeLifetime</x:v>
      </x:c>
      <x:c r="B401" s="11" t="str">
        <x:v>CANONICAL_REGISTRY</x:v>
      </x:c>
      <x:c r="C401" s="11" t="str">
        <x:v>POST /lifetime/compose</x:v>
      </x:c>
      <x:c r="D401" s="11" t="str">
        <x:v>INT29-010</x:v>
      </x:c>
      <x:c r="E401" s="11" t="str">
        <x:v>backend/OPENAPI_UNIFIED_TARGET.json#composeLifetime</x:v>
      </x:c>
      <x:c r="F401" s="11" t="str">
        <x:v>NOT_CHECKED</x:v>
      </x:c>
    </x:row>
    <x:row r="402" ht="15" hidden="0" customHeight="1">
      <x:c r="A402" s="11" t="str">
        <x:v>API:createAnalysisBundle</x:v>
      </x:c>
      <x:c r="B402" s="11" t="str">
        <x:v>CANONICAL_REGISTRY</x:v>
      </x:c>
      <x:c r="C402" s="11" t="str">
        <x:v>POST /analysis-bundles</x:v>
      </x:c>
      <x:c r="D402" s="11" t="str">
        <x:v>INT29-010</x:v>
      </x:c>
      <x:c r="E402" s="11" t="str">
        <x:v>backend/OPENAPI_UNIFIED_TARGET.json#createAnalysisBundle</x:v>
      </x:c>
      <x:c r="F402" s="11" t="str">
        <x:v>NOT_CHECKED</x:v>
      </x:c>
    </x:row>
    <x:row r="403" ht="15" hidden="0" customHeight="1">
      <x:c r="A403" s="11" t="str">
        <x:v>API:getAnalysisBundle</x:v>
      </x:c>
      <x:c r="B403" s="11" t="str">
        <x:v>CANONICAL_REGISTRY</x:v>
      </x:c>
      <x:c r="C403" s="11" t="str">
        <x:v>GET /analysis-bundles/{bundle_id}</x:v>
      </x:c>
      <x:c r="D403" s="11" t="str">
        <x:v>INT29-010</x:v>
      </x:c>
      <x:c r="E403" s="11" t="str">
        <x:v>backend/OPENAPI_UNIFIED_TARGET.json#getAnalysisBundle</x:v>
      </x:c>
      <x:c r="F403" s="11" t="str">
        <x:v>NOT_CHECKED</x:v>
      </x:c>
    </x:row>
    <x:row r="404" ht="15" hidden="0" customHeight="1">
      <x:c r="A404" s="11" t="str">
        <x:v>API:cancelAnalysisBundle</x:v>
      </x:c>
      <x:c r="B404" s="11" t="str">
        <x:v>CANONICAL_REGISTRY</x:v>
      </x:c>
      <x:c r="C404" s="11" t="str">
        <x:v>POST /analysis-bundles/{bundle_id}/cancel</x:v>
      </x:c>
      <x:c r="D404" s="11" t="str">
        <x:v>INT29-010</x:v>
      </x:c>
      <x:c r="E404" s="11" t="str">
        <x:v>backend/OPENAPI_UNIFIED_TARGET.json#cancelAnalysisBundle</x:v>
      </x:c>
      <x:c r="F404" s="11" t="str">
        <x:v>NOT_CHECKED</x:v>
      </x:c>
    </x:row>
    <x:row r="405" ht="15" hidden="0" customHeight="1">
      <x:c r="A405" s="11" t="str">
        <x:v>API:getMethodSourceConflicts</x:v>
      </x:c>
      <x:c r="B405" s="11" t="str">
        <x:v>CANONICAL_REGISTRY</x:v>
      </x:c>
      <x:c r="C405" s="11" t="str">
        <x:v>GET /methods/{method_id}/source-conflicts</x:v>
      </x:c>
      <x:c r="D405" s="11" t="str">
        <x:v>INT29-010</x:v>
      </x:c>
      <x:c r="E405" s="11" t="str">
        <x:v>backend/OPENAPI_UNIFIED_TARGET.json#getMethodSourceConflicts</x:v>
      </x:c>
      <x:c r="F405" s="11" t="str">
        <x:v>NOT_CHECKED</x:v>
      </x:c>
    </x:row>
    <x:row r="406" ht="15" hidden="0" customHeight="1">
      <x:c r="A406" s="11" t="str">
        <x:v>API:getBatCucTable</x:v>
      </x:c>
      <x:c r="B406" s="11" t="str">
        <x:v>CANONICAL_REGISTRY</x:v>
      </x:c>
      <x:c r="C406" s="11" t="str">
        <x:v>GET /numbers/bat-cuc/table</x:v>
      </x:c>
      <x:c r="D406" s="11" t="str">
        <x:v>INT29-010</x:v>
      </x:c>
      <x:c r="E406" s="11" t="str">
        <x:v>backend/OPENAPI_UNIFIED_TARGET.json#getBatCucTable</x:v>
      </x:c>
      <x:c r="F406" s="11" t="str">
        <x:v>NOT_CHECKED</x:v>
      </x:c>
    </x:row>
    <x:row r="407" ht="15" hidden="0" customHeight="1">
      <x:c r="A407" s="11" t="str">
        <x:v>API:getLifeDomains</x:v>
      </x:c>
      <x:c r="B407" s="11" t="str">
        <x:v>CANONICAL_REGISTRY</x:v>
      </x:c>
      <x:c r="C407" s="11" t="str">
        <x:v>GET /lifetime/domains</x:v>
      </x:c>
      <x:c r="D407" s="11" t="str">
        <x:v>INT29-010</x:v>
      </x:c>
      <x:c r="E407" s="11" t="str">
        <x:v>backend/OPENAPI_UNIFIED_TARGET.json#getLifeDomains</x:v>
      </x:c>
      <x:c r="F407" s="11" t="str">
        <x:v>NOT_CHECKED</x:v>
      </x:c>
    </x:row>
    <x:row r="408" ht="15" hidden="0" customHeight="1">
      <x:c r="A408" s="11" t="str">
        <x:v>API:getScopedProductEligibility</x:v>
      </x:c>
      <x:c r="B408" s="11" t="str">
        <x:v>CANONICAL_REGISTRY</x:v>
      </x:c>
      <x:c r="C408" s="11" t="str">
        <x:v>GET /products/{product_id}/eligibility</x:v>
      </x:c>
      <x:c r="D408" s="11" t="str">
        <x:v>INT29-010</x:v>
      </x:c>
      <x:c r="E408" s="11" t="str">
        <x:v>backend/OPENAPI_UNIFIED_TARGET.json#getScopedProductEligibility</x:v>
      </x:c>
      <x:c r="F408" s="11" t="str">
        <x:v>NOT_CHECKED</x:v>
      </x:c>
    </x:row>
    <x:row r="409" ht="15" hidden="0" customHeight="1">
      <x:c r="A409" s="11" t="str">
        <x:v>API:createKnowledgeLegacyTransfer</x:v>
      </x:c>
      <x:c r="B409" s="11" t="str">
        <x:v>CANONICAL_REGISTRY</x:v>
      </x:c>
      <x:c r="C409" s="11" t="str">
        <x:v>POST /legacy-transfers</x:v>
      </x:c>
      <x:c r="D409" s="11" t="str">
        <x:v>INT29-010</x:v>
      </x:c>
      <x:c r="E409" s="11" t="str">
        <x:v>backend/OPENAPI_UNIFIED_TARGET.json#createKnowledgeLegacyTransfer</x:v>
      </x:c>
      <x:c r="F409" s="11" t="str">
        <x:v>NOT_CHECKED</x:v>
      </x:c>
    </x:row>
    <x:row r="410" ht="15" hidden="0" customHeight="1">
      <x:c r="A410" s="11" t="str">
        <x:v>API:getTerritoryReleaseGates</x:v>
      </x:c>
      <x:c r="B410" s="11" t="str">
        <x:v>CANONICAL_REGISTRY</x:v>
      </x:c>
      <x:c r="C410" s="11" t="str">
        <x:v>GET /territories/{territory_id}/release-gates</x:v>
      </x:c>
      <x:c r="D410" s="11" t="str">
        <x:v>INT29-010</x:v>
      </x:c>
      <x:c r="E410" s="11" t="str">
        <x:v>backend/OPENAPI_UNIFIED_TARGET.json#getTerritoryReleaseGates</x:v>
      </x:c>
      <x:c r="F410" s="11" t="str">
        <x:v>NOT_CHECKED</x:v>
      </x:c>
    </x:row>
    <x:row r="411" ht="15" hidden="0" customHeight="1">
      <x:c r="A411" s="11" t="str">
        <x:v>API:getMethodVersionHistory</x:v>
      </x:c>
      <x:c r="B411" s="11" t="str">
        <x:v>CANONICAL_REGISTRY</x:v>
      </x:c>
      <x:c r="C411" s="11" t="str">
        <x:v>GET /methods/{method_id}/versions</x:v>
      </x:c>
      <x:c r="D411" s="11" t="str">
        <x:v>INT29-010</x:v>
      </x:c>
      <x:c r="E411" s="11" t="str">
        <x:v>backend/OPENAPI_UNIFIED_TARGET.json#getMethodVersionHistory</x:v>
      </x:c>
      <x:c r="F411" s="11" t="str">
        <x:v>NOT_CHECKED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40" hidden="0" customWidth="1"/>
    <x:col min="3" max="3" width="38" hidden="0" customWidth="1"/>
    <x:col min="4" max="4" width="60" hidden="0" customWidth="1"/>
    <x:col min="5" max="5" width="75" hidden="0" customWidth="1"/>
    <x:col min="6" max="6" width="25" hidden="0" customWidth="1"/>
  </x:cols>
  <x:sheetData>
    <x:row r="1" ht="36" customHeight="1">
      <x:c r="A1" s="2" t="str">
        <x:v>12 cổng sản phẩm</x:v>
      </x:c>
      <x:c r="B1" s="2"/>
      <x:c r="C1" s="2"/>
      <x:c r="D1" s="2"/>
      <x:c r="E1" s="2"/>
      <x:c r="F1" s="2"/>
    </x:row>
    <x:row r="2" ht="48" customHeight="1">
      <x:c r="A2" s="4" t="str">
        <x:v>Giữ yêu cầu localr2; trạng thái dưới đây là NOT_CHECKED cho lần tích hợp29/10. Không kế thừa nhãn lịch sử hoặc lấy trung bình gate.</x:v>
      </x:c>
      <x:c r="B2" s="4"/>
      <x:c r="C2" s="4"/>
      <x:c r="D2" s="4"/>
      <x:c r="E2" s="4"/>
      <x:c r="F2" s="4"/>
    </x:row>
    <x:row r="4" ht="34" customHeight="1">
      <x:c r="A4" s="8" t="str">
        <x:v>ID</x:v>
      </x:c>
      <x:c r="B4" s="8" t="str">
        <x:v>Tên cổng</x:v>
      </x:c>
      <x:c r="C4" s="8" t="str">
        <x:v>Vai trò</x:v>
      </x:c>
      <x:c r="D4" s="8" t="str">
        <x:v>Phạm vi</x:v>
      </x:c>
      <x:c r="E4" s="8" t="str">
        <x:v>Evidence yêu cầu</x:v>
      </x:c>
      <x:c r="F4" s="8" t="str">
        <x:v>Current status</x:v>
      </x:c>
    </x:row>
    <x:row r="5" ht="15" hidden="0" customHeight="1">
      <x:c r="A5" s="11" t="str">
        <x:v>G01</x:v>
      </x:c>
      <x:c r="B5" s="11" t="str">
        <x:v>Source &amp; Release</x:v>
      </x:c>
      <x:c r="C5" s="11" t="str">
        <x:v>Tech Lead</x:v>
      </x:c>
      <x:c r="D5" s="11" t="str">
        <x:v>paid_beta</x:v>
      </x:c>
      <x:c r="E5" s="11" t="str">
        <x:v>SHA/artifact/deployed receipt/schema/rollback</x:v>
      </x:c>
      <x:c r="F5" s="11" t="str">
        <x:v>NOT_CHECKED</x:v>
      </x:c>
    </x:row>
    <x:row r="6" ht="15" hidden="0" customHeight="1">
      <x:c r="A6" s="11" t="str">
        <x:v>G02</x:v>
      </x:c>
      <x:c r="B6" s="11" t="str">
        <x:v>Authentication</x:v>
      </x:c>
      <x:c r="C6" s="11" t="str">
        <x:v>Backend + Security</x:v>
      </x:c>
      <x:c r="D6" s="11" t="str">
        <x:v>paid_beta</x:v>
      </x:c>
      <x:c r="E6" s="11" t="str">
        <x:v>Client không quyết danh tính; session/recovery tests</x:v>
      </x:c>
      <x:c r="F6" s="11" t="str">
        <x:v>NOT_CHECKED</x:v>
      </x:c>
    </x:row>
    <x:row r="7" ht="15" hidden="0" customHeight="1">
      <x:c r="A7" s="11" t="str">
        <x:v>G03</x:v>
      </x:c>
      <x:c r="B7" s="11" t="str">
        <x:v>Authorization</x:v>
      </x:c>
      <x:c r="C7" s="11" t="str">
        <x:v>Security + QA</x:v>
      </x:c>
      <x:c r="D7" s="11" t="str">
        <x:v>paid_beta</x:v>
      </x:c>
      <x:c r="E7" s="11" t="str">
        <x:v>Object/tenant/field/grant negative tests</x:v>
      </x:c>
      <x:c r="F7" s="11" t="str">
        <x:v>NOT_CHECKED</x:v>
      </x:c>
    </x:row>
    <x:row r="8" ht="15" hidden="0" customHeight="1">
      <x:c r="A8" s="11" t="str">
        <x:v>G04</x:v>
      </x:c>
      <x:c r="B8" s="11" t="str">
        <x:v>Legal &amp; Purpose</x:v>
      </x:c>
      <x:c r="C8" s="11" t="str">
        <x:v>Legal + Privacy</x:v>
      </x:c>
      <x:c r="D8" s="11" t="str">
        <x:v>paid_beta</x:v>
      </x:c>
      <x:c r="E8" s="11" t="str">
        <x:v>Pháp nhân/scope/country/basis/notices</x:v>
      </x:c>
      <x:c r="F8" s="11" t="str">
        <x:v>NOT_CHECKED</x:v>
      </x:c>
    </x:row>
    <x:row r="9" ht="15" hidden="0" customHeight="1">
      <x:c r="A9" s="11" t="str">
        <x:v>G05</x:v>
      </x:c>
      <x:c r="B9" s="11" t="str">
        <x:v>Retention &amp; Deletion</x:v>
      </x:c>
      <x:c r="C9" s="11" t="str">
        <x:v>Data + Privacy</x:v>
      </x:c>
      <x:c r="D9" s="11" t="str">
        <x:v>paid_beta</x:v>
      </x:c>
      <x:c r="E9" s="11" t="str">
        <x:v>Xóa DB/R2/cache/index/queue/provider; backup restore</x:v>
      </x:c>
      <x:c r="F9" s="11" t="str">
        <x:v>NOT_CHECKED</x:v>
      </x:c>
    </x:row>
    <x:row r="10" ht="15" hidden="0" customHeight="1">
      <x:c r="A10" s="11" t="str">
        <x:v>G06</x:v>
      </x:c>
      <x:c r="B10" s="11" t="str">
        <x:v>Methods &amp; Claims</x:v>
      </x:c>
      <x:c r="C10" s="11" t="str">
        <x:v>Method Council</x:v>
      </x:c>
      <x:c r="D10" s="11" t="str">
        <x:v>paid_beta</x:v>
      </x:c>
      <x:c r="E10" s="11" t="str">
        <x:v>Passport/rights/tests/null/approved rules</x:v>
      </x:c>
      <x:c r="F10" s="11" t="str">
        <x:v>NOT_CHECKED</x:v>
      </x:c>
    </x:row>
    <x:row r="11" ht="15" hidden="0" customHeight="1">
      <x:c r="A11" s="11" t="str">
        <x:v>G07</x:v>
      </x:c>
      <x:c r="B11" s="11" t="str">
        <x:v>Legacy &amp; Migration</x:v>
      </x:c>
      <x:c r="C11" s="11" t="str">
        <x:v>Data Lead</x:v>
      </x:c>
      <x:c r="D11" s="11" t="str">
        <x:v>paid_beta</x:v>
      </x:c>
      <x:c r="E11" s="11" t="str">
        <x:v>Quarantine, ownership, reconciliation</x:v>
      </x:c>
      <x:c r="F11" s="11" t="str">
        <x:v>NOT_CHECKED</x:v>
      </x:c>
    </x:row>
    <x:row r="12" ht="15" hidden="0" customHeight="1">
      <x:c r="A12" s="11" t="str">
        <x:v>G08</x:v>
      </x:c>
      <x:c r="B12" s="11" t="str">
        <x:v>Reports &amp; AI</x:v>
      </x:c>
      <x:c r="C12" s="11" t="str">
        <x:v>Editorial + AI</x:v>
      </x:c>
      <x:c r="D12" s="11" t="str">
        <x:v>paid_beta</x:v>
      </x:c>
      <x:c r="E12" s="11" t="str">
        <x:v>Claim lineage, policy, render quality</x:v>
      </x:c>
      <x:c r="F12" s="11" t="str">
        <x:v>NOT_CHECKED</x:v>
      </x:c>
    </x:row>
    <x:row r="13" ht="15" hidden="0" customHeight="1">
      <x:c r="A13" s="11" t="str">
        <x:v>G09</x:v>
      </x:c>
      <x:c r="B13" s="11" t="str">
        <x:v>Commerce</x:v>
      </x:c>
      <x:c r="C13" s="11" t="str">
        <x:v>Commerce + QA</x:v>
      </x:c>
      <x:c r="D13" s="11" t="str">
        <x:v>paid_beta</x:v>
      </x:c>
      <x:c r="E13" s="11" t="str">
        <x:v>Signature/replay/refund/entitlement tests</x:v>
      </x:c>
      <x:c r="F13" s="11" t="str">
        <x:v>NOT_CHECKED</x:v>
      </x:c>
    </x:row>
    <x:row r="14" ht="15" hidden="0" customHeight="1">
      <x:c r="A14" s="11" t="str">
        <x:v>G10</x:v>
      </x:c>
      <x:c r="B14" s="11" t="str">
        <x:v>Reliability</x:v>
      </x:c>
      <x:c r="C14" s="11" t="str">
        <x:v>SRE</x:v>
      </x:c>
      <x:c r="D14" s="11" t="str">
        <x:v>paid_beta</x:v>
      </x:c>
      <x:c r="E14" s="11" t="str">
        <x:v>Load/retry/DLQ/restore/RPO/RTO</x:v>
      </x:c>
      <x:c r="F14" s="11" t="str">
        <x:v>NOT_CHECKED</x:v>
      </x:c>
    </x:row>
    <x:row r="15" ht="15" hidden="0" customHeight="1">
      <x:c r="A15" s="11" t="str">
        <x:v>G11</x:v>
      </x:c>
      <x:c r="B15" s="11" t="str">
        <x:v>Security Review</x:v>
      </x:c>
      <x:c r="C15" s="11" t="str">
        <x:v>Independent Security</x:v>
      </x:c>
      <x:c r="D15" s="11" t="str">
        <x:v>paid_beta</x:v>
      </x:c>
      <x:c r="E15" s="11" t="str">
        <x:v>Review/retest/no unresolved blockers</x:v>
      </x:c>
      <x:c r="F15" s="11" t="str">
        <x:v>NOT_CHECKED</x:v>
      </x:c>
    </x:row>
    <x:row r="16" ht="15" hidden="0" customHeight="1">
      <x:c r="A16" s="11" t="str">
        <x:v>G12</x:v>
      </x:c>
      <x:c r="B16" s="11" t="str">
        <x:v>Operations &amp; Pilot</x:v>
      </x:c>
      <x:c r="C16" s="11" t="str">
        <x:v>Program + Founder</x:v>
      </x:c>
      <x:c r="D16" s="11" t="str">
        <x:v>paid_beta</x:v>
      </x:c>
      <x:c r="E16" s="11" t="str">
        <x:v>Support/economics/incident/pilot/release decision</x:v>
      </x:c>
      <x:c r="F16" s="11" t="str">
        <x:v>NOT_CHECKED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35" hidden="0" customWidth="1"/>
    <x:col min="7" max="7" width="60" hidden="0" customWidth="1"/>
  </x:cols>
  <x:sheetData>
    <x:row r="1" ht="36" customHeight="1">
      <x:c r="A1" s="2" t="str">
        <x:v>Capacity và chi phí chờ duyệt</x:v>
      </x:c>
      <x:c r="B1" s="2"/>
      <x:c r="C1" s="2"/>
      <x:c r="D1" s="2"/>
      <x:c r="E1" s="2"/>
      <x:c r="F1" s="2"/>
      <x:c r="G1" s="2"/>
    </x:row>
    <x:row r="2" ht="48" customHeight="1">
      <x:c r="A2" s="4" t="str">
        <x:v>Ô xanh là đầu vào chưa chốt. Chỉ ra tổng khi mọi dòng có số người/tháng/đơn giá hợp lệ và cùng currency được nhập tạiB3. Không cộng estimate task cha với refinement.</x:v>
      </x:c>
      <x:c r="B2" s="4"/>
      <x:c r="C2" s="4"/>
      <x:c r="D2" s="4"/>
      <x:c r="E2" s="4"/>
      <x:c r="F2" s="4"/>
      <x:c r="G2" s="4"/>
    </x:row>
    <x:row r="3">
      <x:c r="A3" t="str">
        <x:v>Currency đã duyệt</x:v>
      </x:c>
      <x:c r="B3" s="12"/>
    </x:row>
    <x:row r="4" ht="34" customHeight="1">
      <x:c r="A4" s="8" t="str">
        <x:v>Vai trò</x:v>
      </x:c>
      <x:c r="B4" s="8" t="str">
        <x:v>FTE</x:v>
      </x:c>
      <x:c r="C4" s="8" t="str">
        <x:v>Tháng</x:v>
      </x:c>
      <x:c r="D4" s="8" t="str">
        <x:v>Đơn giá / tháng</x:v>
      </x:c>
      <x:c r="E4" s="8" t="str">
        <x:v>Chi phí</x:v>
      </x:c>
      <x:c r="F4" s="8" t="str">
        <x:v>Tình trạng</x:v>
      </x:c>
      <x:c r="G4" s="8" t="str">
        <x:v>Căn cứ báo giá</x:v>
      </x:c>
    </x:row>
    <x:row r="5" ht="15" hidden="0" customHeight="1">
      <x:c r="A5" s="11" t="str">
        <x:v>Tech Lead</x:v>
      </x:c>
      <x:c r="B5" s="14"/>
      <x:c r="C5" s="14"/>
      <x:c r="D5" s="14"/>
      <x:c r="E5" s="11" t="str">
        <x:f>IF(AND(ISNUMBER(B5),B5&gt;=0,ISNUMBER(C5),C5&gt;=0,ISNUMBER(D5),D5&gt;=0,LEN(B$3)&gt;0),B5*C5*D5,"")</x:f>
      </x:c>
      <x:c r="F5" s="11" t="str">
        <x:f>IF(ISNUMBER(E5),"CÓ GIẢ ĐỊNH / CHỜ DUYỆT","CẦN NHẬP GIẢ ĐỊNH")</x:f>
        <x:v>CẦN NHẬP GIẢ ĐỊNH</x:v>
      </x:c>
      <x:c r="G5" s="11"/>
    </x:row>
    <x:row r="6" ht="15" hidden="0" customHeight="1">
      <x:c r="A6" s="11" t="str">
        <x:v>Backend / Data</x:v>
      </x:c>
      <x:c r="B6" s="14"/>
      <x:c r="C6" s="14"/>
      <x:c r="D6" s="14"/>
      <x:c r="E6" s="11" t="str">
        <x:f>IF(AND(ISNUMBER(B6),B6&gt;=0,ISNUMBER(C6),C6&gt;=0,ISNUMBER(D6),D6&gt;=0,LEN(B$3)&gt;0),B6*C6*D6,"")</x:f>
      </x:c>
      <x:c r="F6" s="11" t="str">
        <x:f>IF(ISNUMBER(E6),"CÓ GIẢ ĐỊNH / CHỜ DUYỆT","CẦN NHẬP GIẢ ĐỊNH")</x:f>
        <x:v>CẦN NHẬP GIẢ ĐỊNH</x:v>
      </x:c>
      <x:c r="G6" s="11"/>
    </x:row>
    <x:row r="7" ht="15" hidden="0" customHeight="1">
      <x:c r="A7" s="11" t="str">
        <x:v>Frontend / UX</x:v>
      </x:c>
      <x:c r="B7" s="14"/>
      <x:c r="C7" s="14"/>
      <x:c r="D7" s="14"/>
      <x:c r="E7" s="11" t="str">
        <x:f>IF(AND(ISNUMBER(B7),B7&gt;=0,ISNUMBER(C7),C7&gt;=0,ISNUMBER(D7),D7&gt;=0,LEN(B$3)&gt;0),B7*C7*D7,"")</x:f>
      </x:c>
      <x:c r="F7" s="11" t="str">
        <x:f>IF(ISNUMBER(E7),"CÓ GIẢ ĐỊNH / CHỜ DUYỆT","CẦN NHẬP GIẢ ĐỊNH")</x:f>
        <x:v>CẦN NHẬP GIẢ ĐỊNH</x:v>
      </x:c>
      <x:c r="G7" s="11"/>
    </x:row>
    <x:row r="8" ht="15" hidden="0" customHeight="1">
      <x:c r="A8" s="11" t="str">
        <x:v>QA / Security</x:v>
      </x:c>
      <x:c r="B8" s="14"/>
      <x:c r="C8" s="14"/>
      <x:c r="D8" s="14"/>
      <x:c r="E8" s="11" t="str">
        <x:f>IF(AND(ISNUMBER(B8),B8&gt;=0,ISNUMBER(C8),C8&gt;=0,ISNUMBER(D8),D8&gt;=0,LEN(B$3)&gt;0),B8*C8*D8,"")</x:f>
      </x:c>
      <x:c r="F8" s="11" t="str">
        <x:f>IF(ISNUMBER(E8),"CÓ GIẢ ĐỊNH / CHỜ DUYỆT","CẦN NHẬP GIẢ ĐỊNH")</x:f>
        <x:v>CẦN NHẬP GIẢ ĐỊNH</x:v>
      </x:c>
      <x:c r="G8" s="11"/>
    </x:row>
    <x:row r="9" ht="15" hidden="0" customHeight="1">
      <x:c r="A9" s="11" t="str">
        <x:v>Method / Editorial</x:v>
      </x:c>
      <x:c r="B9" s="14"/>
      <x:c r="C9" s="14"/>
      <x:c r="D9" s="14"/>
      <x:c r="E9" s="11" t="str">
        <x:f>IF(AND(ISNUMBER(B9),B9&gt;=0,ISNUMBER(C9),C9&gt;=0,ISNUMBER(D9),D9&gt;=0,LEN(B$3)&gt;0),B9*C9*D9,"")</x:f>
      </x:c>
      <x:c r="F9" s="11" t="str">
        <x:f>IF(ISNUMBER(E9),"CÓ GIẢ ĐỊNH / CHỜ DUYỆT","CẦN NHẬP GIẢ ĐỊNH")</x:f>
        <x:v>CẦN NHẬP GIẢ ĐỊNH</x:v>
      </x:c>
      <x:c r="G9" s="11"/>
    </x:row>
    <x:row r="10" ht="15" hidden="0" customHeight="1">
      <x:c r="A10" s="11" t="str">
        <x:v>AI / Report</x:v>
      </x:c>
      <x:c r="B10" s="14"/>
      <x:c r="C10" s="14"/>
      <x:c r="D10" s="14"/>
      <x:c r="E10" s="11" t="str">
        <x:f>IF(AND(ISNUMBER(B10),B10&gt;=0,ISNUMBER(C10),C10&gt;=0,ISNUMBER(D10),D10&gt;=0,LEN(B$3)&gt;0),B10*C10*D10,"")</x:f>
      </x:c>
      <x:c r="F10" s="11" t="str">
        <x:f>IF(ISNUMBER(E10),"CÓ GIẢ ĐỊNH / CHỜ DUYỆT","CẦN NHẬP GIẢ ĐỊNH")</x:f>
        <x:v>CẦN NHẬP GIẢ ĐỊNH</x:v>
      </x:c>
      <x:c r="G10" s="11"/>
    </x:row>
    <x:row r="11" ht="15" hidden="0" customHeight="1">
      <x:c r="A11" s="11" t="str">
        <x:v>Operations</x:v>
      </x:c>
      <x:c r="B11" s="14"/>
      <x:c r="C11" s="14"/>
      <x:c r="D11" s="14"/>
      <x:c r="E11" s="11" t="str">
        <x:f>IF(AND(ISNUMBER(B11),B11&gt;=0,ISNUMBER(C11),C11&gt;=0,ISNUMBER(D11),D11&gt;=0,LEN(B$3)&gt;0),B11*C11*D11,"")</x:f>
      </x:c>
      <x:c r="F11" s="11" t="str">
        <x:f>IF(ISNUMBER(E11),"CÓ GIẢ ĐỊNH / CHỜ DUYỆT","CẦN NHẬP GIẢ ĐỊNH")</x:f>
        <x:v>CẦN NHẬP GIẢ ĐỊNH</x:v>
      </x:c>
      <x:c r="G11" s="11"/>
    </x:row>
    <x:row r="12" ht="15" hidden="0" customHeight="1">
      <x:c r="A12" s="11" t="str">
        <x:v>Legal / Commerce</x:v>
      </x:c>
      <x:c r="B12" s="14"/>
      <x:c r="C12" s="14"/>
      <x:c r="D12" s="14"/>
      <x:c r="E12" s="11" t="str">
        <x:f>IF(AND(ISNUMBER(B12),B12&gt;=0,ISNUMBER(C12),C12&gt;=0,ISNUMBER(D12),D12&gt;=0,LEN(B$3)&gt;0),B12*C12*D12,"")</x:f>
      </x:c>
      <x:c r="F12" s="11" t="str">
        <x:f>IF(ISNUMBER(E12),"CÓ GIẢ ĐỊNH / CHỜ DUYỆT","CẦN NHẬP GIẢ ĐỊNH")</x:f>
        <x:v>CẦN NHẬP GIẢ ĐỊNH</x:v>
      </x:c>
      <x:c r="G12" s="11"/>
    </x:row>
    <x:row r="14">
      <x:c r="A14" t="str">
        <x:v>Tổng nhân sự</x:v>
      </x:c>
      <x:c r="E14" t="str">
        <x:f>IF(COUNT(E5:E12)=8,SUM(E5:E12),"CHƯA ĐỦ GIẢ ĐỊNH")</x:f>
        <x:v>CHƯA ĐỦ GIẢ ĐỊNH</x:v>
      </x:c>
    </x:row>
    <x:row r="16" ht="45" customHeight="1">
      <x:c r="A16" s="16" t="str">
        <x:v>Chưa gồm AI, hạ tầng, phí thanh toán, thuế và dự phòng. Chi phí này là mô hình nhân sự có điều kiện, chưa là budget đã phê duyệt.</x:v>
      </x:c>
      <x:c r="B16" s="16"/>
      <x:c r="C16" s="16"/>
      <x:c r="D16" s="16"/>
      <x:c r="E16" s="16"/>
      <x:c r="F16" s="16"/>
      <x:c r="G16" s="16"/>
    </x:row>
  </x:sheetData>
  <x:mergeCells>
    <x:mergeCell ref="A1:G1"/>
    <x:mergeCell ref="A2:G2"/>
    <x:mergeCell ref="A16:G16"/>
  </x:mergeCells>
  <x:pageMargins left="0.7" right="0.7" top="0.75" bottom="0.75" header="0.3" footer="0.3"/>
</x:worksheet>
</file>